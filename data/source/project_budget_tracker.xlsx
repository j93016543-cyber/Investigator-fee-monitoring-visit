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epartments\Clinical\BAL0891\03 Clinical Trials\01 TTK-CS-101\00 Internal Tracker\02. Project Budget Tracker\"/>
    </mc:Choice>
  </mc:AlternateContent>
  <xr:revisionPtr revIDLastSave="0" documentId="13_ncr:1_{97ED4D39-A567-44EE-8C65-CA33F9B3FB57}" xr6:coauthVersionLast="47" xr6:coauthVersionMax="47" xr10:uidLastSave="{00000000-0000-0000-0000-000000000000}"/>
  <bookViews>
    <workbookView xWindow="28680" yWindow="1440" windowWidth="29040" windowHeight="15720" activeTab="6" xr2:uid="{B47C6AFA-9B8B-4ABE-9ED1-DDF4EACD3A6B}"/>
  </bookViews>
  <sheets>
    <sheet name="0. Budget Summary" sheetId="3" r:id="rId1"/>
    <sheet name="1. IQVIA " sheetId="11" r:id="rId2"/>
    <sheet name="1-1. Direct" sheetId="12" r:id="rId3"/>
    <sheet name="1-2. PTC" sheetId="13" r:id="rId4"/>
    <sheet name="2. Syneos" sheetId="15" r:id="rId5"/>
    <sheet name="3. Sharp" sheetId="14" r:id="rId6"/>
    <sheet name="4. Fisher" sheetId="22" r:id="rId7"/>
    <sheet name="5. Marken" sheetId="23" r:id="rId8"/>
    <sheet name="6. SBQ" sheetId="16" r:id="rId9"/>
    <sheet name="7. Aptamer" sheetId="17" r:id="rId10"/>
    <sheet name="8. Invivo" sheetId="18" r:id="rId11"/>
    <sheet name="9. Labconnect" sheetId="20" r:id="rId12"/>
    <sheet name="10. AIMS" sheetId="19" r:id="rId13"/>
    <sheet name="11. Cytel" sheetId="24" state="hidden" r:id="rId14"/>
  </sheets>
  <externalReferences>
    <externalReference r:id="rId15"/>
  </externalReferences>
  <definedNames>
    <definedName name="_xlnm._FilterDatabase" localSheetId="8" hidden="1">'6. SBQ'!$A$40:$K$40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5" i="23" l="1"/>
  <c r="B26" i="12"/>
  <c r="L21" i="12"/>
  <c r="H21" i="12"/>
  <c r="H16" i="12"/>
  <c r="H16" i="11" s="1"/>
  <c r="B14" i="11" s="1"/>
  <c r="J16" i="11"/>
  <c r="C16" i="11"/>
  <c r="B16" i="11"/>
  <c r="P75" i="13"/>
  <c r="P76" i="13"/>
  <c r="P77" i="13"/>
  <c r="P78" i="13"/>
  <c r="P79" i="13"/>
  <c r="P80" i="13"/>
  <c r="P81" i="13"/>
  <c r="P82" i="13"/>
  <c r="P83" i="13"/>
  <c r="P84" i="13"/>
  <c r="P85" i="13"/>
  <c r="P86" i="13"/>
  <c r="F26" i="12"/>
  <c r="G26" i="12"/>
  <c r="B8" i="12"/>
  <c r="H26" i="12"/>
  <c r="E26" i="12"/>
  <c r="D26" i="12"/>
  <c r="E21" i="12"/>
  <c r="I22" i="13"/>
  <c r="L27" i="13"/>
  <c r="K27" i="13"/>
  <c r="J27" i="13"/>
  <c r="I27" i="13"/>
  <c r="H27" i="13"/>
  <c r="G27" i="13"/>
  <c r="E27" i="13"/>
  <c r="F27" i="13"/>
  <c r="P69" i="13"/>
  <c r="P70" i="13"/>
  <c r="P71" i="13"/>
  <c r="P72" i="13"/>
  <c r="P73" i="13"/>
  <c r="P74" i="13"/>
  <c r="P68" i="13"/>
  <c r="A27" i="13"/>
  <c r="D27" i="13"/>
  <c r="B25" i="13" s="1"/>
  <c r="F22" i="13"/>
  <c r="K56" i="22"/>
  <c r="K55" i="22"/>
  <c r="K54" i="22"/>
  <c r="B193" i="14"/>
  <c r="K52" i="22"/>
  <c r="K53" i="22"/>
  <c r="K51" i="22" l="1"/>
  <c r="F32" i="13"/>
  <c r="P67" i="13"/>
  <c r="P66" i="13"/>
  <c r="P65" i="13"/>
  <c r="P64" i="13"/>
  <c r="P63" i="13"/>
  <c r="P62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7" i="13"/>
  <c r="P46" i="13"/>
  <c r="P45" i="13"/>
  <c r="P44" i="13"/>
  <c r="P43" i="13"/>
  <c r="P42" i="13"/>
  <c r="P41" i="13"/>
  <c r="O37" i="13"/>
  <c r="O38" i="13" s="1"/>
  <c r="O39" i="13" s="1"/>
  <c r="N37" i="13"/>
  <c r="N38" i="13" s="1"/>
  <c r="N39" i="13" s="1"/>
  <c r="M37" i="13"/>
  <c r="M38" i="13" s="1"/>
  <c r="M39" i="13" s="1"/>
  <c r="L37" i="13"/>
  <c r="L38" i="13" s="1"/>
  <c r="L39" i="13" s="1"/>
  <c r="K37" i="13"/>
  <c r="K38" i="13" s="1"/>
  <c r="K39" i="13" s="1"/>
  <c r="J37" i="13"/>
  <c r="J38" i="13" s="1"/>
  <c r="J39" i="13" s="1"/>
  <c r="I37" i="13"/>
  <c r="I38" i="13" s="1"/>
  <c r="I39" i="13" s="1"/>
  <c r="H37" i="13"/>
  <c r="H38" i="13" s="1"/>
  <c r="H39" i="13" s="1"/>
  <c r="G37" i="13"/>
  <c r="G38" i="13" s="1"/>
  <c r="G39" i="13" s="1"/>
  <c r="F37" i="13"/>
  <c r="F38" i="13" s="1"/>
  <c r="F39" i="13" s="1"/>
  <c r="E37" i="13"/>
  <c r="E38" i="13" s="1"/>
  <c r="E39" i="13" s="1"/>
  <c r="D37" i="13"/>
  <c r="D38" i="13" s="1"/>
  <c r="D39" i="13" s="1"/>
  <c r="C37" i="13"/>
  <c r="C38" i="13" s="1"/>
  <c r="C39" i="13" s="1"/>
  <c r="B37" i="13"/>
  <c r="B36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L32" i="13"/>
  <c r="K32" i="13"/>
  <c r="J32" i="13"/>
  <c r="I32" i="13"/>
  <c r="H32" i="13"/>
  <c r="G32" i="13"/>
  <c r="E32" i="13"/>
  <c r="D32" i="13"/>
  <c r="C32" i="13"/>
  <c r="B32" i="13"/>
  <c r="A32" i="13"/>
  <c r="B30" i="13" s="1"/>
  <c r="C30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C27" i="13"/>
  <c r="B27" i="13"/>
  <c r="C25" i="13"/>
  <c r="C26" i="12"/>
  <c r="L22" i="13"/>
  <c r="H22" i="13"/>
  <c r="G22" i="13"/>
  <c r="K50" i="22"/>
  <c r="K49" i="22"/>
  <c r="K48" i="22"/>
  <c r="K47" i="22"/>
  <c r="K46" i="22"/>
  <c r="K45" i="22"/>
  <c r="K44" i="2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K43" i="22"/>
  <c r="K42" i="22"/>
  <c r="K41" i="22"/>
  <c r="K40" i="22"/>
  <c r="K39" i="22"/>
  <c r="K38" i="22"/>
  <c r="BC18" i="3"/>
  <c r="K37" i="22"/>
  <c r="F17" i="23"/>
  <c r="A16" i="17"/>
  <c r="B38" i="13" l="1"/>
  <c r="B26" i="11"/>
  <c r="K54" i="23"/>
  <c r="B54" i="23"/>
  <c r="K36" i="22"/>
  <c r="E32" i="3"/>
  <c r="G32" i="3"/>
  <c r="I32" i="3"/>
  <c r="N32" i="3"/>
  <c r="P32" i="3"/>
  <c r="R32" i="3"/>
  <c r="T32" i="3"/>
  <c r="Y32" i="3"/>
  <c r="AA32" i="3"/>
  <c r="AC32" i="3"/>
  <c r="AE32" i="3"/>
  <c r="AJ32" i="3"/>
  <c r="AL32" i="3"/>
  <c r="AN32" i="3"/>
  <c r="AP32" i="3"/>
  <c r="AU32" i="3"/>
  <c r="AW32" i="3"/>
  <c r="AY32" i="3"/>
  <c r="BA32" i="3"/>
  <c r="C32" i="3"/>
  <c r="E31" i="3"/>
  <c r="G31" i="3"/>
  <c r="I31" i="3"/>
  <c r="N31" i="3"/>
  <c r="P31" i="3"/>
  <c r="R31" i="3"/>
  <c r="T31" i="3"/>
  <c r="Y31" i="3"/>
  <c r="AA31" i="3"/>
  <c r="AC31" i="3"/>
  <c r="AE31" i="3"/>
  <c r="AJ31" i="3"/>
  <c r="AL31" i="3"/>
  <c r="AN31" i="3"/>
  <c r="AP31" i="3"/>
  <c r="AU31" i="3"/>
  <c r="AW31" i="3"/>
  <c r="AY31" i="3"/>
  <c r="BA31" i="3"/>
  <c r="C31" i="3"/>
  <c r="G30" i="3"/>
  <c r="E30" i="3"/>
  <c r="I30" i="3"/>
  <c r="N30" i="3"/>
  <c r="P30" i="3"/>
  <c r="R30" i="3"/>
  <c r="T30" i="3"/>
  <c r="Y30" i="3"/>
  <c r="AA30" i="3"/>
  <c r="AC30" i="3"/>
  <c r="AE30" i="3"/>
  <c r="AJ30" i="3"/>
  <c r="AL30" i="3"/>
  <c r="AN30" i="3"/>
  <c r="AP30" i="3"/>
  <c r="AU30" i="3"/>
  <c r="AW30" i="3"/>
  <c r="AY30" i="3"/>
  <c r="BA30" i="3"/>
  <c r="C30" i="3"/>
  <c r="BC25" i="3"/>
  <c r="BC24" i="3"/>
  <c r="AG17" i="3"/>
  <c r="BC22" i="3" l="1"/>
  <c r="BC32" i="3" s="1"/>
  <c r="BC23" i="3"/>
  <c r="BC26" i="3"/>
  <c r="AR22" i="3"/>
  <c r="AR32" i="3" s="1"/>
  <c r="AR23" i="3"/>
  <c r="AR24" i="3"/>
  <c r="AR25" i="3"/>
  <c r="AR26" i="3"/>
  <c r="AG22" i="3"/>
  <c r="AG32" i="3" s="1"/>
  <c r="AG23" i="3"/>
  <c r="AG24" i="3"/>
  <c r="AG25" i="3"/>
  <c r="AG26" i="3"/>
  <c r="W23" i="3"/>
  <c r="W24" i="3"/>
  <c r="W25" i="3"/>
  <c r="V22" i="3"/>
  <c r="V32" i="3" s="1"/>
  <c r="V23" i="3"/>
  <c r="X23" i="3" s="1"/>
  <c r="V24" i="3"/>
  <c r="X24" i="3" s="1"/>
  <c r="V25" i="3"/>
  <c r="X25" i="3" s="1"/>
  <c r="V26" i="3"/>
  <c r="V21" i="3"/>
  <c r="L23" i="3"/>
  <c r="L24" i="3"/>
  <c r="L25" i="3"/>
  <c r="K22" i="3"/>
  <c r="K21" i="3"/>
  <c r="K23" i="3"/>
  <c r="K24" i="3"/>
  <c r="M24" i="3" s="1"/>
  <c r="K25" i="3"/>
  <c r="M25" i="3" s="1"/>
  <c r="K26" i="3"/>
  <c r="AR18" i="3"/>
  <c r="AG18" i="3"/>
  <c r="K18" i="3"/>
  <c r="K32" i="3" l="1"/>
  <c r="M23" i="3"/>
  <c r="C52" i="24" l="1"/>
  <c r="B8" i="24"/>
  <c r="L27" i="24"/>
  <c r="K27" i="24"/>
  <c r="J27" i="24"/>
  <c r="I27" i="24"/>
  <c r="H27" i="24"/>
  <c r="G27" i="24"/>
  <c r="F27" i="24"/>
  <c r="E27" i="24"/>
  <c r="D27" i="24"/>
  <c r="C27" i="24"/>
  <c r="B27" i="24"/>
  <c r="A27" i="24"/>
  <c r="L26" i="24"/>
  <c r="K26" i="24"/>
  <c r="J26" i="24"/>
  <c r="I26" i="24"/>
  <c r="H26" i="24"/>
  <c r="G26" i="24"/>
  <c r="F26" i="24"/>
  <c r="E26" i="24"/>
  <c r="D26" i="24"/>
  <c r="C26" i="24"/>
  <c r="B26" i="24"/>
  <c r="A26" i="24"/>
  <c r="L22" i="24"/>
  <c r="K22" i="24"/>
  <c r="J22" i="24"/>
  <c r="I22" i="24"/>
  <c r="H22" i="24"/>
  <c r="G22" i="24"/>
  <c r="F22" i="24"/>
  <c r="E22" i="24"/>
  <c r="D22" i="24"/>
  <c r="C22" i="24"/>
  <c r="B22" i="24"/>
  <c r="A22" i="24"/>
  <c r="C19" i="24" s="1"/>
  <c r="L21" i="24"/>
  <c r="K21" i="24"/>
  <c r="J21" i="24"/>
  <c r="I21" i="24"/>
  <c r="H21" i="24"/>
  <c r="G21" i="24"/>
  <c r="F21" i="24"/>
  <c r="E21" i="24"/>
  <c r="D21" i="24"/>
  <c r="C21" i="24"/>
  <c r="B21" i="24"/>
  <c r="A21" i="24"/>
  <c r="L17" i="24"/>
  <c r="K17" i="24"/>
  <c r="J17" i="24"/>
  <c r="I17" i="24"/>
  <c r="H17" i="24"/>
  <c r="G17" i="24"/>
  <c r="F17" i="24"/>
  <c r="E17" i="24"/>
  <c r="D17" i="24"/>
  <c r="C17" i="24"/>
  <c r="B17" i="24"/>
  <c r="A17" i="24"/>
  <c r="L16" i="24"/>
  <c r="K16" i="24"/>
  <c r="J16" i="24"/>
  <c r="I16" i="24"/>
  <c r="H16" i="24"/>
  <c r="G16" i="24"/>
  <c r="F16" i="24"/>
  <c r="E16" i="24"/>
  <c r="D16" i="24"/>
  <c r="C16" i="24"/>
  <c r="B16" i="24"/>
  <c r="A16" i="24"/>
  <c r="C14" i="24" l="1"/>
  <c r="C24" i="24"/>
  <c r="B19" i="24"/>
  <c r="B24" i="24"/>
  <c r="B14" i="24"/>
  <c r="G72" i="14"/>
  <c r="F72" i="14"/>
  <c r="G148" i="14"/>
  <c r="F148" i="14"/>
  <c r="G147" i="14"/>
  <c r="F147" i="14"/>
  <c r="L17" i="15"/>
  <c r="K17" i="15"/>
  <c r="J17" i="15"/>
  <c r="I17" i="15"/>
  <c r="H17" i="15"/>
  <c r="G17" i="15"/>
  <c r="F17" i="15"/>
  <c r="E17" i="15"/>
  <c r="D17" i="15"/>
  <c r="C17" i="15"/>
  <c r="B17" i="15"/>
  <c r="A17" i="15"/>
  <c r="L16" i="15"/>
  <c r="K16" i="15"/>
  <c r="J16" i="15"/>
  <c r="J18" i="3" s="1"/>
  <c r="I16" i="15"/>
  <c r="H16" i="15"/>
  <c r="G16" i="15"/>
  <c r="H18" i="3" s="1"/>
  <c r="F16" i="15"/>
  <c r="E16" i="15"/>
  <c r="D16" i="15"/>
  <c r="F18" i="3" s="1"/>
  <c r="C16" i="15"/>
  <c r="B16" i="15"/>
  <c r="A16" i="15"/>
  <c r="D18" i="3" s="1"/>
  <c r="L18" i="3" l="1"/>
  <c r="M18" i="3" s="1"/>
  <c r="B9" i="24"/>
  <c r="C9" i="24" s="1"/>
  <c r="B14" i="15"/>
  <c r="C14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L36" i="15"/>
  <c r="K36" i="15"/>
  <c r="J36" i="15"/>
  <c r="BB18" i="3" s="1"/>
  <c r="I36" i="15"/>
  <c r="H36" i="15"/>
  <c r="G36" i="15"/>
  <c r="AZ18" i="3" s="1"/>
  <c r="F36" i="15"/>
  <c r="E36" i="15"/>
  <c r="D36" i="15"/>
  <c r="AX18" i="3" s="1"/>
  <c r="C36" i="15"/>
  <c r="B36" i="15"/>
  <c r="A36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L31" i="15"/>
  <c r="K31" i="15"/>
  <c r="J31" i="15"/>
  <c r="AQ18" i="3" s="1"/>
  <c r="I31" i="15"/>
  <c r="H31" i="15"/>
  <c r="G31" i="15"/>
  <c r="AO18" i="3" s="1"/>
  <c r="F31" i="15"/>
  <c r="E31" i="15"/>
  <c r="D31" i="15"/>
  <c r="AM18" i="3" s="1"/>
  <c r="C31" i="15"/>
  <c r="B31" i="15"/>
  <c r="A31" i="15"/>
  <c r="AK18" i="3" s="1"/>
  <c r="AS18" i="3" s="1"/>
  <c r="L27" i="15"/>
  <c r="K27" i="15"/>
  <c r="J27" i="15"/>
  <c r="I27" i="15"/>
  <c r="H27" i="15"/>
  <c r="G27" i="15"/>
  <c r="F27" i="15"/>
  <c r="E27" i="15"/>
  <c r="D27" i="15"/>
  <c r="C27" i="15"/>
  <c r="B27" i="15"/>
  <c r="A27" i="15"/>
  <c r="L26" i="15"/>
  <c r="K26" i="15"/>
  <c r="J26" i="15"/>
  <c r="AF18" i="3" s="1"/>
  <c r="I26" i="15"/>
  <c r="H26" i="15"/>
  <c r="G26" i="15"/>
  <c r="AD18" i="3" s="1"/>
  <c r="F26" i="15"/>
  <c r="E26" i="15"/>
  <c r="D26" i="15"/>
  <c r="AB18" i="3" s="1"/>
  <c r="C26" i="15"/>
  <c r="B26" i="15"/>
  <c r="A26" i="15"/>
  <c r="Z18" i="3" s="1"/>
  <c r="AH18" i="3" s="1"/>
  <c r="AI18" i="3" s="1"/>
  <c r="L22" i="15"/>
  <c r="K22" i="15"/>
  <c r="J22" i="15"/>
  <c r="I22" i="15"/>
  <c r="H22" i="15"/>
  <c r="G22" i="15"/>
  <c r="F22" i="15"/>
  <c r="E22" i="15"/>
  <c r="D22" i="15"/>
  <c r="C22" i="15"/>
  <c r="B22" i="15"/>
  <c r="A22" i="15"/>
  <c r="L21" i="15"/>
  <c r="K21" i="15"/>
  <c r="J21" i="15"/>
  <c r="U18" i="3" s="1"/>
  <c r="I21" i="15"/>
  <c r="H21" i="15"/>
  <c r="G21" i="15"/>
  <c r="S18" i="3" s="1"/>
  <c r="F21" i="15"/>
  <c r="E21" i="15"/>
  <c r="D21" i="15"/>
  <c r="Q18" i="3" s="1"/>
  <c r="C21" i="15"/>
  <c r="B21" i="15"/>
  <c r="A21" i="15"/>
  <c r="B19" i="15" l="1"/>
  <c r="O18" i="3"/>
  <c r="AV18" i="3"/>
  <c r="BD18" i="3" s="1"/>
  <c r="B34" i="15"/>
  <c r="B10" i="24"/>
  <c r="C10" i="24" s="1"/>
  <c r="C19" i="15"/>
  <c r="C29" i="15"/>
  <c r="C24" i="15"/>
  <c r="B29" i="15"/>
  <c r="B24" i="15"/>
  <c r="C34" i="15"/>
  <c r="A27" i="20"/>
  <c r="A26" i="20"/>
  <c r="B27" i="20"/>
  <c r="B26" i="20"/>
  <c r="C27" i="20"/>
  <c r="C26" i="20"/>
  <c r="D27" i="20"/>
  <c r="D26" i="20"/>
  <c r="E27" i="20"/>
  <c r="E26" i="20"/>
  <c r="F27" i="20"/>
  <c r="F26" i="20"/>
  <c r="G27" i="20"/>
  <c r="G26" i="20"/>
  <c r="H27" i="20"/>
  <c r="H26" i="20"/>
  <c r="I27" i="20"/>
  <c r="I26" i="20"/>
  <c r="J27" i="20"/>
  <c r="J26" i="20"/>
  <c r="K27" i="20"/>
  <c r="K26" i="20"/>
  <c r="L27" i="20"/>
  <c r="L26" i="20"/>
  <c r="L22" i="20"/>
  <c r="L21" i="20"/>
  <c r="K22" i="20"/>
  <c r="K21" i="20"/>
  <c r="J22" i="20"/>
  <c r="J21" i="20"/>
  <c r="I22" i="20"/>
  <c r="I21" i="20"/>
  <c r="H22" i="20"/>
  <c r="H21" i="20"/>
  <c r="G22" i="20"/>
  <c r="G21" i="20"/>
  <c r="F22" i="20"/>
  <c r="F21" i="20"/>
  <c r="E22" i="20"/>
  <c r="E21" i="20"/>
  <c r="D22" i="20"/>
  <c r="D21" i="20"/>
  <c r="AM25" i="3" s="1"/>
  <c r="C22" i="20"/>
  <c r="C21" i="20"/>
  <c r="B22" i="20"/>
  <c r="B21" i="20"/>
  <c r="A22" i="20"/>
  <c r="A21" i="20"/>
  <c r="B17" i="20"/>
  <c r="C17" i="20"/>
  <c r="D17" i="20"/>
  <c r="E17" i="20"/>
  <c r="F17" i="20"/>
  <c r="G17" i="20"/>
  <c r="H17" i="20"/>
  <c r="I17" i="20"/>
  <c r="J17" i="20"/>
  <c r="K17" i="20"/>
  <c r="L17" i="20"/>
  <c r="A17" i="20"/>
  <c r="B16" i="20"/>
  <c r="C16" i="20"/>
  <c r="D16" i="20"/>
  <c r="E16" i="20"/>
  <c r="F16" i="20"/>
  <c r="G16" i="20"/>
  <c r="H16" i="20"/>
  <c r="I16" i="20"/>
  <c r="J16" i="20"/>
  <c r="K16" i="20"/>
  <c r="L16" i="20"/>
  <c r="A16" i="20"/>
  <c r="D38" i="20"/>
  <c r="D37" i="20"/>
  <c r="D56" i="17"/>
  <c r="B8" i="17" s="1"/>
  <c r="H8" i="3" s="1"/>
  <c r="L24" i="17"/>
  <c r="K24" i="17"/>
  <c r="J24" i="17"/>
  <c r="I24" i="17"/>
  <c r="H24" i="17"/>
  <c r="G24" i="17"/>
  <c r="F24" i="17"/>
  <c r="E24" i="17"/>
  <c r="D24" i="17"/>
  <c r="C24" i="17"/>
  <c r="B24" i="17"/>
  <c r="A24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L16" i="17"/>
  <c r="K16" i="17"/>
  <c r="J16" i="17"/>
  <c r="I16" i="17"/>
  <c r="H16" i="17"/>
  <c r="G16" i="17"/>
  <c r="F16" i="17"/>
  <c r="E16" i="17"/>
  <c r="D16" i="17"/>
  <c r="C16" i="17"/>
  <c r="B16" i="17"/>
  <c r="Z23" i="3"/>
  <c r="A24" i="19"/>
  <c r="AK25" i="3" l="1"/>
  <c r="AQ25" i="3"/>
  <c r="Z25" i="3"/>
  <c r="AO25" i="3"/>
  <c r="AB23" i="3"/>
  <c r="AD23" i="3"/>
  <c r="AX23" i="3"/>
  <c r="AV23" i="3"/>
  <c r="AF23" i="3"/>
  <c r="AZ23" i="3"/>
  <c r="BB23" i="3"/>
  <c r="AQ23" i="3"/>
  <c r="AO23" i="3"/>
  <c r="AM23" i="3"/>
  <c r="AK23" i="3"/>
  <c r="AS23" i="3" s="1"/>
  <c r="AT23" i="3" s="1"/>
  <c r="D39" i="20"/>
  <c r="B8" i="20" s="1"/>
  <c r="J8" i="3" s="1"/>
  <c r="AF25" i="3"/>
  <c r="AD25" i="3"/>
  <c r="AB25" i="3"/>
  <c r="BB25" i="3"/>
  <c r="AZ25" i="3"/>
  <c r="AX25" i="3"/>
  <c r="AV25" i="3"/>
  <c r="B9" i="15"/>
  <c r="C24" i="20"/>
  <c r="B24" i="20"/>
  <c r="C14" i="20"/>
  <c r="C19" i="20"/>
  <c r="B19" i="20"/>
  <c r="B14" i="20"/>
  <c r="B9" i="20" s="1"/>
  <c r="J9" i="3" s="1"/>
  <c r="B22" i="17"/>
  <c r="B18" i="17"/>
  <c r="B14" i="17"/>
  <c r="L27" i="18"/>
  <c r="L26" i="18"/>
  <c r="K27" i="18"/>
  <c r="K26" i="18"/>
  <c r="J27" i="18"/>
  <c r="J26" i="18"/>
  <c r="I27" i="18"/>
  <c r="I26" i="18"/>
  <c r="H27" i="18"/>
  <c r="H26" i="18"/>
  <c r="G27" i="18"/>
  <c r="G26" i="18"/>
  <c r="F27" i="18"/>
  <c r="F26" i="18"/>
  <c r="E27" i="18"/>
  <c r="E26" i="18"/>
  <c r="D27" i="18"/>
  <c r="D26" i="18"/>
  <c r="C27" i="18"/>
  <c r="C26" i="18"/>
  <c r="B27" i="18"/>
  <c r="B26" i="18"/>
  <c r="A27" i="18"/>
  <c r="A26" i="18"/>
  <c r="L22" i="18"/>
  <c r="L21" i="18"/>
  <c r="K22" i="18"/>
  <c r="K21" i="18"/>
  <c r="J22" i="18"/>
  <c r="J21" i="18"/>
  <c r="I22" i="18"/>
  <c r="I21" i="18"/>
  <c r="H22" i="18"/>
  <c r="H21" i="18"/>
  <c r="G22" i="18"/>
  <c r="G21" i="18"/>
  <c r="F22" i="18"/>
  <c r="F21" i="18"/>
  <c r="E22" i="18"/>
  <c r="E21" i="18"/>
  <c r="D22" i="18"/>
  <c r="D21" i="18"/>
  <c r="C22" i="18"/>
  <c r="C21" i="18"/>
  <c r="B22" i="18"/>
  <c r="B21" i="18"/>
  <c r="A22" i="18"/>
  <c r="A21" i="18"/>
  <c r="L17" i="18"/>
  <c r="K17" i="18"/>
  <c r="J17" i="18"/>
  <c r="I17" i="18"/>
  <c r="H17" i="18"/>
  <c r="G17" i="18"/>
  <c r="F17" i="18"/>
  <c r="E17" i="18"/>
  <c r="D17" i="18"/>
  <c r="C17" i="18"/>
  <c r="B17" i="18"/>
  <c r="A17" i="18"/>
  <c r="B16" i="18"/>
  <c r="C16" i="18"/>
  <c r="D16" i="18"/>
  <c r="E16" i="18"/>
  <c r="F16" i="18"/>
  <c r="G16" i="18"/>
  <c r="H16" i="18"/>
  <c r="I16" i="18"/>
  <c r="J16" i="18"/>
  <c r="K16" i="18"/>
  <c r="L16" i="18"/>
  <c r="A16" i="18"/>
  <c r="C50" i="18"/>
  <c r="B8" i="18" s="1"/>
  <c r="I8" i="3" s="1"/>
  <c r="A32" i="19"/>
  <c r="B32" i="19"/>
  <c r="C32" i="19"/>
  <c r="D32" i="19"/>
  <c r="E32" i="19"/>
  <c r="F32" i="19"/>
  <c r="G32" i="19"/>
  <c r="H32" i="19"/>
  <c r="I32" i="19"/>
  <c r="J32" i="19"/>
  <c r="K32" i="19"/>
  <c r="L32" i="19"/>
  <c r="L28" i="19"/>
  <c r="K28" i="19"/>
  <c r="J28" i="19"/>
  <c r="AQ26" i="3" s="1"/>
  <c r="I28" i="19"/>
  <c r="H28" i="19"/>
  <c r="G28" i="19"/>
  <c r="AO26" i="3" s="1"/>
  <c r="F28" i="19"/>
  <c r="E28" i="19"/>
  <c r="D28" i="19"/>
  <c r="AM26" i="3" s="1"/>
  <c r="C28" i="19"/>
  <c r="B28" i="19"/>
  <c r="A28" i="19"/>
  <c r="AK26" i="3" s="1"/>
  <c r="B24" i="19"/>
  <c r="C24" i="19"/>
  <c r="D24" i="19"/>
  <c r="E24" i="19"/>
  <c r="F24" i="19"/>
  <c r="G24" i="19"/>
  <c r="H24" i="19"/>
  <c r="I24" i="19"/>
  <c r="J24" i="19"/>
  <c r="K24" i="19"/>
  <c r="L24" i="19"/>
  <c r="L20" i="19"/>
  <c r="K20" i="19"/>
  <c r="J20" i="19"/>
  <c r="U26" i="3" s="1"/>
  <c r="I20" i="19"/>
  <c r="H20" i="19"/>
  <c r="G20" i="19"/>
  <c r="S26" i="3" s="1"/>
  <c r="F20" i="19"/>
  <c r="E20" i="19"/>
  <c r="D20" i="19"/>
  <c r="Q26" i="3" s="1"/>
  <c r="C20" i="19"/>
  <c r="B20" i="19"/>
  <c r="A20" i="19"/>
  <c r="O26" i="3" s="1"/>
  <c r="W26" i="3" s="1"/>
  <c r="X26" i="3" s="1"/>
  <c r="B16" i="19"/>
  <c r="C16" i="19"/>
  <c r="D16" i="19"/>
  <c r="E16" i="19"/>
  <c r="F16" i="19"/>
  <c r="G16" i="19"/>
  <c r="H16" i="19"/>
  <c r="I16" i="19"/>
  <c r="J16" i="19"/>
  <c r="K16" i="19"/>
  <c r="L16" i="19"/>
  <c r="A16" i="19"/>
  <c r="D26" i="3" s="1"/>
  <c r="A17" i="16"/>
  <c r="AS25" i="3" l="1"/>
  <c r="AT25" i="3" s="1"/>
  <c r="BD25" i="3"/>
  <c r="BE25" i="3" s="1"/>
  <c r="AH25" i="3"/>
  <c r="AI25" i="3" s="1"/>
  <c r="AK24" i="3"/>
  <c r="BB24" i="3"/>
  <c r="AZ24" i="3"/>
  <c r="AV24" i="3"/>
  <c r="AM24" i="3"/>
  <c r="AO24" i="3"/>
  <c r="AX24" i="3"/>
  <c r="AQ24" i="3"/>
  <c r="Z24" i="3"/>
  <c r="AH23" i="3"/>
  <c r="AI23" i="3" s="1"/>
  <c r="BD23" i="3"/>
  <c r="BE23" i="3" s="1"/>
  <c r="J26" i="3"/>
  <c r="H26" i="3"/>
  <c r="F26" i="3"/>
  <c r="L26" i="3" s="1"/>
  <c r="M26" i="3" s="1"/>
  <c r="AF26" i="3"/>
  <c r="AD26" i="3"/>
  <c r="AB26" i="3"/>
  <c r="Z26" i="3"/>
  <c r="AH26" i="3" s="1"/>
  <c r="AI26" i="3" s="1"/>
  <c r="AS26" i="3"/>
  <c r="AT26" i="3" s="1"/>
  <c r="BB26" i="3"/>
  <c r="AZ26" i="3"/>
  <c r="AX26" i="3"/>
  <c r="AV26" i="3"/>
  <c r="BD26" i="3" s="1"/>
  <c r="BE26" i="3" s="1"/>
  <c r="AF24" i="3"/>
  <c r="AD24" i="3"/>
  <c r="AB24" i="3"/>
  <c r="C9" i="3"/>
  <c r="B10" i="15"/>
  <c r="B9" i="17"/>
  <c r="H9" i="3" s="1"/>
  <c r="C9" i="20"/>
  <c r="C19" i="18"/>
  <c r="C14" i="18"/>
  <c r="B19" i="18"/>
  <c r="C24" i="18"/>
  <c r="B24" i="18"/>
  <c r="B14" i="18"/>
  <c r="C50" i="19"/>
  <c r="C49" i="19"/>
  <c r="C48" i="19"/>
  <c r="C47" i="19"/>
  <c r="C44" i="19"/>
  <c r="C43" i="19"/>
  <c r="C40" i="19"/>
  <c r="C39" i="19"/>
  <c r="C38" i="19"/>
  <c r="C37" i="19"/>
  <c r="C36" i="19"/>
  <c r="AS24" i="3" l="1"/>
  <c r="AT24" i="3" s="1"/>
  <c r="BD24" i="3"/>
  <c r="BE24" i="3" s="1"/>
  <c r="B9" i="18"/>
  <c r="I9" i="3" s="1"/>
  <c r="AH24" i="3"/>
  <c r="AI24" i="3" s="1"/>
  <c r="C59" i="19"/>
  <c r="B8" i="19" s="1"/>
  <c r="K8" i="3" s="1"/>
  <c r="B10" i="20"/>
  <c r="F11" i="3"/>
  <c r="D8" i="3"/>
  <c r="B8" i="3"/>
  <c r="C10" i="20" l="1"/>
  <c r="J11" i="3" s="1"/>
  <c r="J10" i="3"/>
  <c r="B18" i="19"/>
  <c r="B22" i="19"/>
  <c r="B14" i="19"/>
  <c r="B26" i="19"/>
  <c r="B30" i="19"/>
  <c r="D19" i="3"/>
  <c r="D31" i="3" s="1"/>
  <c r="BC21" i="3"/>
  <c r="BB21" i="3"/>
  <c r="AZ21" i="3"/>
  <c r="AX21" i="3"/>
  <c r="AV21" i="3"/>
  <c r="AR21" i="3"/>
  <c r="AQ21" i="3"/>
  <c r="AO21" i="3"/>
  <c r="AM21" i="3"/>
  <c r="AK21" i="3"/>
  <c r="AG21" i="3"/>
  <c r="AF21" i="3"/>
  <c r="AD21" i="3"/>
  <c r="AB21" i="3"/>
  <c r="Z21" i="3"/>
  <c r="U21" i="3"/>
  <c r="U30" i="3" s="1"/>
  <c r="S21" i="3"/>
  <c r="S30" i="3" s="1"/>
  <c r="Q21" i="3"/>
  <c r="Q30" i="3" s="1"/>
  <c r="O21" i="3"/>
  <c r="O30" i="3" s="1"/>
  <c r="J21" i="3"/>
  <c r="J30" i="3" s="1"/>
  <c r="H21" i="3"/>
  <c r="H30" i="3" s="1"/>
  <c r="F21" i="3"/>
  <c r="F30" i="3" s="1"/>
  <c r="D21" i="3"/>
  <c r="D30" i="3" s="1"/>
  <c r="BC20" i="3"/>
  <c r="BC30" i="3" s="1"/>
  <c r="BB20" i="3"/>
  <c r="BB30" i="3" s="1"/>
  <c r="AZ20" i="3"/>
  <c r="AZ30" i="3" s="1"/>
  <c r="AX20" i="3"/>
  <c r="AX30" i="3" s="1"/>
  <c r="AV20" i="3"/>
  <c r="AV30" i="3" s="1"/>
  <c r="AR20" i="3"/>
  <c r="AR30" i="3" s="1"/>
  <c r="AQ20" i="3"/>
  <c r="AO20" i="3"/>
  <c r="AM20" i="3"/>
  <c r="AK20" i="3"/>
  <c r="AG20" i="3"/>
  <c r="AG30" i="3" s="1"/>
  <c r="AF20" i="3"/>
  <c r="AF30" i="3" s="1"/>
  <c r="AD20" i="3"/>
  <c r="AD30" i="3" s="1"/>
  <c r="AB20" i="3"/>
  <c r="AB30" i="3" s="1"/>
  <c r="Z20" i="3"/>
  <c r="W20" i="3"/>
  <c r="V20" i="3"/>
  <c r="V30" i="3" s="1"/>
  <c r="L20" i="3"/>
  <c r="K20" i="3"/>
  <c r="K30" i="3" s="1"/>
  <c r="BC19" i="3"/>
  <c r="BB19" i="3"/>
  <c r="AZ19" i="3"/>
  <c r="AX19" i="3"/>
  <c r="AV19" i="3"/>
  <c r="AR19" i="3"/>
  <c r="AQ19" i="3"/>
  <c r="AO19" i="3"/>
  <c r="AM19" i="3"/>
  <c r="AK19" i="3"/>
  <c r="AG19" i="3"/>
  <c r="AG31" i="3" s="1"/>
  <c r="AF19" i="3"/>
  <c r="AD19" i="3"/>
  <c r="AB19" i="3"/>
  <c r="Z19" i="3"/>
  <c r="V19" i="3"/>
  <c r="U19" i="3"/>
  <c r="S19" i="3"/>
  <c r="Q19" i="3"/>
  <c r="O19" i="3"/>
  <c r="K19" i="3"/>
  <c r="J19" i="3"/>
  <c r="J31" i="3" s="1"/>
  <c r="H19" i="3"/>
  <c r="H31" i="3" s="1"/>
  <c r="F19" i="3"/>
  <c r="F31" i="3" s="1"/>
  <c r="BE18" i="3"/>
  <c r="AT18" i="3"/>
  <c r="W18" i="3"/>
  <c r="V18" i="3"/>
  <c r="BC17" i="3"/>
  <c r="BC31" i="3" s="1"/>
  <c r="AR17" i="3"/>
  <c r="AR31" i="3" s="1"/>
  <c r="V17" i="3"/>
  <c r="V31" i="3" s="1"/>
  <c r="L17" i="3"/>
  <c r="K17" i="3"/>
  <c r="E11" i="3"/>
  <c r="D11" i="3"/>
  <c r="B11" i="3"/>
  <c r="F10" i="3"/>
  <c r="E10" i="3"/>
  <c r="D10" i="3"/>
  <c r="B10" i="3"/>
  <c r="F9" i="3"/>
  <c r="E9" i="3"/>
  <c r="D9" i="3"/>
  <c r="B9" i="3"/>
  <c r="F8" i="3"/>
  <c r="E8" i="3"/>
  <c r="C69" i="23"/>
  <c r="K53" i="23"/>
  <c r="G53" i="23"/>
  <c r="F53" i="23"/>
  <c r="B53" i="23"/>
  <c r="K52" i="23"/>
  <c r="B52" i="23" s="1"/>
  <c r="G52" i="23"/>
  <c r="F52" i="23"/>
  <c r="K51" i="23"/>
  <c r="B51" i="23" s="1"/>
  <c r="G51" i="23"/>
  <c r="F51" i="23"/>
  <c r="K50" i="23"/>
  <c r="G50" i="23"/>
  <c r="F50" i="23"/>
  <c r="B50" i="23"/>
  <c r="K49" i="23"/>
  <c r="G49" i="23"/>
  <c r="F49" i="23"/>
  <c r="B49" i="23"/>
  <c r="K48" i="23"/>
  <c r="B48" i="23" s="1"/>
  <c r="G48" i="23"/>
  <c r="F48" i="23"/>
  <c r="K47" i="23"/>
  <c r="B47" i="23" s="1"/>
  <c r="G47" i="23"/>
  <c r="F47" i="23"/>
  <c r="K46" i="23"/>
  <c r="G46" i="23"/>
  <c r="F46" i="23"/>
  <c r="B46" i="23"/>
  <c r="K45" i="23"/>
  <c r="G45" i="23"/>
  <c r="F45" i="23"/>
  <c r="B45" i="23"/>
  <c r="K44" i="23"/>
  <c r="B44" i="23" s="1"/>
  <c r="G44" i="23"/>
  <c r="F44" i="23"/>
  <c r="K43" i="23"/>
  <c r="G43" i="23"/>
  <c r="F43" i="23"/>
  <c r="B43" i="23"/>
  <c r="K42" i="23"/>
  <c r="G42" i="23"/>
  <c r="F42" i="23"/>
  <c r="B42" i="23"/>
  <c r="K41" i="23"/>
  <c r="G41" i="23"/>
  <c r="F41" i="23"/>
  <c r="B41" i="23"/>
  <c r="A16" i="23"/>
  <c r="E4" i="23"/>
  <c r="C76" i="22"/>
  <c r="K35" i="22"/>
  <c r="G35" i="22"/>
  <c r="F35" i="22"/>
  <c r="K34" i="22"/>
  <c r="G34" i="22"/>
  <c r="F34" i="22"/>
  <c r="K33" i="22"/>
  <c r="G33" i="22"/>
  <c r="F33" i="22"/>
  <c r="J32" i="22"/>
  <c r="K32" i="22" s="1"/>
  <c r="G32" i="22"/>
  <c r="F32" i="22"/>
  <c r="I31" i="22"/>
  <c r="J31" i="22" s="1"/>
  <c r="K31" i="22" s="1"/>
  <c r="G31" i="22"/>
  <c r="F31" i="22"/>
  <c r="B8" i="22"/>
  <c r="E4" i="22"/>
  <c r="B8" i="14"/>
  <c r="G146" i="14"/>
  <c r="F146" i="14"/>
  <c r="G145" i="14"/>
  <c r="F145" i="14"/>
  <c r="G144" i="14"/>
  <c r="F144" i="14"/>
  <c r="G143" i="14"/>
  <c r="F143" i="14"/>
  <c r="G142" i="14"/>
  <c r="F142" i="14"/>
  <c r="G141" i="14"/>
  <c r="F141" i="14"/>
  <c r="G140" i="14"/>
  <c r="F140" i="14"/>
  <c r="G139" i="14"/>
  <c r="F139" i="14"/>
  <c r="G138" i="14"/>
  <c r="F138" i="14"/>
  <c r="G137" i="14"/>
  <c r="F137" i="14"/>
  <c r="G136" i="14"/>
  <c r="F136" i="14"/>
  <c r="G135" i="14"/>
  <c r="F135" i="14"/>
  <c r="G134" i="14"/>
  <c r="F134" i="14"/>
  <c r="G133" i="14"/>
  <c r="F133" i="14"/>
  <c r="G132" i="14"/>
  <c r="F132" i="14"/>
  <c r="G131" i="14"/>
  <c r="F131" i="14"/>
  <c r="G130" i="14"/>
  <c r="F130" i="14"/>
  <c r="G129" i="14"/>
  <c r="F129" i="14"/>
  <c r="G128" i="14"/>
  <c r="F128" i="14"/>
  <c r="G127" i="14"/>
  <c r="F127" i="14"/>
  <c r="G126" i="14"/>
  <c r="F126" i="14"/>
  <c r="G125" i="14"/>
  <c r="F125" i="14"/>
  <c r="G124" i="14"/>
  <c r="F124" i="14"/>
  <c r="G123" i="14"/>
  <c r="F123" i="14"/>
  <c r="G122" i="14"/>
  <c r="F122" i="14"/>
  <c r="G121" i="14"/>
  <c r="F121" i="14"/>
  <c r="G120" i="14"/>
  <c r="F120" i="14"/>
  <c r="G119" i="14"/>
  <c r="F119" i="14"/>
  <c r="G118" i="14"/>
  <c r="F118" i="14"/>
  <c r="G117" i="14"/>
  <c r="F117" i="14"/>
  <c r="G116" i="14"/>
  <c r="F116" i="14"/>
  <c r="G115" i="14"/>
  <c r="F115" i="14"/>
  <c r="G114" i="14"/>
  <c r="F114" i="14"/>
  <c r="G113" i="14"/>
  <c r="F113" i="14"/>
  <c r="G112" i="14"/>
  <c r="F112" i="14"/>
  <c r="G111" i="14"/>
  <c r="F111" i="14"/>
  <c r="C111" i="14"/>
  <c r="G110" i="14"/>
  <c r="F110" i="14"/>
  <c r="G109" i="14"/>
  <c r="F109" i="14"/>
  <c r="G108" i="14"/>
  <c r="F108" i="14"/>
  <c r="G107" i="14"/>
  <c r="F107" i="14"/>
  <c r="G106" i="14"/>
  <c r="F106" i="14"/>
  <c r="G105" i="14"/>
  <c r="F105" i="14"/>
  <c r="G104" i="14"/>
  <c r="F104" i="14"/>
  <c r="G103" i="14"/>
  <c r="F103" i="14"/>
  <c r="G102" i="14"/>
  <c r="F102" i="14"/>
  <c r="G101" i="14"/>
  <c r="F101" i="14"/>
  <c r="G100" i="14"/>
  <c r="F100" i="14"/>
  <c r="G99" i="14"/>
  <c r="F99" i="14"/>
  <c r="G98" i="14"/>
  <c r="F98" i="14"/>
  <c r="G97" i="14"/>
  <c r="F97" i="14"/>
  <c r="G96" i="14"/>
  <c r="F96" i="14"/>
  <c r="G95" i="14"/>
  <c r="F95" i="14"/>
  <c r="G94" i="14"/>
  <c r="F94" i="14"/>
  <c r="G93" i="14"/>
  <c r="F93" i="14"/>
  <c r="G92" i="14"/>
  <c r="F92" i="14"/>
  <c r="G91" i="14"/>
  <c r="F91" i="14"/>
  <c r="G90" i="14"/>
  <c r="F90" i="14"/>
  <c r="G89" i="14"/>
  <c r="F89" i="14"/>
  <c r="G88" i="14"/>
  <c r="F88" i="14"/>
  <c r="C88" i="14"/>
  <c r="G87" i="14"/>
  <c r="F87" i="14"/>
  <c r="G86" i="14"/>
  <c r="F86" i="14"/>
  <c r="G85" i="14"/>
  <c r="F85" i="14"/>
  <c r="G84" i="14"/>
  <c r="F84" i="14"/>
  <c r="G83" i="14"/>
  <c r="F83" i="14"/>
  <c r="G82" i="14"/>
  <c r="F82" i="14"/>
  <c r="G79" i="14"/>
  <c r="F79" i="14"/>
  <c r="G78" i="14"/>
  <c r="F78" i="14"/>
  <c r="G77" i="14"/>
  <c r="F77" i="14"/>
  <c r="G76" i="14"/>
  <c r="F76" i="14"/>
  <c r="G75" i="14"/>
  <c r="F75" i="14"/>
  <c r="G74" i="14"/>
  <c r="F74" i="14"/>
  <c r="G71" i="14"/>
  <c r="F71" i="14"/>
  <c r="G70" i="14"/>
  <c r="F70" i="14"/>
  <c r="G69" i="14"/>
  <c r="F69" i="14"/>
  <c r="G68" i="14"/>
  <c r="F68" i="14"/>
  <c r="G67" i="14"/>
  <c r="F67" i="14"/>
  <c r="G66" i="14"/>
  <c r="F66" i="14"/>
  <c r="G65" i="14"/>
  <c r="F65" i="14"/>
  <c r="G64" i="14"/>
  <c r="F64" i="14"/>
  <c r="G63" i="14"/>
  <c r="F63" i="14"/>
  <c r="G62" i="14"/>
  <c r="F62" i="14"/>
  <c r="G61" i="14"/>
  <c r="F61" i="14"/>
  <c r="G60" i="14"/>
  <c r="F60" i="14"/>
  <c r="G59" i="14"/>
  <c r="F59" i="14"/>
  <c r="G58" i="14"/>
  <c r="F58" i="14"/>
  <c r="G57" i="14"/>
  <c r="F57" i="14"/>
  <c r="G56" i="14"/>
  <c r="F56" i="14"/>
  <c r="G55" i="14"/>
  <c r="F55" i="14"/>
  <c r="G54" i="14"/>
  <c r="F54" i="14"/>
  <c r="G53" i="14"/>
  <c r="F53" i="14"/>
  <c r="G52" i="14"/>
  <c r="F52" i="14"/>
  <c r="G51" i="14"/>
  <c r="F51" i="14"/>
  <c r="G50" i="14"/>
  <c r="F50" i="14"/>
  <c r="G49" i="14"/>
  <c r="F49" i="14"/>
  <c r="G48" i="14"/>
  <c r="F48" i="14"/>
  <c r="G47" i="14"/>
  <c r="F47" i="14"/>
  <c r="G46" i="14"/>
  <c r="F46" i="14"/>
  <c r="G45" i="14"/>
  <c r="F45" i="14"/>
  <c r="G44" i="14"/>
  <c r="F44" i="14"/>
  <c r="G43" i="14"/>
  <c r="F43" i="14"/>
  <c r="G42" i="14"/>
  <c r="F42" i="14"/>
  <c r="G41" i="14"/>
  <c r="F41" i="14"/>
  <c r="G40" i="14"/>
  <c r="F40" i="14"/>
  <c r="E4" i="14"/>
  <c r="C193" i="14" l="1"/>
  <c r="Z30" i="3"/>
  <c r="AK30" i="3"/>
  <c r="AM30" i="3"/>
  <c r="AO30" i="3"/>
  <c r="AQ30" i="3"/>
  <c r="L36" i="14"/>
  <c r="D30" i="14"/>
  <c r="E26" i="14"/>
  <c r="E21" i="14"/>
  <c r="H15" i="14"/>
  <c r="E36" i="14"/>
  <c r="L15" i="14"/>
  <c r="G21" i="14"/>
  <c r="F21" i="14"/>
  <c r="B25" i="14"/>
  <c r="F35" i="14"/>
  <c r="L16" i="22"/>
  <c r="C27" i="22"/>
  <c r="E17" i="23"/>
  <c r="M17" i="3"/>
  <c r="K31" i="3"/>
  <c r="X18" i="3"/>
  <c r="C25" i="14"/>
  <c r="C16" i="23"/>
  <c r="G26" i="14"/>
  <c r="G35" i="14"/>
  <c r="E25" i="14"/>
  <c r="I21" i="14"/>
  <c r="G25" i="14"/>
  <c r="H36" i="14"/>
  <c r="J37" i="23"/>
  <c r="B15" i="14"/>
  <c r="E20" i="14"/>
  <c r="H25" i="14"/>
  <c r="I16" i="14"/>
  <c r="K21" i="14"/>
  <c r="K26" i="14"/>
  <c r="G30" i="14"/>
  <c r="B35" i="14"/>
  <c r="I35" i="14"/>
  <c r="G26" i="23"/>
  <c r="M20" i="3"/>
  <c r="J15" i="14"/>
  <c r="K30" i="14"/>
  <c r="K15" i="14"/>
  <c r="F26" i="14"/>
  <c r="D31" i="14"/>
  <c r="F36" i="14"/>
  <c r="D25" i="14"/>
  <c r="L30" i="14"/>
  <c r="F16" i="14"/>
  <c r="H26" i="14"/>
  <c r="G36" i="14"/>
  <c r="F25" i="14"/>
  <c r="I26" i="14"/>
  <c r="H35" i="14"/>
  <c r="J26" i="14"/>
  <c r="C15" i="14"/>
  <c r="L21" i="14"/>
  <c r="A21" i="22"/>
  <c r="D15" i="14"/>
  <c r="G20" i="14"/>
  <c r="J25" i="14"/>
  <c r="K16" i="14"/>
  <c r="A21" i="14"/>
  <c r="A30" i="14"/>
  <c r="H30" i="14"/>
  <c r="C35" i="14"/>
  <c r="J35" i="14"/>
  <c r="B22" i="22"/>
  <c r="I31" i="23"/>
  <c r="E30" i="14"/>
  <c r="D37" i="23"/>
  <c r="B20" i="14"/>
  <c r="L31" i="14"/>
  <c r="C20" i="14"/>
  <c r="A35" i="14"/>
  <c r="H16" i="14"/>
  <c r="A36" i="14"/>
  <c r="H22" i="23"/>
  <c r="I25" i="14"/>
  <c r="L26" i="14"/>
  <c r="B36" i="14"/>
  <c r="I27" i="23"/>
  <c r="E15" i="14"/>
  <c r="H20" i="14"/>
  <c r="K25" i="14"/>
  <c r="L16" i="14"/>
  <c r="A25" i="14"/>
  <c r="A31" i="14"/>
  <c r="H31" i="14"/>
  <c r="C36" i="14"/>
  <c r="J36" i="14"/>
  <c r="B26" i="22"/>
  <c r="J31" i="23"/>
  <c r="D16" i="14"/>
  <c r="E16" i="14"/>
  <c r="H21" i="14"/>
  <c r="G16" i="14"/>
  <c r="J21" i="14"/>
  <c r="K16" i="22"/>
  <c r="F20" i="14"/>
  <c r="G31" i="14"/>
  <c r="F15" i="14"/>
  <c r="I20" i="14"/>
  <c r="L25" i="14"/>
  <c r="A20" i="14"/>
  <c r="A26" i="14"/>
  <c r="B30" i="14"/>
  <c r="I30" i="14"/>
  <c r="D35" i="14"/>
  <c r="K35" i="14"/>
  <c r="D27" i="22"/>
  <c r="K32" i="23"/>
  <c r="B9" i="19"/>
  <c r="K9" i="3" s="1"/>
  <c r="C16" i="14"/>
  <c r="K31" i="14"/>
  <c r="E31" i="14"/>
  <c r="E21" i="23"/>
  <c r="F30" i="14"/>
  <c r="G22" i="23"/>
  <c r="D20" i="14"/>
  <c r="F31" i="14"/>
  <c r="J16" i="14"/>
  <c r="I36" i="14"/>
  <c r="G15" i="14"/>
  <c r="J20" i="14"/>
  <c r="A15" i="14"/>
  <c r="B21" i="14"/>
  <c r="B26" i="14"/>
  <c r="B31" i="14"/>
  <c r="I31" i="14"/>
  <c r="D36" i="14"/>
  <c r="K36" i="14"/>
  <c r="B27" i="22"/>
  <c r="L32" i="23"/>
  <c r="J27" i="23"/>
  <c r="K20" i="14"/>
  <c r="A16" i="14"/>
  <c r="C21" i="14"/>
  <c r="C26" i="14"/>
  <c r="C30" i="14"/>
  <c r="J30" i="14"/>
  <c r="E35" i="14"/>
  <c r="L35" i="14"/>
  <c r="K36" i="23"/>
  <c r="I15" i="14"/>
  <c r="L20" i="14"/>
  <c r="B16" i="14"/>
  <c r="D21" i="14"/>
  <c r="D26" i="14"/>
  <c r="C31" i="14"/>
  <c r="J31" i="14"/>
  <c r="L36" i="23"/>
  <c r="H17" i="23"/>
  <c r="L31" i="23"/>
  <c r="AS20" i="3"/>
  <c r="BD21" i="3"/>
  <c r="BE21" i="3" s="1"/>
  <c r="AH21" i="3"/>
  <c r="AI21" i="3" s="1"/>
  <c r="BD20" i="3"/>
  <c r="BD30" i="3" s="1"/>
  <c r="AH20" i="3"/>
  <c r="AH30" i="3" s="1"/>
  <c r="L21" i="3"/>
  <c r="AS19" i="3"/>
  <c r="AH19" i="3"/>
  <c r="AS21" i="3"/>
  <c r="L19" i="3"/>
  <c r="L31" i="3" s="1"/>
  <c r="W21" i="3"/>
  <c r="W30" i="3" s="1"/>
  <c r="W19" i="3"/>
  <c r="BD19" i="3"/>
  <c r="X20" i="3"/>
  <c r="B69" i="23"/>
  <c r="B8" i="23" s="1"/>
  <c r="C17" i="23"/>
  <c r="C21" i="23"/>
  <c r="E22" i="23"/>
  <c r="E26" i="23"/>
  <c r="G27" i="23"/>
  <c r="G31" i="23"/>
  <c r="I32" i="23"/>
  <c r="I36" i="23"/>
  <c r="K37" i="23"/>
  <c r="B16" i="23"/>
  <c r="D17" i="23"/>
  <c r="D21" i="23"/>
  <c r="F22" i="23"/>
  <c r="F26" i="23"/>
  <c r="H27" i="23"/>
  <c r="H31" i="23"/>
  <c r="J32" i="23"/>
  <c r="J36" i="23"/>
  <c r="L37" i="23"/>
  <c r="D16" i="23"/>
  <c r="G17" i="23"/>
  <c r="I26" i="23"/>
  <c r="A37" i="23"/>
  <c r="F16" i="23"/>
  <c r="H21" i="23"/>
  <c r="L27" i="23"/>
  <c r="I21" i="23"/>
  <c r="A32" i="23"/>
  <c r="J17" i="23"/>
  <c r="L26" i="23"/>
  <c r="B32" i="23"/>
  <c r="K21" i="23"/>
  <c r="A31" i="23"/>
  <c r="E37" i="23"/>
  <c r="L17" i="23"/>
  <c r="B31" i="23"/>
  <c r="D36" i="23"/>
  <c r="A26" i="23"/>
  <c r="C31" i="23"/>
  <c r="G37" i="23"/>
  <c r="L16" i="23"/>
  <c r="B22" i="23"/>
  <c r="B26" i="23"/>
  <c r="D27" i="23"/>
  <c r="D31" i="23"/>
  <c r="F32" i="23"/>
  <c r="F36" i="23"/>
  <c r="H37" i="23"/>
  <c r="F21" i="23"/>
  <c r="H26" i="23"/>
  <c r="E16" i="23"/>
  <c r="I22" i="23"/>
  <c r="K31" i="23"/>
  <c r="J26" i="23"/>
  <c r="B37" i="23"/>
  <c r="I17" i="23"/>
  <c r="K26" i="23"/>
  <c r="A36" i="23"/>
  <c r="H16" i="23"/>
  <c r="L22" i="23"/>
  <c r="B36" i="23"/>
  <c r="I16" i="23"/>
  <c r="A27" i="23"/>
  <c r="C36" i="23"/>
  <c r="L21" i="23"/>
  <c r="D32" i="23"/>
  <c r="K16" i="23"/>
  <c r="C27" i="23"/>
  <c r="E36" i="23"/>
  <c r="A17" i="23"/>
  <c r="A21" i="23"/>
  <c r="C22" i="23"/>
  <c r="C26" i="23"/>
  <c r="E27" i="23"/>
  <c r="E31" i="23"/>
  <c r="G32" i="23"/>
  <c r="G36" i="23"/>
  <c r="I37" i="23"/>
  <c r="G21" i="23"/>
  <c r="K27" i="23"/>
  <c r="J22" i="23"/>
  <c r="G16" i="23"/>
  <c r="K22" i="23"/>
  <c r="C37" i="23"/>
  <c r="J21" i="23"/>
  <c r="K17" i="23"/>
  <c r="C32" i="23"/>
  <c r="J16" i="23"/>
  <c r="B27" i="23"/>
  <c r="F37" i="23"/>
  <c r="A22" i="23"/>
  <c r="E32" i="23"/>
  <c r="B17" i="23"/>
  <c r="B21" i="23"/>
  <c r="D22" i="23"/>
  <c r="D26" i="23"/>
  <c r="F27" i="23"/>
  <c r="F31" i="23"/>
  <c r="H32" i="23"/>
  <c r="H36" i="23"/>
  <c r="B21" i="22"/>
  <c r="E22" i="22"/>
  <c r="C16" i="22"/>
  <c r="H22" i="22"/>
  <c r="J26" i="22"/>
  <c r="K21" i="22"/>
  <c r="A27" i="22"/>
  <c r="A17" i="22"/>
  <c r="C22" i="22"/>
  <c r="C26" i="22"/>
  <c r="E27" i="22"/>
  <c r="B17" i="22"/>
  <c r="D22" i="22"/>
  <c r="D26" i="22"/>
  <c r="F27" i="22"/>
  <c r="A16" i="22"/>
  <c r="C17" i="22"/>
  <c r="C21" i="22"/>
  <c r="E26" i="22"/>
  <c r="G27" i="22"/>
  <c r="B16" i="22"/>
  <c r="D17" i="22"/>
  <c r="D21" i="22"/>
  <c r="F22" i="22"/>
  <c r="F26" i="22"/>
  <c r="H27" i="22"/>
  <c r="E17" i="22"/>
  <c r="E21" i="22"/>
  <c r="G22" i="22"/>
  <c r="G26" i="22"/>
  <c r="I27" i="22"/>
  <c r="D16" i="22"/>
  <c r="F17" i="22"/>
  <c r="F21" i="22"/>
  <c r="H26" i="22"/>
  <c r="J27" i="22"/>
  <c r="E16" i="22"/>
  <c r="G17" i="22"/>
  <c r="G21" i="22"/>
  <c r="I22" i="22"/>
  <c r="I26" i="22"/>
  <c r="K27" i="22"/>
  <c r="F16" i="22"/>
  <c r="H17" i="22"/>
  <c r="H21" i="22"/>
  <c r="J22" i="22"/>
  <c r="L27" i="22"/>
  <c r="G16" i="22"/>
  <c r="I17" i="22"/>
  <c r="I21" i="22"/>
  <c r="K22" i="22"/>
  <c r="K26" i="22"/>
  <c r="H16" i="22"/>
  <c r="J17" i="22"/>
  <c r="J21" i="22"/>
  <c r="L22" i="22"/>
  <c r="L26" i="22"/>
  <c r="I16" i="22"/>
  <c r="K17" i="22"/>
  <c r="J16" i="22"/>
  <c r="L17" i="22"/>
  <c r="L21" i="22"/>
  <c r="A22" i="22"/>
  <c r="A26" i="22"/>
  <c r="C14" i="23" l="1"/>
  <c r="M21" i="3"/>
  <c r="L30" i="3"/>
  <c r="AT20" i="3"/>
  <c r="AS30" i="3"/>
  <c r="M30" i="3"/>
  <c r="B13" i="14"/>
  <c r="C28" i="14"/>
  <c r="B14" i="23"/>
  <c r="B19" i="22"/>
  <c r="AT21" i="3"/>
  <c r="M19" i="3"/>
  <c r="M31" i="3" s="1"/>
  <c r="BE20" i="3"/>
  <c r="BE30" i="3" s="1"/>
  <c r="AI20" i="3"/>
  <c r="AI30" i="3" s="1"/>
  <c r="BE19" i="3"/>
  <c r="AT19" i="3"/>
  <c r="X21" i="3"/>
  <c r="X30" i="3" s="1"/>
  <c r="AI19" i="3"/>
  <c r="X19" i="3"/>
  <c r="B24" i="23"/>
  <c r="B29" i="23"/>
  <c r="B34" i="23"/>
  <c r="B19" i="23"/>
  <c r="C19" i="23"/>
  <c r="C29" i="23"/>
  <c r="C34" i="23"/>
  <c r="C24" i="23"/>
  <c r="B24" i="22"/>
  <c r="C14" i="22"/>
  <c r="C19" i="22"/>
  <c r="C24" i="22"/>
  <c r="B14" i="22"/>
  <c r="B23" i="14"/>
  <c r="C23" i="14"/>
  <c r="C18" i="14"/>
  <c r="C13" i="14"/>
  <c r="B18" i="14"/>
  <c r="B33" i="14"/>
  <c r="B28" i="14"/>
  <c r="C33" i="14"/>
  <c r="AT30" i="3" l="1"/>
  <c r="B9" i="14"/>
  <c r="C9" i="14" s="1"/>
  <c r="B9" i="23"/>
  <c r="B9" i="22"/>
  <c r="C9" i="23" l="1"/>
  <c r="B10" i="23"/>
  <c r="C10" i="23" s="1"/>
  <c r="C9" i="22"/>
  <c r="B10" i="22"/>
  <c r="C10" i="22" s="1"/>
  <c r="B10" i="14"/>
  <c r="C10" i="14" s="1"/>
  <c r="B8" i="16" l="1"/>
  <c r="L37" i="16"/>
  <c r="L36" i="16"/>
  <c r="K37" i="16"/>
  <c r="K36" i="16"/>
  <c r="J37" i="16"/>
  <c r="J36" i="16"/>
  <c r="BB22" i="3" s="1"/>
  <c r="BB32" i="3" s="1"/>
  <c r="I37" i="16"/>
  <c r="I36" i="16"/>
  <c r="H37" i="16"/>
  <c r="H36" i="16"/>
  <c r="G37" i="16"/>
  <c r="G36" i="16"/>
  <c r="AZ22" i="3" s="1"/>
  <c r="AZ32" i="3" s="1"/>
  <c r="F37" i="16"/>
  <c r="F36" i="16"/>
  <c r="E37" i="16"/>
  <c r="E36" i="16"/>
  <c r="D37" i="16"/>
  <c r="D36" i="16"/>
  <c r="AX22" i="3" s="1"/>
  <c r="AX32" i="3" s="1"/>
  <c r="C37" i="16"/>
  <c r="C36" i="16"/>
  <c r="B37" i="16"/>
  <c r="B36" i="16"/>
  <c r="A37" i="16"/>
  <c r="A36" i="16"/>
  <c r="AV22" i="3" s="1"/>
  <c r="L32" i="16"/>
  <c r="L31" i="16"/>
  <c r="K32" i="16"/>
  <c r="K31" i="16"/>
  <c r="J32" i="16"/>
  <c r="J31" i="16"/>
  <c r="AQ22" i="3" s="1"/>
  <c r="AQ32" i="3" s="1"/>
  <c r="I32" i="16"/>
  <c r="I31" i="16"/>
  <c r="H32" i="16"/>
  <c r="H31" i="16"/>
  <c r="G32" i="16"/>
  <c r="G31" i="16"/>
  <c r="AO22" i="3" s="1"/>
  <c r="AO32" i="3" s="1"/>
  <c r="F32" i="16"/>
  <c r="F31" i="16"/>
  <c r="E32" i="16"/>
  <c r="E31" i="16"/>
  <c r="D32" i="16"/>
  <c r="D31" i="16"/>
  <c r="AM22" i="3" s="1"/>
  <c r="AM32" i="3" s="1"/>
  <c r="C32" i="16"/>
  <c r="C31" i="16"/>
  <c r="B32" i="16"/>
  <c r="B31" i="16"/>
  <c r="A32" i="16"/>
  <c r="A31" i="16"/>
  <c r="AK22" i="3" s="1"/>
  <c r="L27" i="16"/>
  <c r="L26" i="16"/>
  <c r="K27" i="16"/>
  <c r="K26" i="16"/>
  <c r="J27" i="16"/>
  <c r="J26" i="16"/>
  <c r="AF22" i="3" s="1"/>
  <c r="AF32" i="3" s="1"/>
  <c r="I27" i="16"/>
  <c r="I26" i="16"/>
  <c r="H27" i="16"/>
  <c r="H26" i="16"/>
  <c r="G27" i="16"/>
  <c r="G26" i="16"/>
  <c r="AD22" i="3" s="1"/>
  <c r="AD32" i="3" s="1"/>
  <c r="F27" i="16"/>
  <c r="F26" i="16"/>
  <c r="E27" i="16"/>
  <c r="E26" i="16"/>
  <c r="D27" i="16"/>
  <c r="D26" i="16"/>
  <c r="AB22" i="3" s="1"/>
  <c r="AB32" i="3" s="1"/>
  <c r="C27" i="16"/>
  <c r="C26" i="16"/>
  <c r="B27" i="16"/>
  <c r="B26" i="16"/>
  <c r="A27" i="16"/>
  <c r="A26" i="16"/>
  <c r="Z22" i="3" s="1"/>
  <c r="L22" i="16"/>
  <c r="L21" i="16"/>
  <c r="K22" i="16"/>
  <c r="K21" i="16"/>
  <c r="J22" i="16"/>
  <c r="J21" i="16"/>
  <c r="U22" i="3" s="1"/>
  <c r="U32" i="3" s="1"/>
  <c r="I22" i="16"/>
  <c r="I21" i="16"/>
  <c r="H22" i="16"/>
  <c r="H21" i="16"/>
  <c r="G22" i="16"/>
  <c r="G21" i="16"/>
  <c r="S22" i="3" s="1"/>
  <c r="S32" i="3" s="1"/>
  <c r="F22" i="16"/>
  <c r="F21" i="16"/>
  <c r="E22" i="16"/>
  <c r="E21" i="16"/>
  <c r="D22" i="16"/>
  <c r="D21" i="16"/>
  <c r="Q22" i="3" s="1"/>
  <c r="Q32" i="3" s="1"/>
  <c r="C22" i="16"/>
  <c r="B22" i="16"/>
  <c r="A22" i="16"/>
  <c r="C21" i="16"/>
  <c r="B21" i="16"/>
  <c r="A21" i="16"/>
  <c r="O22" i="3" s="1"/>
  <c r="L17" i="16"/>
  <c r="K17" i="16"/>
  <c r="J17" i="16"/>
  <c r="I17" i="16"/>
  <c r="H17" i="16"/>
  <c r="G17" i="16"/>
  <c r="F17" i="16"/>
  <c r="E17" i="16"/>
  <c r="D17" i="16"/>
  <c r="C17" i="16"/>
  <c r="B17" i="16"/>
  <c r="A16" i="16"/>
  <c r="L16" i="16"/>
  <c r="K16" i="16"/>
  <c r="J16" i="16"/>
  <c r="J22" i="3" s="1"/>
  <c r="J32" i="3" s="1"/>
  <c r="I16" i="16"/>
  <c r="H16" i="16"/>
  <c r="G16" i="16"/>
  <c r="H22" i="3" s="1"/>
  <c r="H32" i="3" s="1"/>
  <c r="F16" i="16"/>
  <c r="E16" i="16"/>
  <c r="D16" i="16"/>
  <c r="F22" i="3" s="1"/>
  <c r="F32" i="3" s="1"/>
  <c r="C16" i="16"/>
  <c r="B16" i="16"/>
  <c r="A16" i="12"/>
  <c r="D22" i="3" l="1"/>
  <c r="O32" i="3"/>
  <c r="W22" i="3"/>
  <c r="Z32" i="3"/>
  <c r="AH22" i="3"/>
  <c r="AK32" i="3"/>
  <c r="AS22" i="3"/>
  <c r="AV32" i="3"/>
  <c r="BD22" i="3"/>
  <c r="G8" i="3"/>
  <c r="C14" i="16"/>
  <c r="B14" i="16"/>
  <c r="B29" i="16"/>
  <c r="C24" i="16"/>
  <c r="C19" i="16"/>
  <c r="BE22" i="3" l="1"/>
  <c r="BE32" i="3" s="1"/>
  <c r="BD32" i="3"/>
  <c r="AT22" i="3"/>
  <c r="AT32" i="3" s="1"/>
  <c r="AS32" i="3"/>
  <c r="AI22" i="3"/>
  <c r="AI32" i="3" s="1"/>
  <c r="AH32" i="3"/>
  <c r="X22" i="3"/>
  <c r="X32" i="3" s="1"/>
  <c r="W32" i="3"/>
  <c r="D32" i="3"/>
  <c r="L22" i="3"/>
  <c r="B34" i="16"/>
  <c r="C34" i="16"/>
  <c r="C29" i="16"/>
  <c r="B19" i="16"/>
  <c r="B24" i="16"/>
  <c r="B10" i="19"/>
  <c r="C9" i="19"/>
  <c r="B10" i="18"/>
  <c r="C9" i="18"/>
  <c r="B10" i="17"/>
  <c r="C9" i="17"/>
  <c r="C10" i="15"/>
  <c r="C9" i="15"/>
  <c r="B9" i="16" l="1"/>
  <c r="L32" i="3"/>
  <c r="M22" i="3"/>
  <c r="M32" i="3" s="1"/>
  <c r="G9" i="3"/>
  <c r="B10" i="16"/>
  <c r="C9" i="16"/>
  <c r="C10" i="18"/>
  <c r="I11" i="3" s="1"/>
  <c r="I10" i="3"/>
  <c r="C10" i="19"/>
  <c r="K11" i="3" s="1"/>
  <c r="K10" i="3"/>
  <c r="C10" i="17"/>
  <c r="H11" i="3" s="1"/>
  <c r="H10" i="3"/>
  <c r="A17" i="13"/>
  <c r="L32" i="12"/>
  <c r="L31" i="12"/>
  <c r="K32" i="12"/>
  <c r="K31" i="12"/>
  <c r="J32" i="12"/>
  <c r="J31" i="12"/>
  <c r="I32" i="12"/>
  <c r="I31" i="12"/>
  <c r="H32" i="12"/>
  <c r="H31" i="12"/>
  <c r="G32" i="12"/>
  <c r="G31" i="12"/>
  <c r="F32" i="12"/>
  <c r="F31" i="12"/>
  <c r="E32" i="12"/>
  <c r="E31" i="12"/>
  <c r="D32" i="12"/>
  <c r="D31" i="12"/>
  <c r="C32" i="12"/>
  <c r="C31" i="12"/>
  <c r="B32" i="12"/>
  <c r="B31" i="12"/>
  <c r="A32" i="12"/>
  <c r="A31" i="12"/>
  <c r="L27" i="12"/>
  <c r="L26" i="12"/>
  <c r="K27" i="12"/>
  <c r="K26" i="12"/>
  <c r="J27" i="12"/>
  <c r="J26" i="12"/>
  <c r="I27" i="12"/>
  <c r="I26" i="12"/>
  <c r="H27" i="12"/>
  <c r="G27" i="12"/>
  <c r="F27" i="12"/>
  <c r="E27" i="12"/>
  <c r="D27" i="12"/>
  <c r="C27" i="12"/>
  <c r="B27" i="12"/>
  <c r="A27" i="12"/>
  <c r="A26" i="12"/>
  <c r="L22" i="12"/>
  <c r="K22" i="12"/>
  <c r="K21" i="12"/>
  <c r="J22" i="12"/>
  <c r="J21" i="12"/>
  <c r="I22" i="12"/>
  <c r="I21" i="12"/>
  <c r="H22" i="12"/>
  <c r="G22" i="12"/>
  <c r="G21" i="12"/>
  <c r="F22" i="12"/>
  <c r="F21" i="12"/>
  <c r="E22" i="12"/>
  <c r="D22" i="12"/>
  <c r="D21" i="12"/>
  <c r="C22" i="12"/>
  <c r="C21" i="12"/>
  <c r="B22" i="12"/>
  <c r="B21" i="12"/>
  <c r="A22" i="12"/>
  <c r="A21" i="12"/>
  <c r="L16" i="12"/>
  <c r="K16" i="12"/>
  <c r="J16" i="12"/>
  <c r="I16" i="12"/>
  <c r="G16" i="12"/>
  <c r="F16" i="12"/>
  <c r="E16" i="12"/>
  <c r="D16" i="12"/>
  <c r="C16" i="12"/>
  <c r="B16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G10" i="3" l="1"/>
  <c r="C10" i="16"/>
  <c r="G11" i="3" s="1"/>
  <c r="L23" i="13"/>
  <c r="K23" i="13"/>
  <c r="K22" i="13"/>
  <c r="K21" i="11" s="1"/>
  <c r="J23" i="13"/>
  <c r="J22" i="13"/>
  <c r="I23" i="13"/>
  <c r="H23" i="13"/>
  <c r="G23" i="13"/>
  <c r="F23" i="13"/>
  <c r="E23" i="13"/>
  <c r="E22" i="13"/>
  <c r="D23" i="13"/>
  <c r="D22" i="13"/>
  <c r="C23" i="13"/>
  <c r="C22" i="13"/>
  <c r="B23" i="13"/>
  <c r="B22" i="13"/>
  <c r="A23" i="13"/>
  <c r="A22" i="13"/>
  <c r="B18" i="13"/>
  <c r="C18" i="13"/>
  <c r="D18" i="13"/>
  <c r="E18" i="13"/>
  <c r="F18" i="13"/>
  <c r="G18" i="13"/>
  <c r="H18" i="13"/>
  <c r="I18" i="13"/>
  <c r="J18" i="13"/>
  <c r="K18" i="13"/>
  <c r="L18" i="13"/>
  <c r="A18" i="13"/>
  <c r="L17" i="13"/>
  <c r="K17" i="13"/>
  <c r="J17" i="13"/>
  <c r="I17" i="13"/>
  <c r="H17" i="13"/>
  <c r="G17" i="13"/>
  <c r="F17" i="13"/>
  <c r="E17" i="13"/>
  <c r="D17" i="13"/>
  <c r="C17" i="13"/>
  <c r="B17" i="13"/>
  <c r="B10" i="13"/>
  <c r="H47" i="11"/>
  <c r="H48" i="11"/>
  <c r="H49" i="11"/>
  <c r="H50" i="11"/>
  <c r="H51" i="11"/>
  <c r="H52" i="11"/>
  <c r="H53" i="11"/>
  <c r="H54" i="11"/>
  <c r="H55" i="11"/>
  <c r="H56" i="11"/>
  <c r="H57" i="11"/>
  <c r="H58" i="11"/>
  <c r="H46" i="11"/>
  <c r="K16" i="11" l="1"/>
  <c r="J26" i="11"/>
  <c r="H22" i="11"/>
  <c r="F27" i="11"/>
  <c r="L21" i="11"/>
  <c r="H21" i="11"/>
  <c r="C26" i="11"/>
  <c r="L16" i="11"/>
  <c r="A22" i="11"/>
  <c r="D27" i="11"/>
  <c r="A17" i="11"/>
  <c r="I21" i="11"/>
  <c r="D26" i="11"/>
  <c r="K26" i="11"/>
  <c r="K17" i="11"/>
  <c r="E26" i="11"/>
  <c r="E31" i="11"/>
  <c r="E32" i="11"/>
  <c r="F21" i="11"/>
  <c r="A21" i="11"/>
  <c r="L32" i="11"/>
  <c r="I17" i="11"/>
  <c r="H31" i="11"/>
  <c r="F22" i="11"/>
  <c r="H27" i="11"/>
  <c r="C32" i="11"/>
  <c r="A31" i="11"/>
  <c r="H17" i="11"/>
  <c r="G27" i="11"/>
  <c r="G21" i="11"/>
  <c r="L31" i="11"/>
  <c r="E22" i="11"/>
  <c r="G22" i="11"/>
  <c r="I27" i="11"/>
  <c r="D32" i="11"/>
  <c r="B21" i="11"/>
  <c r="F31" i="11"/>
  <c r="A16" i="11"/>
  <c r="C21" i="11"/>
  <c r="J21" i="11"/>
  <c r="L26" i="11"/>
  <c r="G31" i="11"/>
  <c r="D21" i="11"/>
  <c r="F26" i="11"/>
  <c r="D16" i="11"/>
  <c r="E16" i="11"/>
  <c r="E21" i="11"/>
  <c r="G26" i="11"/>
  <c r="B31" i="11"/>
  <c r="I31" i="11"/>
  <c r="F16" i="11"/>
  <c r="G16" i="11"/>
  <c r="A26" i="11"/>
  <c r="H26" i="11"/>
  <c r="C31" i="11"/>
  <c r="J31" i="11"/>
  <c r="I16" i="11"/>
  <c r="I26" i="11"/>
  <c r="D31" i="11"/>
  <c r="K31" i="11"/>
  <c r="E17" i="11"/>
  <c r="D22" i="11"/>
  <c r="A27" i="11"/>
  <c r="C22" i="11"/>
  <c r="C17" i="11"/>
  <c r="J32" i="11"/>
  <c r="G17" i="11"/>
  <c r="D17" i="11"/>
  <c r="E27" i="11"/>
  <c r="J27" i="11"/>
  <c r="C27" i="11"/>
  <c r="K32" i="11"/>
  <c r="B27" i="11"/>
  <c r="B22" i="11"/>
  <c r="J17" i="11"/>
  <c r="K27" i="11"/>
  <c r="G32" i="11"/>
  <c r="I22" i="11"/>
  <c r="L27" i="11"/>
  <c r="H32" i="11"/>
  <c r="F32" i="11"/>
  <c r="J22" i="11"/>
  <c r="A32" i="11"/>
  <c r="L17" i="11"/>
  <c r="K22" i="11"/>
  <c r="L22" i="11"/>
  <c r="B32" i="11"/>
  <c r="I32" i="11"/>
  <c r="F17" i="11"/>
  <c r="B17" i="11"/>
  <c r="B11" i="13"/>
  <c r="C11" i="13" s="1"/>
  <c r="C10" i="13"/>
  <c r="B29" i="12"/>
  <c r="C29" i="12"/>
  <c r="C24" i="12"/>
  <c r="B24" i="12"/>
  <c r="C19" i="12"/>
  <c r="C14" i="12"/>
  <c r="B19" i="12"/>
  <c r="B14" i="12"/>
  <c r="B9" i="12" l="1"/>
  <c r="B9" i="11" s="1"/>
  <c r="B10" i="11" s="1"/>
  <c r="B10" i="12"/>
  <c r="AF17" i="3"/>
  <c r="AF31" i="3" s="1"/>
  <c r="B24" i="11"/>
  <c r="AD17" i="3"/>
  <c r="AD31" i="3" s="1"/>
  <c r="U17" i="3"/>
  <c r="U31" i="3" s="1"/>
  <c r="AX17" i="3"/>
  <c r="AX31" i="3" s="1"/>
  <c r="S17" i="3"/>
  <c r="BB17" i="3"/>
  <c r="BB31" i="3" s="1"/>
  <c r="AK17" i="3"/>
  <c r="S31" i="3"/>
  <c r="AO17" i="3"/>
  <c r="AO31" i="3" s="1"/>
  <c r="Q17" i="3"/>
  <c r="Q31" i="3" s="1"/>
  <c r="AB17" i="3"/>
  <c r="AB31" i="3" s="1"/>
  <c r="AZ17" i="3"/>
  <c r="AZ31" i="3" s="1"/>
  <c r="O17" i="3"/>
  <c r="AV17" i="3"/>
  <c r="Z17" i="3"/>
  <c r="AM17" i="3"/>
  <c r="AM31" i="3" s="1"/>
  <c r="AQ17" i="3"/>
  <c r="AQ31" i="3" s="1"/>
  <c r="B19" i="11"/>
  <c r="B29" i="11"/>
  <c r="C14" i="11"/>
  <c r="C24" i="11"/>
  <c r="C19" i="11"/>
  <c r="C29" i="11"/>
  <c r="Z31" i="3" l="1"/>
  <c r="AH17" i="3"/>
  <c r="AV31" i="3"/>
  <c r="BD17" i="3"/>
  <c r="O31" i="3"/>
  <c r="W17" i="3"/>
  <c r="AK31" i="3"/>
  <c r="AS17" i="3"/>
  <c r="C9" i="11"/>
  <c r="C9" i="12"/>
  <c r="C10" i="12"/>
  <c r="C10" i="11"/>
  <c r="B15" i="13"/>
  <c r="C15" i="13"/>
  <c r="C20" i="13"/>
  <c r="B20" i="13"/>
  <c r="AS31" i="3" l="1"/>
  <c r="AT17" i="3"/>
  <c r="AT31" i="3" s="1"/>
  <c r="W31" i="3"/>
  <c r="X17" i="3"/>
  <c r="X31" i="3" s="1"/>
  <c r="BD31" i="3"/>
  <c r="BE17" i="3"/>
  <c r="BE31" i="3" s="1"/>
  <c r="AH31" i="3"/>
  <c r="AI17" i="3"/>
  <c r="AI31" i="3" s="1"/>
</calcChain>
</file>

<file path=xl/sharedStrings.xml><?xml version="1.0" encoding="utf-8"?>
<sst xmlns="http://schemas.openxmlformats.org/spreadsheetml/2006/main" count="2176" uniqueCount="746">
  <si>
    <r>
      <t xml:space="preserve">0. Budget Summary </t>
    </r>
    <r>
      <rPr>
        <b/>
        <sz val="9"/>
        <color theme="0"/>
        <rFont val="Arial"/>
        <family val="2"/>
      </rPr>
      <t>(</t>
    </r>
    <r>
      <rPr>
        <b/>
        <sz val="9"/>
        <color theme="0"/>
        <rFont val="맑은 고딕"/>
        <family val="2"/>
        <charset val="129"/>
      </rPr>
      <t xml:space="preserve">다음 </t>
    </r>
    <r>
      <rPr>
        <b/>
        <sz val="9"/>
        <color theme="0"/>
        <rFont val="Arial"/>
        <family val="2"/>
      </rPr>
      <t xml:space="preserve">Sheet </t>
    </r>
    <r>
      <rPr>
        <b/>
        <sz val="9"/>
        <color theme="0"/>
        <rFont val="맑은 고딕"/>
        <family val="2"/>
        <charset val="129"/>
      </rPr>
      <t>입력 시 자동 생성)</t>
    </r>
    <phoneticPr fontId="2" type="noConversion"/>
  </si>
  <si>
    <t xml:space="preserve"> Protocol No: TTK-CS-101</t>
    <phoneticPr fontId="2" type="noConversion"/>
  </si>
  <si>
    <t xml:space="preserve">Updated on: </t>
    <phoneticPr fontId="1" type="noConversion"/>
  </si>
  <si>
    <t>1. Overall Status</t>
    <phoneticPr fontId="2" type="noConversion"/>
  </si>
  <si>
    <t>IQVIA</t>
    <phoneticPr fontId="2" type="noConversion"/>
  </si>
  <si>
    <t>Syneos</t>
    <phoneticPr fontId="2" type="noConversion"/>
  </si>
  <si>
    <t>Sharp</t>
    <phoneticPr fontId="2" type="noConversion"/>
  </si>
  <si>
    <t>Fisher</t>
    <phoneticPr fontId="2" type="noConversion"/>
  </si>
  <si>
    <t>Marken</t>
    <phoneticPr fontId="2" type="noConversion"/>
  </si>
  <si>
    <t>SBQ</t>
    <phoneticPr fontId="2" type="noConversion"/>
  </si>
  <si>
    <t>Aptamer</t>
    <phoneticPr fontId="2" type="noConversion"/>
  </si>
  <si>
    <t>Invivo</t>
    <phoneticPr fontId="2" type="noConversion"/>
  </si>
  <si>
    <t>Labconnect</t>
    <phoneticPr fontId="2" type="noConversion"/>
  </si>
  <si>
    <t>AIMS</t>
    <phoneticPr fontId="2" type="noConversion"/>
  </si>
  <si>
    <t>CRO CO</t>
    <phoneticPr fontId="2" type="noConversion"/>
  </si>
  <si>
    <r>
      <t xml:space="preserve">Previous CRO CO
</t>
    </r>
    <r>
      <rPr>
        <i/>
        <sz val="8"/>
        <color rgb="FFC00000"/>
        <rFont val="맑은 고딕"/>
        <family val="3"/>
        <charset val="129"/>
      </rPr>
      <t>현</t>
    </r>
    <r>
      <rPr>
        <i/>
        <sz val="8"/>
        <color rgb="FFC00000"/>
        <rFont val="Arial"/>
        <family val="3"/>
      </rPr>
      <t xml:space="preserve"> DMSTAT/PV:
</t>
    </r>
    <r>
      <rPr>
        <i/>
        <sz val="8"/>
        <color rgb="FFC00000"/>
        <rFont val="맑은 고딕"/>
        <family val="3"/>
        <charset val="129"/>
      </rPr>
      <t>예산은</t>
    </r>
    <r>
      <rPr>
        <i/>
        <sz val="8"/>
        <color rgb="FFC00000"/>
        <rFont val="Arial"/>
        <family val="3"/>
      </rPr>
      <t xml:space="preserve"> CD</t>
    </r>
    <r>
      <rPr>
        <i/>
        <sz val="8"/>
        <color rgb="FFC00000"/>
        <rFont val="맑은 고딕"/>
        <family val="3"/>
        <charset val="129"/>
      </rPr>
      <t>팀에서</t>
    </r>
    <r>
      <rPr>
        <i/>
        <sz val="8"/>
        <color rgb="FFC00000"/>
        <rFont val="Arial"/>
        <family val="3"/>
      </rPr>
      <t xml:space="preserve"> </t>
    </r>
    <r>
      <rPr>
        <i/>
        <sz val="8"/>
        <color rgb="FFC00000"/>
        <rFont val="맑은 고딕"/>
        <family val="3"/>
        <charset val="129"/>
      </rPr>
      <t>관리</t>
    </r>
    <phoneticPr fontId="2" type="noConversion"/>
  </si>
  <si>
    <t>Packaging, Delivery, Destruction, etc</t>
    <phoneticPr fontId="2" type="noConversion"/>
  </si>
  <si>
    <t>IP Transpotation</t>
    <phoneticPr fontId="2" type="noConversion"/>
  </si>
  <si>
    <t>PK, SS1 &amp; SS3</t>
    <phoneticPr fontId="2" type="noConversion"/>
  </si>
  <si>
    <t>PK, SS2 &amp; SS4</t>
    <phoneticPr fontId="2" type="noConversion"/>
  </si>
  <si>
    <t>Biomarker, SS4</t>
    <phoneticPr fontId="2" type="noConversion"/>
  </si>
  <si>
    <t>Lab Kit, SS4</t>
    <phoneticPr fontId="2" type="noConversion"/>
  </si>
  <si>
    <t>Consulting</t>
    <phoneticPr fontId="2" type="noConversion"/>
  </si>
  <si>
    <t>Contracted</t>
    <phoneticPr fontId="2" type="noConversion"/>
  </si>
  <si>
    <t>Paid</t>
    <phoneticPr fontId="2" type="noConversion"/>
  </si>
  <si>
    <t>Remaining</t>
    <phoneticPr fontId="2" type="noConversion"/>
  </si>
  <si>
    <t>%</t>
    <phoneticPr fontId="2" type="noConversion"/>
  </si>
  <si>
    <t>2. Yearly/Quarterly Plan and Payment Status</t>
    <phoneticPr fontId="2" type="noConversion"/>
  </si>
  <si>
    <t>Vendor</t>
    <phoneticPr fontId="2" type="noConversion"/>
  </si>
  <si>
    <t>Currency</t>
    <phoneticPr fontId="2" type="noConversion"/>
  </si>
  <si>
    <t>1Q (Jan~Mar)</t>
    <phoneticPr fontId="2" type="noConversion"/>
  </si>
  <si>
    <t>2Q (Apr~Jun)</t>
    <phoneticPr fontId="2" type="noConversion"/>
  </si>
  <si>
    <t>3Q (Jul~Sep)</t>
    <phoneticPr fontId="2" type="noConversion"/>
  </si>
  <si>
    <t>4Q (Oct~Dec)</t>
    <phoneticPr fontId="2" type="noConversion"/>
  </si>
  <si>
    <t>Planned</t>
    <phoneticPr fontId="2" type="noConversion"/>
  </si>
  <si>
    <t>Actual</t>
    <phoneticPr fontId="2" type="noConversion"/>
  </si>
  <si>
    <t>Delta (Δ)</t>
    <phoneticPr fontId="2" type="noConversion"/>
  </si>
  <si>
    <t>CRO(IQVIA)</t>
    <phoneticPr fontId="2" type="noConversion"/>
  </si>
  <si>
    <t>USD</t>
    <phoneticPr fontId="2" type="noConversion"/>
  </si>
  <si>
    <t>CRO(Syneos)</t>
    <phoneticPr fontId="2" type="noConversion"/>
  </si>
  <si>
    <t>KRW</t>
    <phoneticPr fontId="2" type="noConversion"/>
  </si>
  <si>
    <t>CHF</t>
    <phoneticPr fontId="2" type="noConversion"/>
  </si>
  <si>
    <t>Total (KRW)</t>
    <phoneticPr fontId="2" type="noConversion"/>
  </si>
  <si>
    <t>Total (USD)</t>
    <phoneticPr fontId="2" type="noConversion"/>
  </si>
  <si>
    <t>Total (CHF)</t>
    <phoneticPr fontId="2" type="noConversion"/>
  </si>
  <si>
    <t>1. CRO: IQVIA</t>
    <phoneticPr fontId="2" type="noConversion"/>
  </si>
  <si>
    <t>1-1, 1-2 입력 시 자동 기입되는 페이지</t>
    <phoneticPr fontId="2" type="noConversion"/>
  </si>
  <si>
    <t>Contract Number:</t>
    <phoneticPr fontId="2" type="noConversion"/>
  </si>
  <si>
    <t>LAB97701</t>
    <phoneticPr fontId="2" type="noConversion"/>
  </si>
  <si>
    <t>Version &amp;  date:</t>
    <phoneticPr fontId="2" type="noConversion"/>
  </si>
  <si>
    <t>CO1_23Sep2025</t>
    <phoneticPr fontId="2" type="noConversion"/>
  </si>
  <si>
    <t>1. Total Payment Status</t>
    <phoneticPr fontId="2" type="noConversion"/>
  </si>
  <si>
    <t xml:space="preserve"> Category</t>
    <phoneticPr fontId="2" type="noConversion"/>
  </si>
  <si>
    <t>$</t>
    <phoneticPr fontId="2" type="noConversion"/>
  </si>
  <si>
    <t>Budget</t>
    <phoneticPr fontId="2" type="noConversion"/>
  </si>
  <si>
    <t>2. Total Yearly and Monthly Payment</t>
    <phoneticPr fontId="2" type="noConversion"/>
  </si>
  <si>
    <t>USD</t>
  </si>
  <si>
    <t>KRW</t>
  </si>
  <si>
    <t>01</t>
    <phoneticPr fontId="2" type="noConversion"/>
  </si>
  <si>
    <t>02</t>
    <phoneticPr fontId="2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</si>
  <si>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</si>
  <si>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</si>
  <si>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</si>
  <si>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</si>
  <si>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</si>
  <si>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</si>
  <si>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</si>
  <si>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</si>
  <si>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</si>
  <si>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</si>
  <si>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3. Contract Details</t>
    <phoneticPr fontId="2" type="noConversion"/>
  </si>
  <si>
    <t>Team FTE</t>
    <phoneticPr fontId="2" type="noConversion"/>
  </si>
  <si>
    <t>Initial</t>
    <phoneticPr fontId="2" type="noConversion"/>
  </si>
  <si>
    <t>Country</t>
    <phoneticPr fontId="2" type="noConversion"/>
  </si>
  <si>
    <t>CO1</t>
    <phoneticPr fontId="2" type="noConversion"/>
  </si>
  <si>
    <t>Project Lead (PL)</t>
    <phoneticPr fontId="2" type="noConversion"/>
  </si>
  <si>
    <t>KR</t>
    <phoneticPr fontId="2" type="noConversion"/>
  </si>
  <si>
    <t>PL Oversight</t>
    <phoneticPr fontId="2" type="noConversion"/>
  </si>
  <si>
    <t>Transition Lead</t>
    <phoneticPr fontId="2" type="noConversion"/>
  </si>
  <si>
    <t>Project Management Associate (PMA)</t>
    <phoneticPr fontId="2" type="noConversion"/>
  </si>
  <si>
    <t>IN</t>
    <phoneticPr fontId="2" type="noConversion"/>
  </si>
  <si>
    <t>Clinical Lead (CL) KR</t>
    <phoneticPr fontId="2" type="noConversion"/>
  </si>
  <si>
    <t>Clinical Lead (CL) US</t>
    <phoneticPr fontId="2" type="noConversion"/>
  </si>
  <si>
    <t>BR</t>
    <phoneticPr fontId="2" type="noConversion"/>
  </si>
  <si>
    <t>Clinical Monitoring Lead (CML)</t>
    <phoneticPr fontId="2" type="noConversion"/>
  </si>
  <si>
    <t>Change</t>
    <phoneticPr fontId="2" type="noConversion"/>
  </si>
  <si>
    <t>Milestones</t>
  </si>
  <si>
    <t>Duration(Months)</t>
  </si>
  <si>
    <t>Start Date</t>
  </si>
  <si>
    <t>End Date</t>
  </si>
  <si>
    <t>Initial to CO1</t>
    <phoneticPr fontId="2" type="noConversion"/>
  </si>
  <si>
    <t>Pre-Study Activities : ATP/Contract Signed to Final Protocol</t>
    <phoneticPr fontId="2" type="noConversion"/>
  </si>
  <si>
    <t>Start-Up: Final Protocol to FPI</t>
    <phoneticPr fontId="2" type="noConversion"/>
  </si>
  <si>
    <t>Recruitment: FPI to LPI</t>
    <phoneticPr fontId="2" type="noConversion"/>
  </si>
  <si>
    <t>Run-in/Screening: LPI</t>
    <phoneticPr fontId="2" type="noConversion"/>
  </si>
  <si>
    <t>Treatment: LPI to LPO</t>
    <phoneticPr fontId="2" type="noConversion"/>
  </si>
  <si>
    <t>Follow-Up: LPIF to LPOF</t>
    <phoneticPr fontId="2" type="noConversion"/>
  </si>
  <si>
    <t>Locked Database: Last Site Closed to Data Lock</t>
    <phoneticPr fontId="2" type="noConversion"/>
  </si>
  <si>
    <t>Close-Out: LPO to Last Site Closed</t>
    <phoneticPr fontId="2" type="noConversion"/>
  </si>
  <si>
    <t>Biostatistical Analysis: Database Lock to Final Tables</t>
    <phoneticPr fontId="2" type="noConversion"/>
  </si>
  <si>
    <t>Draft Report: Final Tables to 1st Draft Report</t>
    <phoneticPr fontId="2" type="noConversion"/>
  </si>
  <si>
    <t>Final Report: Draft Report to Final Report</t>
    <phoneticPr fontId="2" type="noConversion"/>
  </si>
  <si>
    <t>Post-Study Activities: (Archiving, Document Return)</t>
    <phoneticPr fontId="2" type="noConversion"/>
  </si>
  <si>
    <t>Total Study Duration, Start and End</t>
    <phoneticPr fontId="2" type="noConversion"/>
  </si>
  <si>
    <t>Direct Costs by Milestones</t>
    <phoneticPr fontId="2" type="noConversion"/>
  </si>
  <si>
    <t>%</t>
  </si>
  <si>
    <t>Amount</t>
  </si>
  <si>
    <t>Pre-Payment Due Upon ATP Execution</t>
    <phoneticPr fontId="2" type="noConversion"/>
  </si>
  <si>
    <t>Pre-Payment Due Upon WO Execution</t>
    <phoneticPr fontId="2" type="noConversion"/>
  </si>
  <si>
    <t>Sign off transition checklist</t>
    <phoneticPr fontId="2" type="noConversion"/>
  </si>
  <si>
    <t>First IRB submission of AML site</t>
    <phoneticPr fontId="2" type="noConversion"/>
  </si>
  <si>
    <t>First IRB approval of AML site</t>
    <phoneticPr fontId="2" type="noConversion"/>
  </si>
  <si>
    <t>Pre-payment upon CO1 Execution</t>
    <phoneticPr fontId="2" type="noConversion"/>
  </si>
  <si>
    <t>First SIV for additional solid tumor site</t>
    <phoneticPr fontId="2" type="noConversion"/>
  </si>
  <si>
    <t>30% of Monitoring Visits &amp; Reports Completed</t>
    <phoneticPr fontId="2" type="noConversion"/>
  </si>
  <si>
    <t>80% of Site Initiation Visits &amp; Reports Completed</t>
    <phoneticPr fontId="2" type="noConversion"/>
  </si>
  <si>
    <t>25% of Monitoring Visits &amp; Reports Completed</t>
    <phoneticPr fontId="2" type="noConversion"/>
  </si>
  <si>
    <t>35% of Monitoring Visits &amp; Reports Completed</t>
    <phoneticPr fontId="2" type="noConversion"/>
  </si>
  <si>
    <t>40% of Monitoring Visits &amp; Reports Completed</t>
    <phoneticPr fontId="2" type="noConversion"/>
  </si>
  <si>
    <t>50% of Monitoring Visits &amp; Reports Completed</t>
    <phoneticPr fontId="2" type="noConversion"/>
  </si>
  <si>
    <t>55% of Monitoring Visits &amp; Reports Completed</t>
    <phoneticPr fontId="2" type="noConversion"/>
  </si>
  <si>
    <t>65% of Monitoring Visits &amp; Reports Completed</t>
    <phoneticPr fontId="2" type="noConversion"/>
  </si>
  <si>
    <t>75% of Monitoring Visits &amp; Reports Completed</t>
    <phoneticPr fontId="2" type="noConversion"/>
  </si>
  <si>
    <t>80% of Monitoring Visits &amp; Reports Completed</t>
    <phoneticPr fontId="2" type="noConversion"/>
  </si>
  <si>
    <t>90% of Monitoring Visits &amp; Reports Completed</t>
    <phoneticPr fontId="2" type="noConversion"/>
  </si>
  <si>
    <t>95% of Monitoring Visits &amp; Reports Completed</t>
    <phoneticPr fontId="2" type="noConversion"/>
  </si>
  <si>
    <t>Completion of In-treatment follow-up of last patient</t>
    <phoneticPr fontId="2" type="noConversion"/>
  </si>
  <si>
    <t>100% Site close out</t>
    <phoneticPr fontId="2" type="noConversion"/>
  </si>
  <si>
    <t>Credit of residual Pre-Payment</t>
    <phoneticPr fontId="2" type="noConversion"/>
  </si>
  <si>
    <t>Total</t>
    <phoneticPr fontId="2" type="noConversion"/>
  </si>
  <si>
    <r>
      <t>*이</t>
    </r>
    <r>
      <rPr>
        <i/>
        <sz val="10"/>
        <color theme="1"/>
        <rFont val="맑은 고딕"/>
        <family val="2"/>
        <charset val="129"/>
      </rPr>
      <t xml:space="preserve"> 외, PTC(Core Services + Investigator Grants and Vendor)는 계약서 참고</t>
    </r>
    <phoneticPr fontId="2" type="noConversion"/>
  </si>
  <si>
    <r>
      <t xml:space="preserve">1. Sub Total </t>
    </r>
    <r>
      <rPr>
        <b/>
        <sz val="10"/>
        <color rgb="FFC00000"/>
        <rFont val="Arial"/>
        <family val="2"/>
      </rPr>
      <t xml:space="preserve">Direct Cost </t>
    </r>
    <r>
      <rPr>
        <b/>
        <sz val="10"/>
        <color theme="1"/>
        <rFont val="Arial"/>
        <family val="2"/>
      </rPr>
      <t>Status</t>
    </r>
    <phoneticPr fontId="2" type="noConversion"/>
  </si>
  <si>
    <r>
      <t xml:space="preserve">2. </t>
    </r>
    <r>
      <rPr>
        <b/>
        <sz val="10"/>
        <color rgb="FFC00000"/>
        <rFont val="Arial"/>
        <family val="2"/>
      </rPr>
      <t>Direct Cost</t>
    </r>
    <r>
      <rPr>
        <b/>
        <sz val="10"/>
        <color theme="1"/>
        <rFont val="Arial"/>
        <family val="2"/>
      </rPr>
      <t xml:space="preserve"> Yearly and Monthly Payment</t>
    </r>
    <phoneticPr fontId="2" type="noConversion"/>
  </si>
  <si>
    <t>3. Direct Costs Details</t>
    <phoneticPr fontId="2" type="noConversion"/>
  </si>
  <si>
    <t>Milestones</t>
    <phoneticPr fontId="2" type="noConversion"/>
  </si>
  <si>
    <t>Budget Amount($)</t>
    <phoneticPr fontId="2" type="noConversion"/>
  </si>
  <si>
    <t>Invoiced Amount($)</t>
    <phoneticPr fontId="2" type="noConversion"/>
  </si>
  <si>
    <t>Invoice #</t>
    <phoneticPr fontId="2" type="noConversion"/>
  </si>
  <si>
    <t>Invoiced Date</t>
    <phoneticPr fontId="2" type="noConversion"/>
  </si>
  <si>
    <t>Paid Year</t>
    <phoneticPr fontId="2" type="noConversion"/>
  </si>
  <si>
    <t>Paid Month</t>
    <phoneticPr fontId="2" type="noConversion"/>
  </si>
  <si>
    <t>Paid Date</t>
    <phoneticPr fontId="2" type="noConversion"/>
  </si>
  <si>
    <t>Total Amount(₩)</t>
    <phoneticPr fontId="2" type="noConversion"/>
  </si>
  <si>
    <t>Paid (Y)</t>
    <phoneticPr fontId="2" type="noConversion"/>
  </si>
  <si>
    <r>
      <t>지출결의</t>
    </r>
    <r>
      <rPr>
        <b/>
        <sz val="10"/>
        <rFont val="맑은 고딕"/>
        <family val="2"/>
        <charset val="129"/>
      </rPr>
      <t xml:space="preserve"> #</t>
    </r>
    <phoneticPr fontId="2" type="noConversion"/>
  </si>
  <si>
    <t>SGP-030213</t>
    <phoneticPr fontId="53" type="noConversion"/>
  </si>
  <si>
    <t>Y</t>
    <phoneticPr fontId="2" type="noConversion"/>
  </si>
  <si>
    <t>CD24-170</t>
    <phoneticPr fontId="53" type="noConversion"/>
  </si>
  <si>
    <t>SGP-030533</t>
  </si>
  <si>
    <t>CD24-220</t>
    <phoneticPr fontId="53" type="noConversion"/>
  </si>
  <si>
    <t xml:space="preserve"> SGP-030822</t>
    <phoneticPr fontId="53" type="noConversion"/>
  </si>
  <si>
    <t>CD24-277</t>
    <phoneticPr fontId="53" type="noConversion"/>
  </si>
  <si>
    <t>SGP-031343</t>
    <phoneticPr fontId="53" type="noConversion"/>
  </si>
  <si>
    <t>CD25-072</t>
    <phoneticPr fontId="53" type="noConversion"/>
  </si>
  <si>
    <t>SGP-031701</t>
    <phoneticPr fontId="53" type="noConversion"/>
  </si>
  <si>
    <t>CD25-155</t>
    <phoneticPr fontId="53" type="noConversion"/>
  </si>
  <si>
    <t xml:space="preserve"> SGP-032017</t>
    <phoneticPr fontId="53" type="noConversion"/>
  </si>
  <si>
    <t>CD25-205</t>
    <phoneticPr fontId="53" type="noConversion"/>
  </si>
  <si>
    <t>SGP-032306</t>
    <phoneticPr fontId="53" type="noConversion"/>
  </si>
  <si>
    <t>CD25-232</t>
  </si>
  <si>
    <t>SGP-032465</t>
    <phoneticPr fontId="2" type="noConversion"/>
  </si>
  <si>
    <t>CD26-016</t>
  </si>
  <si>
    <t xml:space="preserve"> SGP-032175</t>
    <phoneticPr fontId="2" type="noConversion"/>
  </si>
  <si>
    <t>CD25-225</t>
  </si>
  <si>
    <t>SGP-032533</t>
    <phoneticPr fontId="2" type="noConversion"/>
  </si>
  <si>
    <t xml:space="preserve">	CD26-023</t>
    <phoneticPr fontId="2" type="noConversion"/>
  </si>
  <si>
    <t>SGP-032889</t>
  </si>
  <si>
    <t>Y</t>
  </si>
  <si>
    <t>CO26-025</t>
  </si>
  <si>
    <t>SGP-032978</t>
  </si>
  <si>
    <t>CO26-045</t>
  </si>
  <si>
    <r>
      <t xml:space="preserve">1. Sub Total </t>
    </r>
    <r>
      <rPr>
        <b/>
        <sz val="10"/>
        <color rgb="FFC00000"/>
        <rFont val="Arial"/>
        <family val="2"/>
      </rPr>
      <t xml:space="preserve">PTC </t>
    </r>
    <r>
      <rPr>
        <b/>
        <sz val="10"/>
        <color theme="1"/>
        <rFont val="Arial"/>
        <family val="2"/>
      </rPr>
      <t>Status</t>
    </r>
    <phoneticPr fontId="2" type="noConversion"/>
  </si>
  <si>
    <t>Advance(Deposit)</t>
    <phoneticPr fontId="2" type="noConversion"/>
  </si>
  <si>
    <r>
      <t>연구</t>
    </r>
    <r>
      <rPr>
        <i/>
        <sz val="8"/>
        <color theme="5"/>
        <rFont val="맑은 고딕"/>
        <family val="2"/>
        <charset val="129"/>
      </rPr>
      <t xml:space="preserve"> 종료 시 </t>
    </r>
    <r>
      <rPr>
        <i/>
        <sz val="8"/>
        <color theme="5"/>
        <rFont val="Arial"/>
        <family val="2"/>
      </rPr>
      <t xml:space="preserve">Reconcilation </t>
    </r>
    <r>
      <rPr>
        <i/>
        <sz val="8"/>
        <color theme="5"/>
        <rFont val="맑은 고딕"/>
        <family val="3"/>
        <charset val="129"/>
      </rPr>
      <t>예정이므로</t>
    </r>
    <r>
      <rPr>
        <i/>
        <sz val="8"/>
        <color theme="5"/>
        <rFont val="맑은 고딕"/>
        <family val="2"/>
        <charset val="129"/>
      </rPr>
      <t xml:space="preserve"> paid에서 제외</t>
    </r>
    <phoneticPr fontId="2" type="noConversion"/>
  </si>
  <si>
    <r>
      <t xml:space="preserve">2. </t>
    </r>
    <r>
      <rPr>
        <b/>
        <sz val="10"/>
        <color rgb="FFC00000"/>
        <rFont val="Arial"/>
        <family val="2"/>
      </rPr>
      <t>PTC</t>
    </r>
    <r>
      <rPr>
        <b/>
        <sz val="10"/>
        <color theme="1"/>
        <rFont val="Arial"/>
        <family val="2"/>
      </rPr>
      <t xml:space="preserve"> Yearly and Monthly Payment</t>
    </r>
    <phoneticPr fontId="2" type="noConversion"/>
  </si>
  <si>
    <t>3. PTC details</t>
    <phoneticPr fontId="2" type="noConversion"/>
  </si>
  <si>
    <t>Budget</t>
  </si>
  <si>
    <t>-</t>
    <phoneticPr fontId="2" type="noConversion"/>
  </si>
  <si>
    <t>Invoiced</t>
  </si>
  <si>
    <t>Remaining</t>
  </si>
  <si>
    <t>Remaining (%)</t>
  </si>
  <si>
    <t>Invoice #</t>
  </si>
  <si>
    <r>
      <t xml:space="preserve">Deposit
</t>
    </r>
    <r>
      <rPr>
        <sz val="10"/>
        <color rgb="FFC00000"/>
        <rFont val="Arial"/>
        <family val="2"/>
      </rPr>
      <t>(Budget 미포함</t>
    </r>
    <r>
      <rPr>
        <sz val="10"/>
        <color rgb="FFC00000"/>
        <rFont val="맑은 고딕"/>
        <family val="2"/>
        <charset val="129"/>
      </rPr>
      <t>)</t>
    </r>
    <phoneticPr fontId="2" type="noConversion"/>
  </si>
  <si>
    <t>Office Supplies</t>
  </si>
  <si>
    <t>Monitoring Travel</t>
    <phoneticPr fontId="2" type="noConversion"/>
  </si>
  <si>
    <t>Regulatory/IRB/EC fees</t>
    <phoneticPr fontId="2" type="noConversion"/>
  </si>
  <si>
    <t>Document Indexing, QC and File Review</t>
    <phoneticPr fontId="2" type="noConversion"/>
  </si>
  <si>
    <t>Printing</t>
    <phoneticPr fontId="2" type="noConversion"/>
  </si>
  <si>
    <t>Teleconferences</t>
    <phoneticPr fontId="2" type="noConversion"/>
  </si>
  <si>
    <t>Miscellaneous Administrative Overhead</t>
    <phoneticPr fontId="2" type="noConversion"/>
  </si>
  <si>
    <t>Informed Consent Form</t>
    <phoneticPr fontId="2" type="noConversion"/>
  </si>
  <si>
    <t>DocuSign</t>
    <phoneticPr fontId="2" type="noConversion"/>
  </si>
  <si>
    <t>Clario</t>
    <phoneticPr fontId="2" type="noConversion"/>
  </si>
  <si>
    <t>Investigator Meetings Logistics</t>
    <phoneticPr fontId="2" type="noConversion"/>
  </si>
  <si>
    <t>Investigator Payments (North America)</t>
    <phoneticPr fontId="2" type="noConversion"/>
  </si>
  <si>
    <t>Investigator Payments (Asia Pacific)</t>
    <phoneticPr fontId="2" type="noConversion"/>
  </si>
  <si>
    <t>Invoiced Amount($)</t>
  </si>
  <si>
    <t>Invoiced Date</t>
  </si>
  <si>
    <t>Paid Year</t>
  </si>
  <si>
    <t>Paid Month</t>
  </si>
  <si>
    <t>Paid Date</t>
  </si>
  <si>
    <r>
      <t>Paid
Amount(</t>
    </r>
    <r>
      <rPr>
        <b/>
        <sz val="10"/>
        <color rgb="FF000000"/>
        <rFont val="Arial Unicode MS"/>
        <family val="3"/>
        <charset val="129"/>
      </rPr>
      <t>₩</t>
    </r>
    <r>
      <rPr>
        <b/>
        <sz val="10"/>
        <color rgb="FF000000"/>
        <rFont val="Arial"/>
        <family val="2"/>
      </rPr>
      <t>)</t>
    </r>
    <phoneticPr fontId="2" type="noConversion"/>
  </si>
  <si>
    <t>Paid (Y)</t>
  </si>
  <si>
    <r>
      <rPr>
        <b/>
        <sz val="10"/>
        <rFont val="맑은 고딕"/>
        <family val="3"/>
        <charset val="129"/>
      </rPr>
      <t>지출결의</t>
    </r>
    <r>
      <rPr>
        <b/>
        <sz val="10"/>
        <rFont val="Arial"/>
        <family val="2"/>
      </rPr>
      <t xml:space="preserve"> #</t>
    </r>
    <phoneticPr fontId="2" type="noConversion"/>
  </si>
  <si>
    <t>SGP-030212</t>
    <phoneticPr fontId="53" type="noConversion"/>
  </si>
  <si>
    <t>CD24-170</t>
    <phoneticPr fontId="2" type="noConversion"/>
  </si>
  <si>
    <t>SGP-030531</t>
    <phoneticPr fontId="53" type="noConversion"/>
  </si>
  <si>
    <t>CD24-220</t>
    <phoneticPr fontId="2" type="noConversion"/>
  </si>
  <si>
    <t>SGP-030532</t>
  </si>
  <si>
    <t>SGP-030621</t>
    <phoneticPr fontId="53" type="noConversion"/>
  </si>
  <si>
    <t>CD24-225</t>
    <phoneticPr fontId="53" type="noConversion"/>
  </si>
  <si>
    <t xml:space="preserve"> SGP-030789</t>
    <phoneticPr fontId="53" type="noConversion"/>
  </si>
  <si>
    <t xml:space="preserve"> SGP-030941</t>
    <phoneticPr fontId="53" type="noConversion"/>
  </si>
  <si>
    <t>CD24-289</t>
    <phoneticPr fontId="53" type="noConversion"/>
  </si>
  <si>
    <t>SGP-031090</t>
    <phoneticPr fontId="53" type="noConversion"/>
  </si>
  <si>
    <t>CD25-034</t>
    <phoneticPr fontId="53" type="noConversion"/>
  </si>
  <si>
    <t xml:space="preserve"> SGP-031208</t>
    <phoneticPr fontId="53" type="noConversion"/>
  </si>
  <si>
    <t>CD25-045</t>
    <phoneticPr fontId="53" type="noConversion"/>
  </si>
  <si>
    <t>SGP-031300</t>
    <phoneticPr fontId="53" type="noConversion"/>
  </si>
  <si>
    <t>CD25-069</t>
    <phoneticPr fontId="53" type="noConversion"/>
  </si>
  <si>
    <t>SGP-031418</t>
    <phoneticPr fontId="53" type="noConversion"/>
  </si>
  <si>
    <t>CD25-086</t>
    <phoneticPr fontId="53" type="noConversion"/>
  </si>
  <si>
    <t xml:space="preserve"> SGP-031520</t>
    <phoneticPr fontId="53" type="noConversion"/>
  </si>
  <si>
    <t>CD25-101</t>
    <phoneticPr fontId="53" type="noConversion"/>
  </si>
  <si>
    <t xml:space="preserve"> SGP-031521</t>
  </si>
  <si>
    <t>SGP-031653</t>
  </si>
  <si>
    <t>CD25-137</t>
    <phoneticPr fontId="53" type="noConversion"/>
  </si>
  <si>
    <t>SGP-031654</t>
    <phoneticPr fontId="53" type="noConversion"/>
  </si>
  <si>
    <t xml:space="preserve"> SGP-031763</t>
    <phoneticPr fontId="53" type="noConversion"/>
  </si>
  <si>
    <t>CD25-154</t>
    <phoneticPr fontId="53" type="noConversion"/>
  </si>
  <si>
    <t xml:space="preserve"> SGP-031764</t>
  </si>
  <si>
    <t>SGP-032098</t>
    <phoneticPr fontId="53" type="noConversion"/>
  </si>
  <si>
    <t>CD25-219</t>
  </si>
  <si>
    <t xml:space="preserve"> SGP-032002</t>
    <phoneticPr fontId="53" type="noConversion"/>
  </si>
  <si>
    <t>CD25-205</t>
  </si>
  <si>
    <t xml:space="preserve"> SGP-032003</t>
  </si>
  <si>
    <t xml:space="preserve"> SGP-032143</t>
    <phoneticPr fontId="53" type="noConversion"/>
  </si>
  <si>
    <t>CD25-212</t>
  </si>
  <si>
    <t xml:space="preserve"> SGP-032144</t>
  </si>
  <si>
    <t xml:space="preserve"> SGP-032257</t>
    <phoneticPr fontId="53" type="noConversion"/>
  </si>
  <si>
    <t xml:space="preserve"> SGP-032258</t>
  </si>
  <si>
    <t>SGP-032353</t>
    <phoneticPr fontId="53" type="noConversion"/>
  </si>
  <si>
    <t>CD26-001</t>
    <phoneticPr fontId="2" type="noConversion"/>
  </si>
  <si>
    <t>SGP-032354</t>
    <phoneticPr fontId="2" type="noConversion"/>
  </si>
  <si>
    <t>SGP-032593</t>
  </si>
  <si>
    <t>CO26-001</t>
    <phoneticPr fontId="2" type="noConversion"/>
  </si>
  <si>
    <t>SGP-032594</t>
  </si>
  <si>
    <t>SGP-032690</t>
    <phoneticPr fontId="2" type="noConversion"/>
  </si>
  <si>
    <t>CO26-006</t>
  </si>
  <si>
    <t>SGP-032689</t>
    <phoneticPr fontId="2" type="noConversion"/>
  </si>
  <si>
    <t>SGP-032827</t>
    <phoneticPr fontId="2" type="noConversion"/>
  </si>
  <si>
    <t>CO26-019</t>
    <phoneticPr fontId="2" type="noConversion"/>
  </si>
  <si>
    <t>SGP-032940</t>
  </si>
  <si>
    <t>CO26-034</t>
  </si>
  <si>
    <t>SGP-032941</t>
  </si>
  <si>
    <t>SGP-033032</t>
  </si>
  <si>
    <t>SGP-033033</t>
  </si>
  <si>
    <t>1. CRO:Syneos</t>
    <phoneticPr fontId="2" type="noConversion"/>
  </si>
  <si>
    <t>2.Yearly and Monthly Payment</t>
    <phoneticPr fontId="2" type="noConversion"/>
  </si>
  <si>
    <t>3. Costs Details</t>
    <phoneticPr fontId="2" type="noConversion"/>
  </si>
  <si>
    <t xml:space="preserve">분기별/연도별 사용 금액 파악위해, 이전 CO Budget만 Quarterly sub-sum으로 입력 (without Invoice/지결 #) </t>
    <phoneticPr fontId="2" type="noConversion"/>
  </si>
  <si>
    <t>3. Sharp Clinical Services (Including Zuellig Pharma Korea)</t>
    <phoneticPr fontId="2" type="noConversion"/>
  </si>
  <si>
    <t>SLJ221013328</t>
    <phoneticPr fontId="2" type="noConversion"/>
  </si>
  <si>
    <r>
      <t xml:space="preserve">1. Sub Total </t>
    </r>
    <r>
      <rPr>
        <b/>
        <sz val="10"/>
        <color rgb="FFC00000"/>
        <rFont val="Arial"/>
        <family val="2"/>
      </rPr>
      <t xml:space="preserve">Cost </t>
    </r>
    <r>
      <rPr>
        <b/>
        <sz val="10"/>
        <color theme="1"/>
        <rFont val="Arial"/>
        <family val="2"/>
      </rPr>
      <t>Status</t>
    </r>
    <phoneticPr fontId="2" type="noConversion"/>
  </si>
  <si>
    <t>2. Yearly and Monthly Payment</t>
    <phoneticPr fontId="2" type="noConversion"/>
  </si>
  <si>
    <t>Services</t>
    <phoneticPr fontId="2" type="noConversion"/>
  </si>
  <si>
    <t xml:space="preserve"> Budget Amount($)</t>
    <phoneticPr fontId="2" type="noConversion"/>
  </si>
  <si>
    <t>Project Set-up</t>
    <phoneticPr fontId="2" type="noConversion"/>
  </si>
  <si>
    <t>Depot Set-up</t>
    <phoneticPr fontId="2" type="noConversion"/>
  </si>
  <si>
    <t>BAL0891 Cam 1: Carton &amp; Vial Labels</t>
    <phoneticPr fontId="2" type="noConversion"/>
  </si>
  <si>
    <t>BAL0891 Cam 1: Secondary Pacakging</t>
    <phoneticPr fontId="2" type="noConversion"/>
  </si>
  <si>
    <t>BAL0891 Cam 2: Carton &amp; Vial Labels</t>
    <phoneticPr fontId="2" type="noConversion"/>
  </si>
  <si>
    <t>CD23-033</t>
  </si>
  <si>
    <t>BAL0891 Cam 2: Secondary Packaging</t>
    <phoneticPr fontId="2" type="noConversion"/>
  </si>
  <si>
    <t xml:space="preserve">BAL0891 Cam 2: Retest Extension Labels KOR </t>
    <phoneticPr fontId="2" type="noConversion"/>
  </si>
  <si>
    <t>BAL0891 Cam 3: Carton &amp; Vial Labels</t>
    <phoneticPr fontId="2" type="noConversion"/>
  </si>
  <si>
    <t>BAL0891 Cam 3: Secondary Packaging</t>
    <phoneticPr fontId="2" type="noConversion"/>
  </si>
  <si>
    <t>BAL0891 Cam 3: Retest Extension Labels KOR</t>
    <phoneticPr fontId="2" type="noConversion"/>
  </si>
  <si>
    <t>BAL0891 Cam 4: Retest Extension Labels US</t>
    <phoneticPr fontId="2" type="noConversion"/>
  </si>
  <si>
    <t>BAL0891 Cam 4: Secondary Packaging</t>
    <phoneticPr fontId="2" type="noConversion"/>
  </si>
  <si>
    <t>BAL0891 Cam 5: Cartons &amp; Foam Inserts</t>
    <phoneticPr fontId="2" type="noConversion"/>
  </si>
  <si>
    <t>CD24-100</t>
    <phoneticPr fontId="2" type="noConversion"/>
  </si>
  <si>
    <t>BAL0891 Cam 5: Carton &amp; Vial Labels</t>
    <phoneticPr fontId="2" type="noConversion"/>
  </si>
  <si>
    <t>BAL0891 Cam 5: Secondary Packaging</t>
    <phoneticPr fontId="2" type="noConversion"/>
  </si>
  <si>
    <t>CD24-119</t>
    <phoneticPr fontId="2" type="noConversion"/>
  </si>
  <si>
    <t>BAL0891 Cam 5: Expiry Extension Labels</t>
    <phoneticPr fontId="2" type="noConversion"/>
  </si>
  <si>
    <t>CD25-103</t>
    <phoneticPr fontId="2" type="noConversion"/>
  </si>
  <si>
    <t>BAL0891 Cam 6, 7 &amp; 8: Carton &amp; Foam Insert</t>
    <phoneticPr fontId="2" type="noConversion"/>
  </si>
  <si>
    <t>BAL0891 Cam 6: PM &amp; Batch Record</t>
    <phoneticPr fontId="2" type="noConversion"/>
  </si>
  <si>
    <t>CD25-091</t>
    <phoneticPr fontId="2" type="noConversion"/>
  </si>
  <si>
    <t>BAL0891 Cam 6: Carton &amp; Vial Labels</t>
    <phoneticPr fontId="2" type="noConversion"/>
  </si>
  <si>
    <t>CD25-121</t>
    <phoneticPr fontId="2" type="noConversion"/>
  </si>
  <si>
    <t>BAL0891 Cam 6: Secondary Packaging</t>
    <phoneticPr fontId="2" type="noConversion"/>
  </si>
  <si>
    <t>CD25-197</t>
    <phoneticPr fontId="2" type="noConversion"/>
  </si>
  <si>
    <t>BAL0891 Cam 7: Carton &amp; Vial Labels</t>
    <phoneticPr fontId="2" type="noConversion"/>
  </si>
  <si>
    <t>CD25-175</t>
    <phoneticPr fontId="2" type="noConversion"/>
  </si>
  <si>
    <t>BAL0891 Cam 7: Secondary Packaging</t>
    <phoneticPr fontId="2" type="noConversion"/>
  </si>
  <si>
    <t>BAL0891 Cam 8: Carton &amp; Vial Labels</t>
    <phoneticPr fontId="2" type="noConversion"/>
  </si>
  <si>
    <t>BAL0891 Cam 8: Secondary Packaging</t>
    <phoneticPr fontId="2" type="noConversion"/>
  </si>
  <si>
    <t>BAL0891 Cam 7,8,9 &amp; 10: Batch Records</t>
    <phoneticPr fontId="2" type="noConversion"/>
  </si>
  <si>
    <t>BAL0891 Cam 7,8,9 &amp; 10: Proejct Management</t>
    <phoneticPr fontId="2" type="noConversion"/>
  </si>
  <si>
    <t xml:space="preserve">BAL0891 Cam 9: Carton &amp; Vial Labels </t>
    <phoneticPr fontId="2" type="noConversion"/>
  </si>
  <si>
    <t>BAL0891 Cam 9: Carton &amp; Vial Labels (Credit)</t>
    <phoneticPr fontId="2" type="noConversion"/>
  </si>
  <si>
    <t>BAL0891 Cam 9: Secondary Packaging</t>
    <phoneticPr fontId="2" type="noConversion"/>
  </si>
  <si>
    <t>CD25-187</t>
    <phoneticPr fontId="2" type="noConversion"/>
  </si>
  <si>
    <t>BAL0891 Cam 10: Carton &amp; Vial Labels</t>
    <phoneticPr fontId="2" type="noConversion"/>
  </si>
  <si>
    <t>BAL0891 Cam 10: Secondary Packaging</t>
    <phoneticPr fontId="2" type="noConversion"/>
  </si>
  <si>
    <t>BAL0891 Cam 9 &amp; 10: Carton &amp; Foam Inserts</t>
    <phoneticPr fontId="2" type="noConversion"/>
  </si>
  <si>
    <t>CD25-223</t>
    <phoneticPr fontId="2" type="noConversion"/>
  </si>
  <si>
    <t>Paclitaxel Cam 1: Northstar Drug Procurement</t>
    <phoneticPr fontId="2" type="noConversion"/>
  </si>
  <si>
    <t>CD24-113</t>
    <phoneticPr fontId="2" type="noConversion"/>
  </si>
  <si>
    <t>Paclitaxel Cam 1: Carton &amp; Vial Labels US/KOR</t>
    <phoneticPr fontId="2" type="noConversion"/>
  </si>
  <si>
    <t>CD24-177</t>
    <phoneticPr fontId="2" type="noConversion"/>
  </si>
  <si>
    <t>Paclitaxel Cam 1: Secondary Packaging US/KOR</t>
    <phoneticPr fontId="2" type="noConversion"/>
  </si>
  <si>
    <t>Paclitaxel Cam 2: Northstar Drug Procurement</t>
    <phoneticPr fontId="2" type="noConversion"/>
  </si>
  <si>
    <t>CD25-058</t>
    <phoneticPr fontId="2" type="noConversion"/>
  </si>
  <si>
    <t>Paclitaxel Cam 2: Secondary Packaging</t>
    <phoneticPr fontId="2" type="noConversion"/>
  </si>
  <si>
    <t>Paclitaxel Cam 2: Carton &amp; Vial Labels</t>
    <phoneticPr fontId="2" type="noConversion"/>
  </si>
  <si>
    <t>Paclitaxel Cam 3: Secondary Packaging</t>
    <phoneticPr fontId="2" type="noConversion"/>
  </si>
  <si>
    <t>CO26-031</t>
    <phoneticPr fontId="2" type="noConversion"/>
  </si>
  <si>
    <t>Paclitaxel Cam 3: Project Management</t>
    <phoneticPr fontId="2" type="noConversion"/>
  </si>
  <si>
    <t>CO26-003</t>
    <phoneticPr fontId="2" type="noConversion"/>
  </si>
  <si>
    <t>Sharp Services: 2022.09 to 2023.02 (Basilea)</t>
    <phoneticPr fontId="2" type="noConversion"/>
  </si>
  <si>
    <t>101 299</t>
    <phoneticPr fontId="2" type="noConversion"/>
  </si>
  <si>
    <t>Sharp Services: 2023.03</t>
    <phoneticPr fontId="2" type="noConversion"/>
  </si>
  <si>
    <t>Sharp Services: 2023.04</t>
    <phoneticPr fontId="2" type="noConversion"/>
  </si>
  <si>
    <t>Sharp Services: 2023.05</t>
    <phoneticPr fontId="2" type="noConversion"/>
  </si>
  <si>
    <t>Zuellig Services: 2023.05</t>
    <phoneticPr fontId="2" type="noConversion"/>
  </si>
  <si>
    <t>CD24-159</t>
    <phoneticPr fontId="2" type="noConversion"/>
  </si>
  <si>
    <t>Sharp Services: 2023.06</t>
    <phoneticPr fontId="2" type="noConversion"/>
  </si>
  <si>
    <t>CD24-156</t>
    <phoneticPr fontId="2" type="noConversion"/>
  </si>
  <si>
    <t>Zuellig Services: 2023.06</t>
    <phoneticPr fontId="2" type="noConversion"/>
  </si>
  <si>
    <t>Zuellig Services: 2023.06 (Credit)</t>
    <phoneticPr fontId="2" type="noConversion"/>
  </si>
  <si>
    <t>Sharp Services: 2023.07</t>
    <phoneticPr fontId="2" type="noConversion"/>
  </si>
  <si>
    <t>Zuellig Services: 2023.07</t>
    <phoneticPr fontId="2" type="noConversion"/>
  </si>
  <si>
    <t>Sharp Services: 2023.08</t>
    <phoneticPr fontId="2" type="noConversion"/>
  </si>
  <si>
    <t>Zuellig Services: 2023.08</t>
    <phoneticPr fontId="2" type="noConversion"/>
  </si>
  <si>
    <t>Sharp Services: 2023.09</t>
    <phoneticPr fontId="2" type="noConversion"/>
  </si>
  <si>
    <t>Zuellig Services: 2023.09</t>
    <phoneticPr fontId="2" type="noConversion"/>
  </si>
  <si>
    <t>Sharp Services: 2023.10</t>
    <phoneticPr fontId="2" type="noConversion"/>
  </si>
  <si>
    <t>Zuellig Services: 2023.10</t>
    <phoneticPr fontId="2" type="noConversion"/>
  </si>
  <si>
    <t>Sharp Services: 2023.11</t>
    <phoneticPr fontId="2" type="noConversion"/>
  </si>
  <si>
    <t>Zuellig Services: 2023.11</t>
    <phoneticPr fontId="2" type="noConversion"/>
  </si>
  <si>
    <t>CD24-024</t>
    <phoneticPr fontId="2" type="noConversion"/>
  </si>
  <si>
    <t>Sharp Services: 2023.12</t>
    <phoneticPr fontId="2" type="noConversion"/>
  </si>
  <si>
    <t xml:space="preserve">	CD24-010</t>
    <phoneticPr fontId="2" type="noConversion"/>
  </si>
  <si>
    <t>Zuellig Services: 2023.12</t>
    <phoneticPr fontId="2" type="noConversion"/>
  </si>
  <si>
    <t>Sharp Services: 2024.01</t>
    <phoneticPr fontId="2" type="noConversion"/>
  </si>
  <si>
    <t>CD24-043</t>
    <phoneticPr fontId="2" type="noConversion"/>
  </si>
  <si>
    <t>Sharp Services: 2024.01 (PM &amp; Freight)</t>
    <phoneticPr fontId="2" type="noConversion"/>
  </si>
  <si>
    <t>Zuellig Services: 2024.01</t>
    <phoneticPr fontId="2" type="noConversion"/>
  </si>
  <si>
    <t>CD24-078</t>
    <phoneticPr fontId="2" type="noConversion"/>
  </si>
  <si>
    <t>Sharp Services: 2024.02</t>
    <phoneticPr fontId="2" type="noConversion"/>
  </si>
  <si>
    <t>CD24-069</t>
    <phoneticPr fontId="2" type="noConversion"/>
  </si>
  <si>
    <t>Sharp Services: 2024.02 (PM)</t>
    <phoneticPr fontId="2" type="noConversion"/>
  </si>
  <si>
    <t>CD24-130</t>
    <phoneticPr fontId="2" type="noConversion"/>
  </si>
  <si>
    <t>Zuellig Services: 2024.02</t>
    <phoneticPr fontId="2" type="noConversion"/>
  </si>
  <si>
    <t>CD24-211</t>
    <phoneticPr fontId="2" type="noConversion"/>
  </si>
  <si>
    <t>Sharp Services: 2024.03</t>
    <phoneticPr fontId="2" type="noConversion"/>
  </si>
  <si>
    <t>Zuellig Services: 2024.03</t>
    <phoneticPr fontId="2" type="noConversion"/>
  </si>
  <si>
    <t>CD24-126</t>
    <phoneticPr fontId="2" type="noConversion"/>
  </si>
  <si>
    <t>Sharp Services: 2024.04</t>
    <phoneticPr fontId="2" type="noConversion"/>
  </si>
  <si>
    <t>Zuellig Services: 2024.04</t>
    <phoneticPr fontId="2" type="noConversion"/>
  </si>
  <si>
    <t xml:space="preserve">	CD24-189</t>
    <phoneticPr fontId="2" type="noConversion"/>
  </si>
  <si>
    <t>Zuellig Services: 2024.04 (Credit)</t>
    <phoneticPr fontId="2" type="noConversion"/>
  </si>
  <si>
    <t>Sharp Services: 2024.05</t>
    <phoneticPr fontId="2" type="noConversion"/>
  </si>
  <si>
    <t>CD24-135</t>
    <phoneticPr fontId="2" type="noConversion"/>
  </si>
  <si>
    <t>Sharp Services: 2024.06</t>
    <phoneticPr fontId="2" type="noConversion"/>
  </si>
  <si>
    <t>CD24-151</t>
    <phoneticPr fontId="2" type="noConversion"/>
  </si>
  <si>
    <t>Zuellig Services: 2024.05 &amp; 2024.06</t>
    <phoneticPr fontId="2" type="noConversion"/>
  </si>
  <si>
    <t>CD24-178</t>
    <phoneticPr fontId="2" type="noConversion"/>
  </si>
  <si>
    <t>Sharp Services: 2024.07</t>
    <phoneticPr fontId="2" type="noConversion"/>
  </si>
  <si>
    <t>CD24-175</t>
    <phoneticPr fontId="2" type="noConversion"/>
  </si>
  <si>
    <t>Zuellig Services: 2024.07</t>
    <phoneticPr fontId="2" type="noConversion"/>
  </si>
  <si>
    <t xml:space="preserve">	CD24-202</t>
    <phoneticPr fontId="2" type="noConversion"/>
  </si>
  <si>
    <t>Sharp Services: 2024.08</t>
    <phoneticPr fontId="2" type="noConversion"/>
  </si>
  <si>
    <t>CD24-192</t>
    <phoneticPr fontId="2" type="noConversion"/>
  </si>
  <si>
    <t>Zuellig Services: 2024.08</t>
    <phoneticPr fontId="2" type="noConversion"/>
  </si>
  <si>
    <t>CD24-239</t>
    <phoneticPr fontId="2" type="noConversion"/>
  </si>
  <si>
    <t>Sharp Services: 2024.09</t>
    <phoneticPr fontId="2" type="noConversion"/>
  </si>
  <si>
    <t>CD24-212</t>
    <phoneticPr fontId="2" type="noConversion"/>
  </si>
  <si>
    <t>Zuellig Services: 2024.09</t>
    <phoneticPr fontId="2" type="noConversion"/>
  </si>
  <si>
    <t>CD24-243</t>
    <phoneticPr fontId="2" type="noConversion"/>
  </si>
  <si>
    <t>Sharp Services: 2024.10</t>
    <phoneticPr fontId="2" type="noConversion"/>
  </si>
  <si>
    <t>Zuellig Services: 2024.10</t>
    <phoneticPr fontId="2" type="noConversion"/>
  </si>
  <si>
    <t>CD25-001</t>
    <phoneticPr fontId="2" type="noConversion"/>
  </si>
  <si>
    <t>Sharp Services: 2024.11</t>
    <phoneticPr fontId="2" type="noConversion"/>
  </si>
  <si>
    <t>CD24-284</t>
    <phoneticPr fontId="2" type="noConversion"/>
  </si>
  <si>
    <t>Zuellig Services: 2024.11</t>
    <phoneticPr fontId="2" type="noConversion"/>
  </si>
  <si>
    <t>CD25-019</t>
    <phoneticPr fontId="2" type="noConversion"/>
  </si>
  <si>
    <t>Sharp Services: 2024.12</t>
    <phoneticPr fontId="2" type="noConversion"/>
  </si>
  <si>
    <t>CD25-009</t>
    <phoneticPr fontId="2" type="noConversion"/>
  </si>
  <si>
    <t>Zuellig Services: 2024.12</t>
    <phoneticPr fontId="2" type="noConversion"/>
  </si>
  <si>
    <t>CD25-028</t>
    <phoneticPr fontId="2" type="noConversion"/>
  </si>
  <si>
    <t>Sharp Services: 2025.01</t>
    <phoneticPr fontId="2" type="noConversion"/>
  </si>
  <si>
    <t>CD25-030</t>
    <phoneticPr fontId="2" type="noConversion"/>
  </si>
  <si>
    <t>Zuellig Services: 2025.01</t>
    <phoneticPr fontId="2" type="noConversion"/>
  </si>
  <si>
    <t>CD25-083</t>
    <phoneticPr fontId="2" type="noConversion"/>
  </si>
  <si>
    <t>Sharp Services: 2025.02</t>
    <phoneticPr fontId="2" type="noConversion"/>
  </si>
  <si>
    <t>CD25-047</t>
    <phoneticPr fontId="2" type="noConversion"/>
  </si>
  <si>
    <t>Zuellig Services: 2025.02</t>
    <phoneticPr fontId="2" type="noConversion"/>
  </si>
  <si>
    <t>Sharp Services: 2025.03</t>
    <phoneticPr fontId="2" type="noConversion"/>
  </si>
  <si>
    <t>CD25-065</t>
    <phoneticPr fontId="2" type="noConversion"/>
  </si>
  <si>
    <t>Zuellig Services: 2025.03</t>
    <phoneticPr fontId="2" type="noConversion"/>
  </si>
  <si>
    <t>CD25-114</t>
    <phoneticPr fontId="2" type="noConversion"/>
  </si>
  <si>
    <t>Sharp Services: 2025.04</t>
    <phoneticPr fontId="2" type="noConversion"/>
  </si>
  <si>
    <t>Zuellig Services: 2025.04</t>
    <phoneticPr fontId="2" type="noConversion"/>
  </si>
  <si>
    <t>CD25-142</t>
    <phoneticPr fontId="2" type="noConversion"/>
  </si>
  <si>
    <t>Sharp Services: 2025.05</t>
    <phoneticPr fontId="2" type="noConversion"/>
  </si>
  <si>
    <t>Zuellig Services: 2025.05</t>
    <phoneticPr fontId="2" type="noConversion"/>
  </si>
  <si>
    <t>CD25-159</t>
    <phoneticPr fontId="2" type="noConversion"/>
  </si>
  <si>
    <t>Sharp Services: 2025.06</t>
    <phoneticPr fontId="2" type="noConversion"/>
  </si>
  <si>
    <t>Zuellig Services: 2025.06</t>
    <phoneticPr fontId="2" type="noConversion"/>
  </si>
  <si>
    <t>CD25-176</t>
    <phoneticPr fontId="2" type="noConversion"/>
  </si>
  <si>
    <t>Sharp Services: 2025.07</t>
    <phoneticPr fontId="2" type="noConversion"/>
  </si>
  <si>
    <t>Zuellig Services: 2025.07</t>
    <phoneticPr fontId="2" type="noConversion"/>
  </si>
  <si>
    <t>Zuellig Services: 2025.08</t>
    <phoneticPr fontId="2" type="noConversion"/>
  </si>
  <si>
    <t xml:space="preserve">	CD25-197</t>
    <phoneticPr fontId="2" type="noConversion"/>
  </si>
  <si>
    <t>Sharp Services: 2025.08</t>
    <phoneticPr fontId="2" type="noConversion"/>
  </si>
  <si>
    <t>Sharp Services: 2025.09</t>
    <phoneticPr fontId="2" type="noConversion"/>
  </si>
  <si>
    <t>Zuellig Services: 2025.09</t>
    <phoneticPr fontId="2" type="noConversion"/>
  </si>
  <si>
    <t>Sharp Services: 2025.10</t>
    <phoneticPr fontId="2" type="noConversion"/>
  </si>
  <si>
    <t>Zuellig Services: 2025.10</t>
    <phoneticPr fontId="2" type="noConversion"/>
  </si>
  <si>
    <t>CD25-224</t>
    <phoneticPr fontId="2" type="noConversion"/>
  </si>
  <si>
    <t>Sharp Services: 2025.11</t>
    <phoneticPr fontId="2" type="noConversion"/>
  </si>
  <si>
    <t>Zuellig Services: 2025.11</t>
    <phoneticPr fontId="2" type="noConversion"/>
  </si>
  <si>
    <t>CD26-006</t>
    <phoneticPr fontId="2" type="noConversion"/>
  </si>
  <si>
    <t>Sharp Services: 2025.12</t>
    <phoneticPr fontId="2" type="noConversion"/>
  </si>
  <si>
    <t>Zuellig Services: 2025.12</t>
    <phoneticPr fontId="2" type="noConversion"/>
  </si>
  <si>
    <t>CD26-015</t>
    <phoneticPr fontId="2" type="noConversion"/>
  </si>
  <si>
    <t>Sharp Services: 2026.01</t>
    <phoneticPr fontId="2" type="noConversion"/>
  </si>
  <si>
    <t>Zuellig Services: 2026.01</t>
    <phoneticPr fontId="2" type="noConversion"/>
  </si>
  <si>
    <t>CD26-032</t>
    <phoneticPr fontId="2" type="noConversion"/>
  </si>
  <si>
    <t>Sharp Services: 2026.02</t>
    <phoneticPr fontId="2" type="noConversion"/>
  </si>
  <si>
    <t>Zuellig Services: 2026.02</t>
    <phoneticPr fontId="2" type="noConversion"/>
  </si>
  <si>
    <t>CD26-042</t>
    <phoneticPr fontId="2" type="noConversion"/>
  </si>
  <si>
    <t>Sharp Services: 2026.03</t>
    <phoneticPr fontId="2" type="noConversion"/>
  </si>
  <si>
    <t>Sharp Services: LPM (2026.01 ~ 2026.04)</t>
    <phoneticPr fontId="2" type="noConversion"/>
  </si>
  <si>
    <t>CO26-010</t>
    <phoneticPr fontId="2" type="noConversion"/>
  </si>
  <si>
    <t>Paclitaxel Cam 3: Batch Record</t>
    <phoneticPr fontId="2" type="noConversion"/>
  </si>
  <si>
    <t>Zuellig Services: 2026.03</t>
    <phoneticPr fontId="2" type="noConversion"/>
  </si>
  <si>
    <t>CO26-016</t>
    <phoneticPr fontId="2" type="noConversion"/>
  </si>
  <si>
    <t>Sharp Services: 2026.04</t>
    <phoneticPr fontId="2" type="noConversion"/>
  </si>
  <si>
    <t>Zuellig Services: 2026.04</t>
    <phoneticPr fontId="2" type="noConversion"/>
  </si>
  <si>
    <t>CO26-036</t>
    <phoneticPr fontId="2" type="noConversion"/>
  </si>
  <si>
    <t>Sharp Services: 2026.05</t>
    <phoneticPr fontId="2" type="noConversion"/>
  </si>
  <si>
    <t>Sharp Services: LPM (2026.05)</t>
    <phoneticPr fontId="2" type="noConversion"/>
  </si>
  <si>
    <t>CO26-049</t>
    <phoneticPr fontId="2" type="noConversion"/>
  </si>
  <si>
    <t>4. Fisher Clinical Services (KOR &amp; US Mt Prospect)</t>
    <phoneticPr fontId="2" type="noConversion"/>
  </si>
  <si>
    <t>PSG-A-1106216</t>
    <phoneticPr fontId="2" type="noConversion"/>
  </si>
  <si>
    <t>₩</t>
    <phoneticPr fontId="2" type="noConversion"/>
  </si>
  <si>
    <t xml:space="preserve"> Budget Amount(₩)</t>
    <phoneticPr fontId="2" type="noConversion"/>
  </si>
  <si>
    <t>Invoiced Amount(₩)</t>
    <phoneticPr fontId="2" type="noConversion"/>
  </si>
  <si>
    <t>Amount(₩)</t>
    <phoneticPr fontId="2" type="noConversion"/>
  </si>
  <si>
    <t>VAT(₩)</t>
    <phoneticPr fontId="2" type="noConversion"/>
  </si>
  <si>
    <t>Study Set-up (KOR)</t>
    <phoneticPr fontId="2" type="noConversion"/>
  </si>
  <si>
    <t xml:space="preserve">	CD25-183</t>
    <phoneticPr fontId="2" type="noConversion"/>
  </si>
  <si>
    <t>Fisher Clinical Services (KOR): 2025.08 (PM)</t>
    <phoneticPr fontId="2" type="noConversion"/>
  </si>
  <si>
    <t>Fisher Clinical Services (KOR): 2025.09</t>
    <phoneticPr fontId="2" type="noConversion"/>
  </si>
  <si>
    <t>CD25-192</t>
    <phoneticPr fontId="2" type="noConversion"/>
  </si>
  <si>
    <t>Fisher Clinical Services (KOR): 2025.10</t>
    <phoneticPr fontId="2" type="noConversion"/>
  </si>
  <si>
    <t>CD25-200</t>
    <phoneticPr fontId="2" type="noConversion"/>
  </si>
  <si>
    <t>Fisher Clinical Services (KOR): 2025.11</t>
    <phoneticPr fontId="2" type="noConversion"/>
  </si>
  <si>
    <t>CD25-213</t>
    <phoneticPr fontId="2" type="noConversion"/>
  </si>
  <si>
    <t>Fisher Clinical Services(KOR): 2025.12 + Tislelizumab 1st Campaign (US&amp;KOR)</t>
    <phoneticPr fontId="2" type="noConversion"/>
  </si>
  <si>
    <t>CD26-003</t>
    <phoneticPr fontId="2" type="noConversion"/>
  </si>
  <si>
    <t>Fisher Clinical Services (KOR): 2026.01</t>
    <phoneticPr fontId="2" type="noConversion"/>
  </si>
  <si>
    <t>CD26-013</t>
    <phoneticPr fontId="2" type="noConversion"/>
  </si>
  <si>
    <t>Study Set-up (US)</t>
    <phoneticPr fontId="2" type="noConversion"/>
  </si>
  <si>
    <t>CD26-028</t>
    <phoneticPr fontId="2" type="noConversion"/>
  </si>
  <si>
    <t>Fisher Clinical Services (US): 2025.12</t>
    <phoneticPr fontId="2" type="noConversion"/>
  </si>
  <si>
    <t>Fisher Clinical Services (US): 2026.12 (Storage)</t>
    <phoneticPr fontId="2" type="noConversion"/>
  </si>
  <si>
    <t>Fisher Clinical Services (US): 2026.01 (Storage)</t>
    <phoneticPr fontId="2" type="noConversion"/>
  </si>
  <si>
    <t>Fisher Clinical Services (KOR): 2026.02</t>
    <phoneticPr fontId="2" type="noConversion"/>
  </si>
  <si>
    <t>Fisher Clinical Services (US): 2026.01</t>
    <phoneticPr fontId="2" type="noConversion"/>
  </si>
  <si>
    <t>Fisher Clinical Services (US): 2026.02</t>
    <phoneticPr fontId="2" type="noConversion"/>
  </si>
  <si>
    <t>CD26-046</t>
  </si>
  <si>
    <t>Fisher Clinical Services (US): 2026.02 (Storage)</t>
    <phoneticPr fontId="2" type="noConversion"/>
  </si>
  <si>
    <t>Fisher Clinical Services (KOR): 2026.03</t>
    <phoneticPr fontId="2" type="noConversion"/>
  </si>
  <si>
    <t>Fisher Clinical Services (US): 2026.04</t>
    <phoneticPr fontId="2" type="noConversion"/>
  </si>
  <si>
    <t>CO26-007</t>
    <phoneticPr fontId="2" type="noConversion"/>
  </si>
  <si>
    <t>Fisher Clinical Services (US): 2026.04 (Storage)</t>
    <phoneticPr fontId="2" type="noConversion"/>
  </si>
  <si>
    <t>N</t>
    <phoneticPr fontId="2" type="noConversion"/>
  </si>
  <si>
    <t>Fisher Clinical Services (US): 2026.03 (Storage) - Credit for 8391</t>
    <phoneticPr fontId="2" type="noConversion"/>
  </si>
  <si>
    <t>4079761C</t>
    <phoneticPr fontId="2" type="noConversion"/>
  </si>
  <si>
    <t xml:space="preserve">Fisher Clinical Services (KOR): 2026.04 </t>
    <phoneticPr fontId="2" type="noConversion"/>
  </si>
  <si>
    <t>Fisher Clinical Services (KOR): 2026.05</t>
    <phoneticPr fontId="2" type="noConversion"/>
  </si>
  <si>
    <t>CO26-026</t>
    <phoneticPr fontId="2" type="noConversion"/>
  </si>
  <si>
    <t>Fisher Clinical Services (US): 2026.04 (Freight)</t>
    <phoneticPr fontId="2" type="noConversion"/>
  </si>
  <si>
    <t>Fisher Clinical Services (KOR): 2026.06</t>
    <phoneticPr fontId="2" type="noConversion"/>
  </si>
  <si>
    <t>Fisher Clinical Services (US): 2026.05</t>
    <phoneticPr fontId="2" type="noConversion"/>
  </si>
  <si>
    <t>Fisher Clinical Services (US): 2026.05 (Storage)</t>
    <phoneticPr fontId="2" type="noConversion"/>
  </si>
  <si>
    <t>5. Marken</t>
    <phoneticPr fontId="2" type="noConversion"/>
  </si>
  <si>
    <t>Transport Amount(₩)</t>
    <phoneticPr fontId="2" type="noConversion"/>
  </si>
  <si>
    <t>Duty &amp; Tax(₩)</t>
    <phoneticPr fontId="2" type="noConversion"/>
  </si>
  <si>
    <t>BAL0891 Internal Standard Shipment: 10mg (Eurofins:Germany to SBQ:Swiss)</t>
    <phoneticPr fontId="2" type="noConversion"/>
  </si>
  <si>
    <t>SEL13786</t>
    <phoneticPr fontId="2" type="noConversion"/>
  </si>
  <si>
    <t>CO23-060</t>
    <phoneticPr fontId="2" type="noConversion"/>
  </si>
  <si>
    <t>BAL0891 IP 1st Shipment: 50 Kits (Sharp:US to Zuellig:KOR)</t>
    <phoneticPr fontId="2" type="noConversion"/>
  </si>
  <si>
    <t>SEL14022</t>
    <phoneticPr fontId="2" type="noConversion"/>
  </si>
  <si>
    <t>CO23-082</t>
    <phoneticPr fontId="2" type="noConversion"/>
  </si>
  <si>
    <t>BAL0891 IP 2nd Shipment: 50 Kits (Sharp:US to Zuellig:KOR)</t>
    <phoneticPr fontId="2" type="noConversion"/>
  </si>
  <si>
    <t>SEL14235</t>
    <phoneticPr fontId="2" type="noConversion"/>
  </si>
  <si>
    <t>CO23-103</t>
    <phoneticPr fontId="2" type="noConversion"/>
  </si>
  <si>
    <t>BAL0891 IP 2nd Shipment: US Export Declaration Fee</t>
    <phoneticPr fontId="2" type="noConversion"/>
  </si>
  <si>
    <t>SEL14826</t>
    <phoneticPr fontId="2" type="noConversion"/>
  </si>
  <si>
    <t xml:space="preserve">	CO23-158</t>
    <phoneticPr fontId="2" type="noConversion"/>
  </si>
  <si>
    <t>BAL0891 IP 3rd Shipment: 90 Kits (Sharp:US to Zuellig:KOR)</t>
    <phoneticPr fontId="2" type="noConversion"/>
  </si>
  <si>
    <t>SEL15057</t>
  </si>
  <si>
    <t>CO23-182</t>
    <phoneticPr fontId="2" type="noConversion"/>
  </si>
  <si>
    <t>BAL0891 IP 4th Shipment: 90 Kits (Sharp:US to Zuellig:KOR)</t>
    <phoneticPr fontId="2" type="noConversion"/>
  </si>
  <si>
    <t>SEL15197</t>
    <phoneticPr fontId="2" type="noConversion"/>
  </si>
  <si>
    <t>CO23-196</t>
    <phoneticPr fontId="2" type="noConversion"/>
  </si>
  <si>
    <t>BAL0891 IP 5th Shipment: 891 Kits (Sharp:US to Zuellig:KOR)</t>
    <phoneticPr fontId="2" type="noConversion"/>
  </si>
  <si>
    <t>SEL17590</t>
    <phoneticPr fontId="2" type="noConversion"/>
  </si>
  <si>
    <t>CO24-105</t>
    <phoneticPr fontId="2" type="noConversion"/>
  </si>
  <si>
    <t>Paclitaxel IP 1st Shipment: 254 Kits (Sharp:US to Zuellig:KOR)</t>
    <phoneticPr fontId="2" type="noConversion"/>
  </si>
  <si>
    <t>SEL18511</t>
    <phoneticPr fontId="2" type="noConversion"/>
  </si>
  <si>
    <t>CO24-185</t>
    <phoneticPr fontId="2" type="noConversion"/>
  </si>
  <si>
    <t>BAL0891 IP Internal Standard Shipment: 10mg (Eurofins:Germany to SBQ:KOR)</t>
    <phoneticPr fontId="2" type="noConversion"/>
  </si>
  <si>
    <t>SEL21038</t>
    <phoneticPr fontId="2" type="noConversion"/>
  </si>
  <si>
    <t>CO25-113</t>
    <phoneticPr fontId="2" type="noConversion"/>
  </si>
  <si>
    <t>BAL0891 IP 6th Shipment:  998 Kits (Sharp:US to Zuellig:KOR)</t>
    <phoneticPr fontId="2" type="noConversion"/>
  </si>
  <si>
    <t>SEL21663</t>
    <phoneticPr fontId="2" type="noConversion"/>
  </si>
  <si>
    <t>CO25-169</t>
    <phoneticPr fontId="2" type="noConversion"/>
  </si>
  <si>
    <t>BAL0891 IP Shipment: 300 kits (Sharp:US to Piramal:US)</t>
    <phoneticPr fontId="2" type="noConversion"/>
  </si>
  <si>
    <t>SEL21868</t>
    <phoneticPr fontId="2" type="noConversion"/>
  </si>
  <si>
    <t>CO25-174</t>
    <phoneticPr fontId="2" type="noConversion"/>
  </si>
  <si>
    <t>BAL0891 IP 7th Shipment:  698 Kits (Sharp:US to Zuellig:KOR)</t>
    <phoneticPr fontId="2" type="noConversion"/>
  </si>
  <si>
    <t>SEL22347</t>
    <phoneticPr fontId="2" type="noConversion"/>
  </si>
  <si>
    <t xml:space="preserve">	CO25-211</t>
    <phoneticPr fontId="2" type="noConversion"/>
  </si>
  <si>
    <t>Tislelizumab IP 1st Supply: 300 Vials (Beigene:CHINA to FCS:KOR)</t>
    <phoneticPr fontId="2" type="noConversion"/>
  </si>
  <si>
    <t>SEL22348</t>
    <phoneticPr fontId="2" type="noConversion"/>
  </si>
  <si>
    <t>Tislelizumab IP 1st Shipment: 149 Kits (FCS Korea to FCS US)</t>
    <phoneticPr fontId="2" type="noConversion"/>
  </si>
  <si>
    <t>SEL23563</t>
    <phoneticPr fontId="2" type="noConversion"/>
  </si>
  <si>
    <t>CO126-005</t>
    <phoneticPr fontId="2" type="noConversion"/>
  </si>
  <si>
    <t>4. SBQ</t>
    <phoneticPr fontId="2" type="noConversion"/>
  </si>
  <si>
    <t>3. Quotation details</t>
    <phoneticPr fontId="2" type="noConversion"/>
  </si>
  <si>
    <t>Quotation Date</t>
  </si>
  <si>
    <t xml:space="preserve">Quote No. </t>
  </si>
  <si>
    <t>Contracted</t>
  </si>
  <si>
    <t>Total Quotation Amount</t>
  </si>
  <si>
    <t>Payment milestone</t>
  </si>
  <si>
    <t>Invoice amount to be billed</t>
  </si>
  <si>
    <t>Issued invoice #</t>
  </si>
  <si>
    <t>Paid</t>
  </si>
  <si>
    <t>Payment Date</t>
  </si>
  <si>
    <t>Invoiced Amount(CHF)</t>
    <phoneticPr fontId="2" type="noConversion"/>
  </si>
  <si>
    <r>
      <rPr>
        <b/>
        <sz val="10"/>
        <color theme="1"/>
        <rFont val="맑은 고딕"/>
        <family val="2"/>
        <charset val="129"/>
      </rPr>
      <t>지출결의</t>
    </r>
    <r>
      <rPr>
        <b/>
        <sz val="10"/>
        <color theme="1"/>
        <rFont val="Arial"/>
        <family val="2"/>
      </rPr>
      <t xml:space="preserve"> #</t>
    </r>
    <phoneticPr fontId="2" type="noConversion"/>
  </si>
  <si>
    <t>Remarks</t>
  </si>
  <si>
    <t>2022.11.30</t>
  </si>
  <si>
    <t>Q210126</t>
  </si>
  <si>
    <t>Y (2023.01.12)</t>
  </si>
  <si>
    <t xml:space="preserve">30% after giving the order </t>
  </si>
  <si>
    <t>230046-1</t>
  </si>
  <si>
    <t>50% after delivery of the results</t>
  </si>
  <si>
    <t>230046-2</t>
  </si>
  <si>
    <t>04</t>
    <phoneticPr fontId="2" type="noConversion"/>
  </si>
  <si>
    <t>They billed us 50700 but this amount is not in the contract nor can be confirmed.</t>
  </si>
  <si>
    <t>계약서와 내용이 다름 + Delivery Result에 대한 Define이 되어야 한다. 우리도 invoice를 처리하기 위해서 지금 문의를 하고 있는 것이다.</t>
  </si>
  <si>
    <t>20% after delivery of the final draft study report</t>
  </si>
  <si>
    <t>2025.03.20</t>
  </si>
  <si>
    <t>Q210126_Amd01</t>
  </si>
  <si>
    <r>
      <rPr>
        <sz val="11"/>
        <color rgb="FF000000"/>
        <rFont val="Calibri"/>
        <family val="2"/>
      </rPr>
      <t>Y (</t>
    </r>
    <r>
      <rPr>
        <sz val="11"/>
        <color rgb="FFFF0000"/>
        <rFont val="Calibri"/>
        <family val="2"/>
      </rPr>
      <t>2026.03.11</t>
    </r>
    <r>
      <rPr>
        <sz val="11"/>
        <color rgb="FF000000"/>
        <rFont val="Calibri"/>
        <family val="2"/>
      </rPr>
      <t>)</t>
    </r>
  </si>
  <si>
    <t>2022.12.20</t>
  </si>
  <si>
    <t>Q210466</t>
  </si>
  <si>
    <t xml:space="preserve">50% after giving the order </t>
  </si>
  <si>
    <t>220327-1</t>
  </si>
  <si>
    <t>50% after delivery of kits</t>
  </si>
  <si>
    <t>2024.08.09</t>
  </si>
  <si>
    <t>N</t>
  </si>
  <si>
    <t>220327-2</t>
  </si>
  <si>
    <t>They billed us 39245.88 this was 57.47% of the total amount but there was no reference and no contract was made. (Based on Quotation dated 2024.08.09).</t>
  </si>
  <si>
    <t xml:space="preserve">이거는 서명이 된 Quote가 아니고, 새롭게 지금 전달 해준 2025 3월에 준 Quotation을 기반으로 서명하고, </t>
  </si>
  <si>
    <t>Q210466_Amd01</t>
  </si>
  <si>
    <t xml:space="preserve">50% after delivery of kits </t>
  </si>
  <si>
    <t>2024.09.30</t>
  </si>
  <si>
    <t>Q220591_Amd01</t>
  </si>
  <si>
    <t>240154-F</t>
  </si>
  <si>
    <t>This was invoiced for the provided interim analysis but the quotation was not signed and contract amendment was ongoing. No communication email since it was not contracted.</t>
  </si>
  <si>
    <t>50% after delivery of the final draft study report</t>
  </si>
  <si>
    <t>2023.06.16</t>
  </si>
  <si>
    <t>Q230208</t>
  </si>
  <si>
    <t>Y (2023.06.20)</t>
  </si>
  <si>
    <t>230187-1</t>
  </si>
  <si>
    <t>08</t>
    <phoneticPr fontId="2" type="noConversion"/>
  </si>
  <si>
    <t>50% after storage period (1 year)</t>
  </si>
  <si>
    <t>230187-2</t>
  </si>
  <si>
    <t>invoice 발행을 해주면 지급하겠다고 전달.</t>
  </si>
  <si>
    <t>230187-3</t>
  </si>
  <si>
    <t>230187-4</t>
  </si>
  <si>
    <t>2023.12.22</t>
  </si>
  <si>
    <t>Q230464</t>
  </si>
  <si>
    <t>Y (2024.01.24)</t>
  </si>
  <si>
    <t>240218-F</t>
  </si>
  <si>
    <t>This was not paid since no inventory log was provided but as we not have the actual inventory log obtained, it can be paid.</t>
  </si>
  <si>
    <t>바로 지급 진행</t>
  </si>
  <si>
    <t xml:space="preserve">50% after completion of the study </t>
  </si>
  <si>
    <t>2024.04.29</t>
  </si>
  <si>
    <t>Q240152</t>
  </si>
  <si>
    <t>Y (2023.06.13)</t>
  </si>
  <si>
    <t>240156-F</t>
  </si>
  <si>
    <t>12</t>
    <phoneticPr fontId="2" type="noConversion"/>
  </si>
  <si>
    <t>2024.08.06</t>
  </si>
  <si>
    <t>Q240254</t>
  </si>
  <si>
    <t>Y (2024.10.14)</t>
  </si>
  <si>
    <t>240221-1</t>
  </si>
  <si>
    <t>They increase the report cost to 2000 to 2500 and invoiced 13650 which is not contracted. No email communication as this was during the amendment.</t>
  </si>
  <si>
    <t>Invioice 수정 요청 진행 하고, 지급 할 수 있도록 처리 할 예정이다.</t>
  </si>
  <si>
    <t>Q240256</t>
  </si>
  <si>
    <t>Actual Cost를 확인 해야 한다는 의도가 잘못 전달이 된 것 같다 -&gt; Actual cost를 기반으로 해서 청구를 한다는 것을 아래의 Email에서 Confirm을 해주었기 때문에, 해당 내용을 기반으로 Quotation 진행 하겠다. Quote 부터 진행하고 그 뒤에 invoice 청구를 해달라.</t>
  </si>
  <si>
    <t>Q250120</t>
  </si>
  <si>
    <t>Y (2025.05.08)</t>
  </si>
  <si>
    <t xml:space="preserve">100% after giving the order </t>
  </si>
  <si>
    <t>250009-F</t>
  </si>
  <si>
    <t>Q250122</t>
  </si>
  <si>
    <t>Total Amount Paid</t>
  </si>
  <si>
    <t>To Payout now</t>
  </si>
  <si>
    <t xml:space="preserve">-   </t>
  </si>
  <si>
    <t>Total Contracted (to be contracted Amount)</t>
  </si>
  <si>
    <t>To be Paid</t>
  </si>
  <si>
    <t>지금까지 사용 한 비용 정리해서 업데이트</t>
  </si>
  <si>
    <t>* 전임자 작성 내용; Further FU 필요</t>
    <phoneticPr fontId="2" type="noConversion"/>
  </si>
  <si>
    <t>5. Aptamer</t>
    <phoneticPr fontId="2" type="noConversion"/>
  </si>
  <si>
    <t>Study 분류</t>
    <phoneticPr fontId="2" type="noConversion"/>
  </si>
  <si>
    <t>CTA#</t>
    <phoneticPr fontId="2" type="noConversion"/>
  </si>
  <si>
    <r>
      <t>Budget Amount(₩) 
VAT</t>
    </r>
    <r>
      <rPr>
        <b/>
        <sz val="10"/>
        <color theme="1"/>
        <rFont val="맑은 고딕"/>
        <family val="3"/>
        <charset val="129"/>
      </rPr>
      <t>제외</t>
    </r>
    <phoneticPr fontId="2" type="noConversion"/>
  </si>
  <si>
    <r>
      <t xml:space="preserve">Total Amount(₩) 
VAT </t>
    </r>
    <r>
      <rPr>
        <b/>
        <sz val="10"/>
        <color theme="1"/>
        <rFont val="맑은 고딕"/>
        <family val="3"/>
        <charset val="129"/>
      </rPr>
      <t>포함</t>
    </r>
    <phoneticPr fontId="2" type="noConversion"/>
  </si>
  <si>
    <t>SS4</t>
    <phoneticPr fontId="2" type="noConversion"/>
  </si>
  <si>
    <t>CLA25028_20250430</t>
    <phoneticPr fontId="2" type="noConversion"/>
  </si>
  <si>
    <t>CTA FE</t>
    <phoneticPr fontId="2" type="noConversion"/>
  </si>
  <si>
    <t>CO25-127</t>
  </si>
  <si>
    <r>
      <rPr>
        <sz val="10"/>
        <color theme="1"/>
        <rFont val="맑은 고딕"/>
        <family val="3"/>
        <charset val="129"/>
      </rPr>
      <t>시료분석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phoneticPr fontId="2" type="noConversion"/>
  </si>
  <si>
    <t>CO125-004</t>
  </si>
  <si>
    <r>
      <rPr>
        <sz val="10"/>
        <color theme="1"/>
        <rFont val="맑은 고딕"/>
        <family val="2"/>
        <charset val="129"/>
      </rPr>
      <t>계약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시료수</t>
    </r>
    <r>
      <rPr>
        <sz val="10"/>
        <color theme="1"/>
        <rFont val="Arial"/>
        <family val="2"/>
      </rPr>
      <t xml:space="preserve"> 50% </t>
    </r>
    <r>
      <rPr>
        <sz val="10"/>
        <color theme="1"/>
        <rFont val="맑은 고딕"/>
        <family val="2"/>
        <charset val="129"/>
      </rPr>
      <t>이상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분석</t>
    </r>
    <phoneticPr fontId="2" type="noConversion"/>
  </si>
  <si>
    <r>
      <rPr>
        <sz val="10"/>
        <color theme="1"/>
        <rFont val="맑은 고딕"/>
        <family val="2"/>
        <charset val="129"/>
      </rPr>
      <t>의뢰사의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보고서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초안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phoneticPr fontId="2" type="noConversion"/>
  </si>
  <si>
    <r>
      <rPr>
        <sz val="10"/>
        <color theme="1"/>
        <rFont val="맑은 고딕"/>
        <family val="2"/>
        <charset val="129"/>
      </rPr>
      <t>의뢰사의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최종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결과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보고서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승인</t>
    </r>
    <phoneticPr fontId="2" type="noConversion"/>
  </si>
  <si>
    <r>
      <t xml:space="preserve">site의 sampling kit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확인</t>
    </r>
    <phoneticPr fontId="2" type="noConversion"/>
  </si>
  <si>
    <r>
      <rPr>
        <sz val="10"/>
        <color theme="1"/>
        <rFont val="맑은 고딕"/>
        <family val="2"/>
        <charset val="129"/>
      </rPr>
      <t>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이송건의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확인</t>
    </r>
    <phoneticPr fontId="2" type="noConversion"/>
  </si>
  <si>
    <t>SS2</t>
    <phoneticPr fontId="2" type="noConversion"/>
  </si>
  <si>
    <t>CLA25085_20251124</t>
    <phoneticPr fontId="2" type="noConversion"/>
  </si>
  <si>
    <t>CO125-023</t>
  </si>
  <si>
    <r>
      <t xml:space="preserve">Sample analysis protocol </t>
    </r>
    <r>
      <rPr>
        <sz val="10"/>
        <color theme="1"/>
        <rFont val="맑은 고딕"/>
        <family val="2"/>
        <charset val="129"/>
      </rPr>
      <t>승인</t>
    </r>
    <r>
      <rPr>
        <sz val="10"/>
        <color theme="1"/>
        <rFont val="Arial"/>
        <family val="2"/>
      </rPr>
      <t xml:space="preserve"> </t>
    </r>
    <phoneticPr fontId="2" type="noConversion"/>
  </si>
  <si>
    <t>시료분석 개시</t>
    <phoneticPr fontId="2" type="noConversion"/>
  </si>
  <si>
    <t>시료분석 완료</t>
    <phoneticPr fontId="2" type="noConversion"/>
  </si>
  <si>
    <t>의뢰사의 최종 결과 보고서 승인</t>
    <phoneticPr fontId="2" type="noConversion"/>
  </si>
  <si>
    <t>6. Invivo</t>
    <phoneticPr fontId="2" type="noConversion"/>
  </si>
  <si>
    <t>Service Deliverables</t>
    <phoneticPr fontId="2" type="noConversion"/>
  </si>
  <si>
    <t>Total Amount($)</t>
    <phoneticPr fontId="2" type="noConversion"/>
  </si>
  <si>
    <t>Study setup fee</t>
    <phoneticPr fontId="2" type="noConversion"/>
  </si>
  <si>
    <t>Upfront fee due
upon WO effective
date (non-refundable)</t>
    <phoneticPr fontId="2" type="noConversion"/>
  </si>
  <si>
    <t>CD25-153</t>
  </si>
  <si>
    <t>Data Management Fee</t>
    <phoneticPr fontId="2" type="noConversion"/>
  </si>
  <si>
    <t>CD25-173</t>
  </si>
  <si>
    <t>Collection Kits</t>
    <phoneticPr fontId="2" type="noConversion"/>
  </si>
  <si>
    <t xml:space="preserve">	CD25-194</t>
    <phoneticPr fontId="2" type="noConversion"/>
  </si>
  <si>
    <t>25% of the Testing
Services</t>
    <phoneticPr fontId="2" type="noConversion"/>
  </si>
  <si>
    <t>Project Management Fee
(13 months)</t>
    <phoneticPr fontId="2" type="noConversion"/>
  </si>
  <si>
    <t>$4,038, Monthly for 13 months</t>
    <phoneticPr fontId="2" type="noConversion"/>
  </si>
  <si>
    <t xml:space="preserve">	CD25-208</t>
    <phoneticPr fontId="2" type="noConversion"/>
  </si>
  <si>
    <t>75% of the Testing
Services</t>
    <phoneticPr fontId="2" type="noConversion"/>
  </si>
  <si>
    <t>Monthly, based on
the # of
samples tested and
reported during
that month</t>
    <phoneticPr fontId="2" type="noConversion"/>
  </si>
  <si>
    <t>CD25-226</t>
  </si>
  <si>
    <t>Storage Fee</t>
    <phoneticPr fontId="2" type="noConversion"/>
  </si>
  <si>
    <t>Monthly</t>
    <phoneticPr fontId="2" type="noConversion"/>
  </si>
  <si>
    <t>CD26-005</t>
    <phoneticPr fontId="2" type="noConversion"/>
  </si>
  <si>
    <t>Disposition/Shipment Base
Fee</t>
    <phoneticPr fontId="2" type="noConversion"/>
  </si>
  <si>
    <t xml:space="preserve">Upon
disposition/transfer </t>
    <phoneticPr fontId="2" type="noConversion"/>
  </si>
  <si>
    <t>CD26-035</t>
    <phoneticPr fontId="2" type="noConversion"/>
  </si>
  <si>
    <t>Disposition/Shipment Per
Sample Fee</t>
    <phoneticPr fontId="2" type="noConversion"/>
  </si>
  <si>
    <t>Upon
disposition/transfer ($15)</t>
    <phoneticPr fontId="2" type="noConversion"/>
  </si>
  <si>
    <t>CD26-037</t>
    <phoneticPr fontId="2" type="noConversion"/>
  </si>
  <si>
    <t>Pass-through expenses</t>
    <phoneticPr fontId="2" type="noConversion"/>
  </si>
  <si>
    <t>To be billed as
incurred</t>
    <phoneticPr fontId="2" type="noConversion"/>
  </si>
  <si>
    <t>CD26-049</t>
    <phoneticPr fontId="2" type="noConversion"/>
  </si>
  <si>
    <t>Storage Fee</t>
  </si>
  <si>
    <t>Monthly</t>
  </si>
  <si>
    <t>CO26-018</t>
    <phoneticPr fontId="2" type="noConversion"/>
  </si>
  <si>
    <t>CO26-033</t>
  </si>
  <si>
    <t>9. LabConnect</t>
    <phoneticPr fontId="2" type="noConversion"/>
  </si>
  <si>
    <t>Contract #</t>
    <phoneticPr fontId="2" type="noConversion"/>
  </si>
  <si>
    <t>SLJNS101_ver.4.0</t>
    <phoneticPr fontId="2" type="noConversion"/>
  </si>
  <si>
    <t>Advance Payment</t>
    <phoneticPr fontId="2" type="noConversion"/>
  </si>
  <si>
    <t>Project Initiation, 
non-refundable</t>
    <phoneticPr fontId="2" type="noConversion"/>
  </si>
  <si>
    <t>SI145264</t>
    <phoneticPr fontId="2" type="noConversion"/>
  </si>
  <si>
    <t>CD25-182</t>
    <phoneticPr fontId="2" type="noConversion"/>
  </si>
  <si>
    <t>Expedited Startup, 
non-refundable</t>
    <phoneticPr fontId="2" type="noConversion"/>
  </si>
  <si>
    <t>SI146666</t>
    <phoneticPr fontId="2" type="noConversion"/>
  </si>
  <si>
    <t>CD25-214</t>
    <phoneticPr fontId="2" type="noConversion"/>
  </si>
  <si>
    <t>Project Deposit (will be credited to final invoices)</t>
    <phoneticPr fontId="2" type="noConversion"/>
  </si>
  <si>
    <t>Maintenance</t>
    <phoneticPr fontId="2" type="noConversion"/>
  </si>
  <si>
    <t>Project Management</t>
    <phoneticPr fontId="2" type="noConversion"/>
  </si>
  <si>
    <t>Supplies</t>
    <phoneticPr fontId="2" type="noConversion"/>
  </si>
  <si>
    <t>Logistics</t>
    <phoneticPr fontId="2" type="noConversion"/>
  </si>
  <si>
    <t>Discount &amp; Credit</t>
    <phoneticPr fontId="2" type="noConversion"/>
  </si>
  <si>
    <t>Discount</t>
    <phoneticPr fontId="2" type="noConversion"/>
  </si>
  <si>
    <t>To be credited to final invoices</t>
    <phoneticPr fontId="2" type="noConversion"/>
  </si>
  <si>
    <t>7. AIMS</t>
    <phoneticPr fontId="2" type="noConversion"/>
  </si>
  <si>
    <t>AIMS-SA-033.v4_20231006</t>
    <phoneticPr fontId="2" type="noConversion"/>
  </si>
  <si>
    <t>23SLJ01-01</t>
  </si>
  <si>
    <t>CO23-198</t>
  </si>
  <si>
    <r>
      <t>업무</t>
    </r>
    <r>
      <rPr>
        <sz val="10"/>
        <color theme="1"/>
        <rFont val="맑은 고딕"/>
        <family val="2"/>
        <charset val="129"/>
      </rPr>
      <t xml:space="preserve"> 완료</t>
    </r>
    <phoneticPr fontId="2" type="noConversion"/>
  </si>
  <si>
    <t>CO25-067</t>
  </si>
  <si>
    <t>AIMS-SA-033.v4_20240626</t>
    <phoneticPr fontId="2" type="noConversion"/>
  </si>
  <si>
    <t>23SLJ01-03</t>
  </si>
  <si>
    <t>CO24-123</t>
  </si>
  <si>
    <t>성과물 전달</t>
    <phoneticPr fontId="2" type="noConversion"/>
  </si>
  <si>
    <t>CO24-190</t>
  </si>
  <si>
    <t>CO25-014</t>
  </si>
  <si>
    <t>AIMS-SA-033.v4_20240909</t>
    <phoneticPr fontId="2" type="noConversion"/>
  </si>
  <si>
    <t>23SLJ01-04</t>
  </si>
  <si>
    <t>CO24-179</t>
  </si>
  <si>
    <t>CO125-021</t>
  </si>
  <si>
    <t>AIMS-SA-033.v4_20241021</t>
    <phoneticPr fontId="2" type="noConversion"/>
  </si>
  <si>
    <t>AIMS-SA-033.v4_20241103</t>
  </si>
  <si>
    <t>23SLJ01-06</t>
  </si>
  <si>
    <t>CO24-253</t>
  </si>
  <si>
    <t>AIMS-SA-033.v4_20241103</t>
    <phoneticPr fontId="2" type="noConversion"/>
  </si>
  <si>
    <t>CO125-022</t>
  </si>
  <si>
    <t>AIMS-SA-033.v4_20250828</t>
    <phoneticPr fontId="2" type="noConversion"/>
  </si>
  <si>
    <r>
      <t xml:space="preserve">NCA </t>
    </r>
    <r>
      <rPr>
        <sz val="10"/>
        <color theme="1"/>
        <rFont val="맑은 고딕"/>
        <family val="2"/>
        <charset val="129"/>
      </rPr>
      <t>기반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작업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제출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승인</t>
    </r>
    <phoneticPr fontId="2" type="noConversion"/>
  </si>
  <si>
    <r>
      <rPr>
        <sz val="10"/>
        <color theme="1"/>
        <rFont val="맑은 고딕"/>
        <family val="2"/>
        <charset val="129"/>
      </rPr>
      <t>중간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Arial"/>
        <family val="2"/>
        <charset val="129"/>
      </rPr>
      <t xml:space="preserve"> (4unit, 10cohorts </t>
    </r>
    <r>
      <rPr>
        <sz val="10"/>
        <color theme="1"/>
        <rFont val="맑은 고딕"/>
        <family val="2"/>
        <charset val="129"/>
      </rPr>
      <t>기준)</t>
    </r>
    <phoneticPr fontId="2" type="noConversion"/>
  </si>
  <si>
    <r>
      <rPr>
        <sz val="10"/>
        <color theme="1"/>
        <rFont val="맑은 고딕"/>
        <family val="2"/>
        <charset val="129"/>
      </rPr>
      <t>최종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분석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  <charset val="129"/>
      </rPr>
      <t>완료 (</t>
    </r>
    <r>
      <rPr>
        <sz val="10"/>
        <color theme="1"/>
        <rFont val="Arial"/>
        <family val="2"/>
      </rPr>
      <t xml:space="preserve">2unit, 4 cohorts </t>
    </r>
    <r>
      <rPr>
        <sz val="10"/>
        <color theme="1"/>
        <rFont val="맑은 고딕"/>
        <family val="2"/>
        <charset val="129"/>
      </rPr>
      <t>기준)</t>
    </r>
    <phoneticPr fontId="2" type="noConversion"/>
  </si>
  <si>
    <t>AIMS-SA-033.v4_20251107</t>
  </si>
  <si>
    <t>CTA FE</t>
  </si>
  <si>
    <t>SLJ01-25-03</t>
  </si>
  <si>
    <t>CO125-007</t>
  </si>
  <si>
    <t>중간 분석 (5 cohorts)</t>
  </si>
  <si>
    <t>분석 reconcile, 업무완료</t>
  </si>
  <si>
    <t>AIMS-SA-033.v4_20260126</t>
  </si>
  <si>
    <t>계약변경합의서 승인</t>
  </si>
  <si>
    <t>SLJ01-25-03-C02</t>
  </si>
  <si>
    <t>CO126-011</t>
  </si>
  <si>
    <t>11. Cytel</t>
    <phoneticPr fontId="2" type="noConversion"/>
  </si>
  <si>
    <t xml:space="preserve">Budget Amount($) </t>
    <phoneticPr fontId="2" type="noConversion"/>
  </si>
  <si>
    <t xml:space="preserve">Invoiced Amount($) </t>
    <phoneticPr fontId="2" type="noConversion"/>
  </si>
  <si>
    <t>Total Amount(($)</t>
    <phoneticPr fontId="2" type="noConversion"/>
  </si>
  <si>
    <t xml:space="preserve">BAL0891 Cam 9: Retest Date Extension Labels </t>
    <phoneticPr fontId="2" type="noConversion"/>
  </si>
  <si>
    <t>CO26-050</t>
    <phoneticPr fontId="2" type="noConversion"/>
  </si>
  <si>
    <t>Sharp Services: LPM (2026.06)</t>
    <phoneticPr fontId="2" type="noConversion"/>
  </si>
  <si>
    <t>Sharp Services: 2026.06</t>
    <phoneticPr fontId="2" type="noConversion"/>
  </si>
  <si>
    <t>Paclitaxel IP 2nd Shipment: 35 Kits (Sharp:US to Zuellig:KOR)</t>
    <phoneticPr fontId="2" type="noConversion"/>
  </si>
  <si>
    <t>SEL25960</t>
    <phoneticPr fontId="2" type="noConversion"/>
  </si>
  <si>
    <t>Zuellig Services: 2026.05</t>
    <phoneticPr fontId="2" type="noConversion"/>
  </si>
  <si>
    <t>CO26-057</t>
    <phoneticPr fontId="2" type="noConversion"/>
  </si>
  <si>
    <t xml:space="preserve">	CO26-042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</si>
</sst>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6" formatCode="\$#,##0.00_);[Red]\(\$#,##0.00\)"/>
    <numFmt numFmtId="176" formatCode="_(&quot;$&quot;* #,##0.00_);_(&quot;$&quot;* \(#,##0.00\);_(&quot;$&quot;* &quot;-&quot;??_);_(@_)"/>
    <numFmt numFmtId="177" formatCode="#,##0_ "/>
    <numFmt numFmtId="178" formatCode="_-[$₩-412]* #,##0_-;\-[$₩-412]* #,##0_-;_-[$₩-412]* &quot;-&quot;??_-;_-@_-"/>
    <numFmt numFmtId="179" formatCode="_-[$$-409]* #,##0.00_ ;_-[$$-409]* \-#,##0.00\ ;_-[$$-409]* &quot;-&quot;??_ ;_-@_ "/>
    <numFmt numFmtId="180" formatCode="_-[$₩-412]* #,##0.00_-;\-[$₩-412]* #,##0.00_-;_-[$₩-412]* &quot;-&quot;??_-;_-@_-"/>
    <numFmt numFmtId="181" formatCode="yyyy\-mm\-dd"/>
    <numFmt numFmtId="182" formatCode="dd/mmm/yyyy"/>
    <numFmt numFmtId="183" formatCode="0.00_ "/>
    <numFmt numFmtId="184" formatCode="\$#,##0.00"/>
    <numFmt numFmtId="185" formatCode="&quot;₩&quot;#,##0_);[Red]\(&quot;₩&quot;#,##0\)"/>
    <numFmt numFmtId="186" formatCode="\$#,##0.00;[Red]\-\$#,##0.00"/>
    <numFmt numFmtId="187" formatCode="[$-409]mmm/yy"/>
    <numFmt numFmtId="188" formatCode="_-\$* #,##0.00_ ;_-\$* \-#,##0.00\ ;_-\$* &quot;-&quot;??_ ;_-@_ "/>
    <numFmt numFmtId="189" formatCode="mm/dd/yy;@"/>
    <numFmt numFmtId="190" formatCode="#,##0.00_ ;[Red]\-#,##0.00\ "/>
    <numFmt numFmtId="191" formatCode="_-* #,##0.00\ [$CHF]_-;\-* #,##0.00\ [$CHF]_-;_-* &quot;-&quot;??\ [$CHF]_-;_-@_-" x16r2:formatCode16="_-* #,##0.00\ [$CHF-gsw-CH]_-;\-* #,##0.00\ [$CHF-gsw-CH]_-;_-* &quot;-&quot;??\ [$CHF-gsw-CH]_-;_-@_-"/>
    <numFmt numFmtId="192" formatCode="#,##0.00\ [$CHF]" x16r2:formatCode16="#,##0.00\ [$CHF-gsw-CH]"/>
    <numFmt numFmtId="193" formatCode="0_);[Red]\(0\)"/>
    <numFmt numFmtId="194" formatCode="_-[$₩-412]* #,##0_-;\-[$₩-412]* #,##0_-;_-[$₩-412]* &quot;-&quot;_-;_-@_-"/>
    <numFmt numFmtId="195" formatCode="#,##0.00\ [$CHF]_);[Red]\(#,##0.00\ [$CHF]\)" x16r2:formatCode16="#,##0.00\ [$CHF-gsw-CH]_);[Red]\(#,##0.00\ [$CHF-gsw-CH]\)"/>
    <numFmt numFmtId="196" formatCode="\$#,##0"/>
    <numFmt numFmtId="197" formatCode="yyyy/mm/dd;@"/>
    <numFmt numFmtId="198" formatCode="_-[$$-409]* #,##0_ ;_-[$$-409]* \-#,##0\ ;_-[$$-409]* &quot;-&quot;_ ;_-@_ "/>
  </numFmts>
  <fonts count="83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b/>
      <i/>
      <sz val="10"/>
      <color rgb="FFC00000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i/>
      <sz val="10"/>
      <color theme="0" tint="-0.499984740745262"/>
      <name val="Arial"/>
      <family val="2"/>
    </font>
    <font>
      <b/>
      <sz val="9"/>
      <name val="Arial"/>
      <family val="2"/>
    </font>
    <font>
      <i/>
      <sz val="9"/>
      <color rgb="FFC00000"/>
      <name val="맑은 고딕"/>
      <family val="3"/>
      <charset val="129"/>
      <scheme val="minor"/>
    </font>
    <font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</font>
    <font>
      <sz val="9"/>
      <color rgb="FFC00000"/>
      <name val="맑은 고딕"/>
      <family val="3"/>
      <charset val="129"/>
    </font>
    <font>
      <b/>
      <sz val="9"/>
      <color theme="0"/>
      <name val="Arial"/>
      <family val="2"/>
    </font>
    <font>
      <b/>
      <sz val="9"/>
      <color theme="0"/>
      <name val="맑은 고딕"/>
      <family val="2"/>
      <charset val="129"/>
    </font>
    <font>
      <b/>
      <sz val="9"/>
      <color theme="1"/>
      <name val="Arial"/>
      <family val="2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i/>
      <sz val="10"/>
      <color theme="0"/>
      <name val="Arial"/>
      <family val="2"/>
    </font>
    <font>
      <sz val="11"/>
      <color theme="1"/>
      <name val="Calibri"/>
      <family val="2"/>
    </font>
    <font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color rgb="FF002060"/>
      <name val="Arial"/>
      <family val="2"/>
    </font>
    <font>
      <sz val="10"/>
      <name val="Arial"/>
      <family val="2"/>
    </font>
    <font>
      <b/>
      <sz val="10"/>
      <color theme="4"/>
      <name val="Arial"/>
      <family val="2"/>
    </font>
    <font>
      <sz val="10"/>
      <name val="Calibri"/>
      <family val="2"/>
    </font>
    <font>
      <sz val="12"/>
      <color theme="1"/>
      <name val="Calibri"/>
      <family val="2"/>
    </font>
    <font>
      <b/>
      <sz val="11"/>
      <color theme="4"/>
      <name val="Arial"/>
      <family val="2"/>
    </font>
    <font>
      <sz val="11"/>
      <color theme="4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i/>
      <sz val="10"/>
      <color theme="4"/>
      <name val="Arial"/>
      <family val="2"/>
    </font>
    <font>
      <i/>
      <sz val="10"/>
      <color theme="1"/>
      <name val="맑은 고딕"/>
      <family val="2"/>
      <charset val="129"/>
    </font>
    <font>
      <b/>
      <sz val="10"/>
      <color rgb="FFC00000"/>
      <name val="Arial"/>
      <family val="2"/>
    </font>
    <font>
      <sz val="10"/>
      <color theme="0" tint="-0.499984740745262"/>
      <name val="Arial"/>
      <family val="2"/>
    </font>
    <font>
      <i/>
      <sz val="10"/>
      <name val="Arial"/>
      <family val="2"/>
    </font>
    <font>
      <b/>
      <sz val="10"/>
      <name val="맑은 고딕"/>
      <family val="2"/>
      <charset val="129"/>
    </font>
    <font>
      <i/>
      <sz val="8"/>
      <color theme="5"/>
      <name val="Arial"/>
      <family val="2"/>
    </font>
    <font>
      <i/>
      <sz val="8"/>
      <color theme="5"/>
      <name val="맑은 고딕"/>
      <family val="2"/>
      <charset val="129"/>
    </font>
    <font>
      <i/>
      <sz val="8"/>
      <color theme="5"/>
      <name val="맑은 고딕"/>
      <family val="3"/>
      <charset val="129"/>
    </font>
    <font>
      <sz val="10"/>
      <color rgb="FF000000"/>
      <name val="Arial"/>
      <family val="2"/>
    </font>
    <font>
      <sz val="10"/>
      <color rgb="FFC00000"/>
      <name val="Arial"/>
      <family val="2"/>
    </font>
    <font>
      <sz val="10"/>
      <color rgb="FFC00000"/>
      <name val="맑은 고딕"/>
      <family val="2"/>
      <charset val="129"/>
    </font>
    <font>
      <b/>
      <sz val="10"/>
      <color rgb="FF000000"/>
      <name val="Arial"/>
      <family val="2"/>
    </font>
    <font>
      <b/>
      <sz val="10"/>
      <color rgb="FF000000"/>
      <name val="Arial Unicode MS"/>
      <family val="3"/>
      <charset val="129"/>
    </font>
    <font>
      <b/>
      <i/>
      <sz val="10"/>
      <color theme="9"/>
      <name val="맑은 고딕"/>
      <family val="3"/>
      <charset val="129"/>
      <scheme val="major"/>
    </font>
    <font>
      <sz val="8"/>
      <name val="맑은 고딕"/>
      <family val="2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i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name val="Arial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1"/>
      <name val="Arial"/>
      <family val="2"/>
      <charset val="129"/>
    </font>
    <font>
      <sz val="10"/>
      <color rgb="FFFF0000"/>
      <name val="Arial"/>
      <family val="2"/>
    </font>
    <font>
      <b/>
      <i/>
      <sz val="9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Calibri"/>
      <family val="2"/>
    </font>
    <font>
      <i/>
      <sz val="10"/>
      <color rgb="FFC00000"/>
      <name val="맑은 고딕"/>
      <family val="2"/>
      <charset val="129"/>
    </font>
    <font>
      <i/>
      <sz val="8"/>
      <color rgb="FFC00000"/>
      <name val="맑은 고딕"/>
      <family val="3"/>
      <charset val="129"/>
    </font>
    <font>
      <i/>
      <sz val="8"/>
      <color rgb="FFC00000"/>
      <name val="Arial"/>
      <family val="3"/>
    </font>
    <font>
      <sz val="10"/>
      <color theme="1"/>
      <name val="맑은 고딕"/>
      <family val="3"/>
      <charset val="129"/>
    </font>
    <font>
      <sz val="10"/>
      <color rgb="FF333333"/>
      <name val="Arial"/>
      <family val="2"/>
    </font>
    <font>
      <sz val="7"/>
      <color rgb="FF000000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rgb="FFFF0000"/>
      <name val="Calibri"/>
      <family val="2"/>
    </font>
    <font>
      <sz val="12"/>
      <color rgb="FF333333"/>
      <name val="Calibri"/>
      <family val="2"/>
    </font>
    <font>
      <i/>
      <sz val="12"/>
      <color theme="0" tint="-0.49998474074526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rgb="FFDEEAF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47D35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>
      <alignment vertical="center"/>
    </xf>
    <xf numFmtId="0" fontId="4" fillId="0" borderId="0"/>
    <xf numFmtId="0" fontId="4" fillId="0" borderId="0"/>
    <xf numFmtId="9" fontId="5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</cellStyleXfs>
  <cellXfs count="5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8" fillId="4" borderId="0" xfId="0" applyFont="1" applyFill="1" applyAlignment="1">
      <alignment horizontal="right" vertical="center"/>
    </xf>
    <xf numFmtId="0" fontId="6" fillId="3" borderId="0" xfId="0" applyFont="1" applyFill="1">
      <alignment vertical="center"/>
    </xf>
    <xf numFmtId="0" fontId="10" fillId="3" borderId="0" xfId="0" applyFont="1" applyFill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" fillId="0" borderId="4" xfId="0" applyFont="1" applyBorder="1">
      <alignment vertical="center"/>
    </xf>
    <xf numFmtId="9" fontId="9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80" fontId="3" fillId="0" borderId="1" xfId="0" applyNumberFormat="1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21" fillId="0" borderId="0" xfId="0" applyFont="1">
      <alignment vertical="center"/>
    </xf>
    <xf numFmtId="9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1" fillId="0" borderId="1" xfId="0" applyFont="1" applyBorder="1">
      <alignment vertical="center"/>
    </xf>
    <xf numFmtId="0" fontId="13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7" borderId="17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3" borderId="0" xfId="0" applyFont="1" applyFill="1">
      <alignment vertical="center"/>
    </xf>
    <xf numFmtId="0" fontId="25" fillId="3" borderId="0" xfId="0" applyFont="1" applyFill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" fillId="4" borderId="0" xfId="0" applyFont="1" applyFill="1">
      <alignment vertical="center"/>
    </xf>
    <xf numFmtId="0" fontId="10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181" fontId="3" fillId="0" borderId="21" xfId="0" applyNumberFormat="1" applyFont="1" applyBorder="1" applyAlignment="1">
      <alignment horizontal="left" vertical="center"/>
    </xf>
    <xf numFmtId="0" fontId="1" fillId="8" borderId="21" xfId="0" applyFont="1" applyFill="1" applyBorder="1" applyAlignment="1">
      <alignment horizontal="center" vertical="center"/>
    </xf>
    <xf numFmtId="2" fontId="3" fillId="0" borderId="21" xfId="0" applyNumberFormat="1" applyFont="1" applyBorder="1" applyAlignment="1">
      <alignment horizontal="center" vertical="center"/>
    </xf>
    <xf numFmtId="0" fontId="3" fillId="5" borderId="24" xfId="0" applyFont="1" applyFill="1" applyBorder="1" applyAlignment="1">
      <alignment horizontal="left" vertical="center"/>
    </xf>
    <xf numFmtId="181" fontId="29" fillId="5" borderId="19" xfId="0" applyNumberFormat="1" applyFont="1" applyFill="1" applyBorder="1">
      <alignment vertical="center"/>
    </xf>
    <xf numFmtId="0" fontId="3" fillId="0" borderId="27" xfId="0" applyFont="1" applyBorder="1" applyAlignment="1">
      <alignment horizontal="left" vertical="center"/>
    </xf>
    <xf numFmtId="0" fontId="1" fillId="5" borderId="28" xfId="0" quotePrefix="1" applyFont="1" applyFill="1" applyBorder="1" applyAlignment="1">
      <alignment horizontal="left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2" fontId="3" fillId="0" borderId="20" xfId="0" applyNumberFormat="1" applyFont="1" applyBorder="1" applyAlignment="1">
      <alignment horizontal="center" vertical="center"/>
    </xf>
    <xf numFmtId="181" fontId="3" fillId="0" borderId="30" xfId="0" applyNumberFormat="1" applyFont="1" applyBorder="1" applyAlignment="1">
      <alignment horizontal="left" vertical="center"/>
    </xf>
    <xf numFmtId="0" fontId="1" fillId="5" borderId="23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left" vertical="center"/>
    </xf>
    <xf numFmtId="182" fontId="3" fillId="0" borderId="21" xfId="0" applyNumberFormat="1" applyFont="1" applyBorder="1" applyAlignment="1">
      <alignment horizontal="center" vertical="center"/>
    </xf>
    <xf numFmtId="182" fontId="1" fillId="5" borderId="24" xfId="0" applyNumberFormat="1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182" fontId="3" fillId="0" borderId="22" xfId="0" applyNumberFormat="1" applyFont="1" applyBorder="1" applyAlignment="1">
      <alignment horizontal="center" vertical="center"/>
    </xf>
    <xf numFmtId="182" fontId="1" fillId="5" borderId="25" xfId="0" applyNumberFormat="1" applyFont="1" applyFill="1" applyBorder="1" applyAlignment="1">
      <alignment horizontal="center" vertical="center"/>
    </xf>
    <xf numFmtId="183" fontId="3" fillId="0" borderId="12" xfId="0" applyNumberFormat="1" applyFont="1" applyBorder="1" applyAlignment="1">
      <alignment horizontal="center" vertical="center"/>
    </xf>
    <xf numFmtId="183" fontId="1" fillId="5" borderId="14" xfId="0" applyNumberFormat="1" applyFont="1" applyFill="1" applyBorder="1" applyAlignment="1">
      <alignment horizontal="center" vertical="center"/>
    </xf>
    <xf numFmtId="0" fontId="31" fillId="8" borderId="27" xfId="0" applyFont="1" applyFill="1" applyBorder="1" applyAlignment="1">
      <alignment horizontal="left" vertical="center"/>
    </xf>
    <xf numFmtId="0" fontId="31" fillId="9" borderId="0" xfId="0" applyFont="1" applyFill="1">
      <alignment vertical="center"/>
    </xf>
    <xf numFmtId="0" fontId="1" fillId="9" borderId="0" xfId="0" applyFont="1" applyFill="1">
      <alignment vertical="center"/>
    </xf>
    <xf numFmtId="0" fontId="32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31" fillId="5" borderId="33" xfId="0" applyFont="1" applyFill="1" applyBorder="1" applyAlignment="1">
      <alignment horizontal="left"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5" borderId="36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32" xfId="0" applyNumberFormat="1" applyFont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3" fillId="0" borderId="11" xfId="0" applyFont="1" applyBorder="1">
      <alignment vertical="center"/>
    </xf>
    <xf numFmtId="184" fontId="3" fillId="0" borderId="12" xfId="0" applyNumberFormat="1" applyFont="1" applyBorder="1" applyAlignment="1">
      <alignment horizontal="right" vertical="center"/>
    </xf>
    <xf numFmtId="0" fontId="3" fillId="0" borderId="38" xfId="0" applyFont="1" applyBorder="1">
      <alignment vertical="center"/>
    </xf>
    <xf numFmtId="184" fontId="3" fillId="0" borderId="39" xfId="0" applyNumberFormat="1" applyFont="1" applyBorder="1" applyAlignment="1">
      <alignment horizontal="right" vertical="center"/>
    </xf>
    <xf numFmtId="0" fontId="3" fillId="0" borderId="20" xfId="0" applyFont="1" applyBorder="1">
      <alignment vertical="center"/>
    </xf>
    <xf numFmtId="184" fontId="3" fillId="0" borderId="30" xfId="0" applyNumberFormat="1" applyFont="1" applyBorder="1" applyAlignment="1">
      <alignment horizontal="right" vertical="center"/>
    </xf>
    <xf numFmtId="0" fontId="3" fillId="0" borderId="20" xfId="0" applyFont="1" applyBorder="1" applyAlignment="1">
      <alignment horizontal="center" vertical="center"/>
    </xf>
    <xf numFmtId="2" fontId="1" fillId="5" borderId="24" xfId="0" applyNumberFormat="1" applyFont="1" applyFill="1" applyBorder="1" applyAlignment="1">
      <alignment horizontal="center" vertical="center"/>
    </xf>
    <xf numFmtId="184" fontId="1" fillId="5" borderId="31" xfId="0" applyNumberFormat="1" applyFont="1" applyFill="1" applyBorder="1" applyAlignment="1">
      <alignment horizontal="right" vertical="center"/>
    </xf>
    <xf numFmtId="0" fontId="3" fillId="10" borderId="11" xfId="0" applyFont="1" applyFill="1" applyBorder="1" applyAlignment="1">
      <alignment horizontal="left" vertical="center"/>
    </xf>
    <xf numFmtId="2" fontId="3" fillId="10" borderId="1" xfId="0" applyNumberFormat="1" applyFont="1" applyFill="1" applyBorder="1" applyAlignment="1">
      <alignment horizontal="center" vertical="center"/>
    </xf>
    <xf numFmtId="184" fontId="3" fillId="10" borderId="12" xfId="0" applyNumberFormat="1" applyFont="1" applyFill="1" applyBorder="1" applyAlignment="1">
      <alignment horizontal="right" vertical="center"/>
    </xf>
    <xf numFmtId="0" fontId="3" fillId="10" borderId="38" xfId="0" applyFont="1" applyFill="1" applyBorder="1" applyAlignment="1">
      <alignment horizontal="left" vertical="center"/>
    </xf>
    <xf numFmtId="2" fontId="3" fillId="10" borderId="32" xfId="0" applyNumberFormat="1" applyFont="1" applyFill="1" applyBorder="1" applyAlignment="1">
      <alignment horizontal="center" vertical="center"/>
    </xf>
    <xf numFmtId="184" fontId="3" fillId="10" borderId="39" xfId="0" applyNumberFormat="1" applyFont="1" applyFill="1" applyBorder="1" applyAlignment="1">
      <alignment horizontal="right" vertical="center"/>
    </xf>
    <xf numFmtId="0" fontId="3" fillId="10" borderId="20" xfId="0" applyFont="1" applyFill="1" applyBorder="1" applyAlignment="1">
      <alignment horizontal="left" vertical="center"/>
    </xf>
    <xf numFmtId="2" fontId="3" fillId="10" borderId="21" xfId="0" applyNumberFormat="1" applyFont="1" applyFill="1" applyBorder="1" applyAlignment="1">
      <alignment horizontal="center" vertical="center"/>
    </xf>
    <xf numFmtId="184" fontId="3" fillId="10" borderId="30" xfId="0" applyNumberFormat="1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" fillId="0" borderId="11" xfId="0" applyFont="1" applyBorder="1">
      <alignment vertical="center"/>
    </xf>
    <xf numFmtId="0" fontId="1" fillId="5" borderId="9" xfId="0" applyFont="1" applyFill="1" applyBorder="1">
      <alignment vertical="center"/>
    </xf>
    <xf numFmtId="0" fontId="1" fillId="11" borderId="13" xfId="0" applyFont="1" applyFill="1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179" fontId="1" fillId="11" borderId="16" xfId="0" applyNumberFormat="1" applyFont="1" applyFill="1" applyBorder="1" applyAlignment="1">
      <alignment horizontal="center" vertical="center"/>
    </xf>
    <xf numFmtId="9" fontId="1" fillId="0" borderId="12" xfId="3" applyFont="1" applyFill="1" applyBorder="1" applyAlignment="1">
      <alignment horizontal="center" vertical="center"/>
    </xf>
    <xf numFmtId="9" fontId="1" fillId="11" borderId="14" xfId="3" applyFont="1" applyFill="1" applyBorder="1" applyAlignment="1">
      <alignment horizontal="center" vertical="center"/>
    </xf>
    <xf numFmtId="0" fontId="1" fillId="2" borderId="11" xfId="0" applyFont="1" applyFill="1" applyBorder="1">
      <alignment vertical="center"/>
    </xf>
    <xf numFmtId="179" fontId="1" fillId="2" borderId="1" xfId="0" applyNumberFormat="1" applyFont="1" applyFill="1" applyBorder="1" applyAlignment="1">
      <alignment horizontal="center" vertical="center"/>
    </xf>
    <xf numFmtId="9" fontId="1" fillId="2" borderId="12" xfId="3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49" fontId="24" fillId="8" borderId="21" xfId="0" applyNumberFormat="1" applyFont="1" applyFill="1" applyBorder="1" applyAlignment="1">
      <alignment horizontal="right" vertical="center"/>
    </xf>
    <xf numFmtId="186" fontId="24" fillId="0" borderId="21" xfId="0" applyNumberFormat="1" applyFont="1" applyBorder="1" applyAlignment="1">
      <alignment horizontal="right" vertical="center"/>
    </xf>
    <xf numFmtId="185" fontId="24" fillId="0" borderId="21" xfId="0" applyNumberFormat="1" applyFont="1" applyBorder="1" applyAlignment="1">
      <alignment horizontal="right" vertical="center"/>
    </xf>
    <xf numFmtId="0" fontId="26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right" vertical="center"/>
    </xf>
    <xf numFmtId="49" fontId="35" fillId="0" borderId="0" xfId="0" applyNumberFormat="1" applyFont="1">
      <alignment vertical="center"/>
    </xf>
    <xf numFmtId="0" fontId="36" fillId="0" borderId="0" xfId="0" applyFont="1">
      <alignment vertical="center"/>
    </xf>
    <xf numFmtId="6" fontId="35" fillId="0" borderId="0" xfId="0" applyNumberFormat="1" applyFont="1">
      <alignment vertical="center"/>
    </xf>
    <xf numFmtId="185" fontId="35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>
      <alignment vertical="center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186" fontId="34" fillId="0" borderId="0" xfId="0" applyNumberFormat="1" applyFont="1" applyAlignment="1">
      <alignment horizontal="right" vertical="center"/>
    </xf>
    <xf numFmtId="185" fontId="34" fillId="0" borderId="0" xfId="0" applyNumberFormat="1" applyFont="1" applyAlignment="1">
      <alignment horizontal="right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right" vertical="center"/>
    </xf>
    <xf numFmtId="49" fontId="37" fillId="0" borderId="0" xfId="0" applyNumberFormat="1" applyFont="1">
      <alignment vertical="center"/>
    </xf>
    <xf numFmtId="6" fontId="37" fillId="0" borderId="0" xfId="0" applyNumberFormat="1" applyFont="1">
      <alignment vertical="center"/>
    </xf>
    <xf numFmtId="185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186" fontId="31" fillId="0" borderId="0" xfId="0" applyNumberFormat="1" applyFont="1" applyAlignment="1">
      <alignment horizontal="right" vertical="center"/>
    </xf>
    <xf numFmtId="185" fontId="31" fillId="0" borderId="0" xfId="0" applyNumberFormat="1" applyFont="1" applyAlignment="1">
      <alignment horizontal="right" vertical="center"/>
    </xf>
    <xf numFmtId="182" fontId="3" fillId="0" borderId="1" xfId="0" applyNumberFormat="1" applyFont="1" applyBorder="1">
      <alignment vertical="center"/>
    </xf>
    <xf numFmtId="179" fontId="3" fillId="0" borderId="7" xfId="0" applyNumberFormat="1" applyFont="1" applyBorder="1">
      <alignment vertical="center"/>
    </xf>
    <xf numFmtId="184" fontId="3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84" fontId="3" fillId="2" borderId="1" xfId="0" applyNumberFormat="1" applyFont="1" applyFill="1" applyBorder="1" applyAlignment="1">
      <alignment horizontal="right" vertical="center"/>
    </xf>
    <xf numFmtId="184" fontId="3" fillId="0" borderId="0" xfId="0" applyNumberFormat="1" applyFont="1">
      <alignment vertical="center"/>
    </xf>
    <xf numFmtId="0" fontId="41" fillId="0" borderId="0" xfId="0" applyFont="1">
      <alignment vertical="center"/>
    </xf>
    <xf numFmtId="0" fontId="30" fillId="0" borderId="0" xfId="0" applyFont="1">
      <alignment vertical="center"/>
    </xf>
    <xf numFmtId="0" fontId="42" fillId="0" borderId="0" xfId="0" applyFont="1">
      <alignment vertical="center"/>
    </xf>
    <xf numFmtId="185" fontId="30" fillId="0" borderId="21" xfId="0" applyNumberFormat="1" applyFont="1" applyBorder="1" applyAlignment="1">
      <alignment horizontal="right" vertical="center"/>
    </xf>
    <xf numFmtId="186" fontId="30" fillId="0" borderId="21" xfId="0" applyNumberFormat="1" applyFont="1" applyBorder="1" applyAlignment="1">
      <alignment horizontal="right" vertical="center"/>
    </xf>
    <xf numFmtId="0" fontId="11" fillId="5" borderId="1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11" fillId="0" borderId="0" xfId="0" applyFont="1">
      <alignment vertical="center"/>
    </xf>
    <xf numFmtId="188" fontId="3" fillId="0" borderId="0" xfId="0" applyNumberFormat="1" applyFont="1">
      <alignment vertical="center"/>
    </xf>
    <xf numFmtId="188" fontId="1" fillId="0" borderId="0" xfId="0" applyNumberFormat="1" applyFont="1">
      <alignment vertical="center"/>
    </xf>
    <xf numFmtId="9" fontId="1" fillId="0" borderId="0" xfId="0" applyNumberFormat="1" applyFont="1" applyAlignment="1">
      <alignment horizontal="center" vertical="center"/>
    </xf>
    <xf numFmtId="179" fontId="3" fillId="0" borderId="0" xfId="0" applyNumberFormat="1" applyFont="1">
      <alignment vertical="center"/>
    </xf>
    <xf numFmtId="179" fontId="3" fillId="5" borderId="1" xfId="0" applyNumberFormat="1" applyFont="1" applyFill="1" applyBorder="1" applyAlignment="1">
      <alignment horizontal="center" vertical="center" wrapText="1"/>
    </xf>
    <xf numFmtId="187" fontId="3" fillId="5" borderId="1" xfId="0" applyNumberFormat="1" applyFont="1" applyFill="1" applyBorder="1" applyAlignment="1">
      <alignment horizontal="center" vertical="center" wrapText="1"/>
    </xf>
    <xf numFmtId="187" fontId="1" fillId="5" borderId="1" xfId="0" applyNumberFormat="1" applyFont="1" applyFill="1" applyBorder="1" applyAlignment="1">
      <alignment horizontal="center" vertical="center" wrapText="1"/>
    </xf>
    <xf numFmtId="188" fontId="1" fillId="5" borderId="1" xfId="0" applyNumberFormat="1" applyFont="1" applyFill="1" applyBorder="1" applyAlignment="1">
      <alignment horizontal="center" vertical="center"/>
    </xf>
    <xf numFmtId="9" fontId="1" fillId="5" borderId="1" xfId="0" applyNumberFormat="1" applyFont="1" applyFill="1" applyBorder="1" applyAlignment="1">
      <alignment horizontal="center" vertical="center"/>
    </xf>
    <xf numFmtId="0" fontId="47" fillId="5" borderId="1" xfId="0" applyFont="1" applyFill="1" applyBorder="1" applyAlignment="1">
      <alignment horizontal="center" vertical="center" wrapText="1"/>
    </xf>
    <xf numFmtId="188" fontId="1" fillId="10" borderId="1" xfId="0" applyNumberFormat="1" applyFont="1" applyFill="1" applyBorder="1" applyAlignment="1">
      <alignment horizontal="center" vertical="center"/>
    </xf>
    <xf numFmtId="0" fontId="47" fillId="10" borderId="1" xfId="0" applyFont="1" applyFill="1" applyBorder="1" applyAlignment="1">
      <alignment horizontal="center" vertical="center" wrapText="1"/>
    </xf>
    <xf numFmtId="179" fontId="12" fillId="0" borderId="1" xfId="0" applyNumberFormat="1" applyFont="1" applyBorder="1" applyAlignment="1">
      <alignment horizontal="center" vertical="center"/>
    </xf>
    <xf numFmtId="0" fontId="47" fillId="5" borderId="8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49" fontId="1" fillId="8" borderId="15" xfId="0" applyNumberFormat="1" applyFont="1" applyFill="1" applyBorder="1" applyAlignment="1">
      <alignment horizontal="center" vertical="center" wrapText="1"/>
    </xf>
    <xf numFmtId="0" fontId="50" fillId="8" borderId="15" xfId="0" applyFont="1" applyFill="1" applyBorder="1" applyAlignment="1">
      <alignment horizontal="center" vertical="center" wrapText="1"/>
    </xf>
    <xf numFmtId="0" fontId="0" fillId="0" borderId="8" xfId="0" applyBorder="1">
      <alignment vertical="center"/>
    </xf>
    <xf numFmtId="179" fontId="3" fillId="10" borderId="1" xfId="0" applyNumberFormat="1" applyFont="1" applyFill="1" applyBorder="1" applyAlignment="1">
      <alignment horizontal="center" vertical="center"/>
    </xf>
    <xf numFmtId="179" fontId="30" fillId="5" borderId="1" xfId="5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3" fillId="5" borderId="1" xfId="0" quotePrefix="1" applyNumberFormat="1" applyFont="1" applyFill="1" applyBorder="1" applyAlignment="1">
      <alignment horizontal="center" vertical="center"/>
    </xf>
    <xf numFmtId="179" fontId="30" fillId="5" borderId="1" xfId="0" applyNumberFormat="1" applyFont="1" applyFill="1" applyBorder="1" applyAlignment="1">
      <alignment horizontal="center" vertical="center"/>
    </xf>
    <xf numFmtId="188" fontId="3" fillId="10" borderId="1" xfId="0" applyNumberFormat="1" applyFont="1" applyFill="1" applyBorder="1" applyAlignment="1">
      <alignment horizontal="center" vertical="center"/>
    </xf>
    <xf numFmtId="188" fontId="3" fillId="5" borderId="1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9" fontId="3" fillId="5" borderId="4" xfId="0" applyNumberFormat="1" applyFont="1" applyFill="1" applyBorder="1" applyAlignment="1">
      <alignment horizontal="right" vertical="center"/>
    </xf>
    <xf numFmtId="180" fontId="3" fillId="5" borderId="4" xfId="0" applyNumberFormat="1" applyFont="1" applyFill="1" applyBorder="1" applyAlignment="1">
      <alignment horizontal="right" vertical="center"/>
    </xf>
    <xf numFmtId="0" fontId="1" fillId="2" borderId="2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2" fillId="0" borderId="0" xfId="0" applyFont="1">
      <alignment vertical="center"/>
    </xf>
    <xf numFmtId="0" fontId="33" fillId="0" borderId="40" xfId="0" applyFont="1" applyBorder="1" applyAlignment="1">
      <alignment horizontal="center"/>
    </xf>
    <xf numFmtId="43" fontId="33" fillId="0" borderId="4" xfId="5" applyNumberFormat="1" applyFont="1" applyFill="1" applyBorder="1" applyAlignment="1">
      <alignment horizontal="right" vertical="center"/>
    </xf>
    <xf numFmtId="179" fontId="54" fillId="0" borderId="1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82" fontId="30" fillId="0" borderId="1" xfId="0" applyNumberFormat="1" applyFont="1" applyBorder="1" applyAlignment="1">
      <alignment horizontal="center" vertical="center"/>
    </xf>
    <xf numFmtId="178" fontId="54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89" fontId="33" fillId="0" borderId="4" xfId="0" applyNumberFormat="1" applyFont="1" applyBorder="1" applyAlignment="1">
      <alignment horizontal="center"/>
    </xf>
    <xf numFmtId="43" fontId="33" fillId="0" borderId="1" xfId="5" applyNumberFormat="1" applyFont="1" applyFill="1" applyBorder="1" applyAlignment="1">
      <alignment horizontal="right" vertical="center" wrapText="1"/>
    </xf>
    <xf numFmtId="180" fontId="30" fillId="0" borderId="1" xfId="0" applyNumberFormat="1" applyFont="1" applyBorder="1" applyAlignment="1">
      <alignment horizontal="center" vertical="center"/>
    </xf>
    <xf numFmtId="189" fontId="33" fillId="0" borderId="1" xfId="0" applyNumberFormat="1" applyFont="1" applyBorder="1" applyAlignment="1">
      <alignment horizontal="center"/>
    </xf>
    <xf numFmtId="190" fontId="33" fillId="0" borderId="1" xfId="5" quotePrefix="1" applyNumberFormat="1" applyFont="1" applyFill="1" applyBorder="1" applyAlignment="1">
      <alignment horizontal="right" vertical="center"/>
    </xf>
    <xf numFmtId="179" fontId="54" fillId="0" borderId="13" xfId="0" applyNumberFormat="1" applyFont="1" applyBorder="1" applyAlignment="1">
      <alignment horizontal="center" vertical="center"/>
    </xf>
    <xf numFmtId="178" fontId="54" fillId="0" borderId="16" xfId="0" applyNumberFormat="1" applyFont="1" applyBorder="1" applyAlignment="1">
      <alignment horizontal="center" vertical="center"/>
    </xf>
    <xf numFmtId="189" fontId="32" fillId="0" borderId="4" xfId="0" applyNumberFormat="1" applyFont="1" applyBorder="1" applyAlignment="1">
      <alignment horizontal="center"/>
    </xf>
    <xf numFmtId="0" fontId="55" fillId="0" borderId="1" xfId="0" applyFont="1" applyBorder="1" applyAlignment="1">
      <alignment horizontal="center" vertical="center"/>
    </xf>
    <xf numFmtId="0" fontId="55" fillId="0" borderId="16" xfId="0" applyFont="1" applyBorder="1" applyAlignment="1">
      <alignment horizontal="center" vertical="center"/>
    </xf>
    <xf numFmtId="191" fontId="1" fillId="5" borderId="15" xfId="0" applyNumberFormat="1" applyFont="1" applyFill="1" applyBorder="1" applyAlignment="1">
      <alignment horizontal="center" vertical="center"/>
    </xf>
    <xf numFmtId="191" fontId="1" fillId="0" borderId="1" xfId="0" applyNumberFormat="1" applyFont="1" applyBorder="1" applyAlignment="1">
      <alignment horizontal="center" vertical="center"/>
    </xf>
    <xf numFmtId="191" fontId="1" fillId="2" borderId="1" xfId="0" applyNumberFormat="1" applyFont="1" applyFill="1" applyBorder="1" applyAlignment="1">
      <alignment horizontal="center" vertical="center"/>
    </xf>
    <xf numFmtId="191" fontId="1" fillId="11" borderId="16" xfId="0" applyNumberFormat="1" applyFont="1" applyFill="1" applyBorder="1" applyAlignment="1">
      <alignment horizontal="center" vertical="center"/>
    </xf>
    <xf numFmtId="0" fontId="57" fillId="0" borderId="0" xfId="0" applyFont="1">
      <alignment vertical="center"/>
    </xf>
    <xf numFmtId="0" fontId="57" fillId="0" borderId="0" xfId="0" applyFont="1" applyAlignment="1">
      <alignment vertical="center" wrapText="1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49" fontId="24" fillId="8" borderId="21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1" fillId="0" borderId="0" xfId="0" applyFont="1" applyAlignment="1">
      <alignment horizontal="center" vertical="center"/>
    </xf>
    <xf numFmtId="185" fontId="31" fillId="0" borderId="0" xfId="0" applyNumberFormat="1" applyFont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18" borderId="1" xfId="0" applyFont="1" applyFill="1" applyBorder="1" applyAlignment="1">
      <alignment horizontal="center" vertical="center"/>
    </xf>
    <xf numFmtId="0" fontId="57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91" fontId="57" fillId="0" borderId="1" xfId="0" applyNumberFormat="1" applyFont="1" applyBorder="1">
      <alignment vertical="center"/>
    </xf>
    <xf numFmtId="191" fontId="57" fillId="16" borderId="1" xfId="0" applyNumberFormat="1" applyFont="1" applyFill="1" applyBorder="1">
      <alignment vertical="center"/>
    </xf>
    <xf numFmtId="191" fontId="57" fillId="16" borderId="1" xfId="0" applyNumberFormat="1" applyFont="1" applyFill="1" applyBorder="1" applyAlignment="1">
      <alignment horizontal="right" vertical="center"/>
    </xf>
    <xf numFmtId="191" fontId="57" fillId="0" borderId="1" xfId="0" applyNumberFormat="1" applyFont="1" applyBorder="1" applyAlignment="1">
      <alignment horizontal="right" vertical="center"/>
    </xf>
    <xf numFmtId="0" fontId="25" fillId="3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191" fontId="57" fillId="17" borderId="1" xfId="0" applyNumberFormat="1" applyFont="1" applyFill="1" applyBorder="1" applyAlignment="1">
      <alignment horizontal="right" vertical="center"/>
    </xf>
    <xf numFmtId="185" fontId="37" fillId="0" borderId="0" xfId="0" applyNumberFormat="1" applyFont="1" applyAlignment="1">
      <alignment horizontal="center" vertical="center"/>
    </xf>
    <xf numFmtId="0" fontId="57" fillId="13" borderId="1" xfId="0" applyFont="1" applyFill="1" applyBorder="1" applyAlignment="1">
      <alignment horizontal="center" vertical="center"/>
    </xf>
    <xf numFmtId="6" fontId="37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7" fillId="15" borderId="1" xfId="0" applyFont="1" applyFill="1" applyBorder="1" applyAlignment="1">
      <alignment horizontal="center" vertical="center"/>
    </xf>
    <xf numFmtId="192" fontId="57" fillId="14" borderId="1" xfId="0" applyNumberFormat="1" applyFont="1" applyFill="1" applyBorder="1">
      <alignment vertical="center"/>
    </xf>
    <xf numFmtId="192" fontId="57" fillId="0" borderId="1" xfId="0" applyNumberFormat="1" applyFont="1" applyBorder="1">
      <alignment vertical="center"/>
    </xf>
    <xf numFmtId="0" fontId="56" fillId="18" borderId="1" xfId="0" applyFont="1" applyFill="1" applyBorder="1" applyAlignment="1">
      <alignment horizontal="center" vertical="center"/>
    </xf>
    <xf numFmtId="0" fontId="56" fillId="1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56" fillId="0" borderId="0" xfId="0" applyFont="1">
      <alignment vertical="center"/>
    </xf>
    <xf numFmtId="4" fontId="56" fillId="0" borderId="0" xfId="0" applyNumberFormat="1" applyFont="1">
      <alignment vertical="center"/>
    </xf>
    <xf numFmtId="0" fontId="56" fillId="5" borderId="1" xfId="0" applyFont="1" applyFill="1" applyBorder="1" applyAlignment="1">
      <alignment horizontal="center" vertical="center"/>
    </xf>
    <xf numFmtId="0" fontId="56" fillId="5" borderId="1" xfId="0" applyFont="1" applyFill="1" applyBorder="1" applyAlignment="1">
      <alignment horizontal="center" vertical="center" wrapText="1"/>
    </xf>
    <xf numFmtId="49" fontId="57" fillId="0" borderId="1" xfId="0" applyNumberFormat="1" applyFont="1" applyBorder="1" applyAlignment="1">
      <alignment horizontal="center" vertical="center"/>
    </xf>
    <xf numFmtId="14" fontId="57" fillId="0" borderId="1" xfId="0" applyNumberFormat="1" applyFont="1" applyBorder="1" applyAlignment="1">
      <alignment horizontal="center" vertical="center"/>
    </xf>
    <xf numFmtId="191" fontId="30" fillId="0" borderId="21" xfId="0" applyNumberFormat="1" applyFont="1" applyBorder="1" applyAlignment="1">
      <alignment horizontal="center" vertical="center"/>
    </xf>
    <xf numFmtId="191" fontId="30" fillId="0" borderId="0" xfId="0" applyNumberFormat="1" applyFont="1">
      <alignment vertical="center"/>
    </xf>
    <xf numFmtId="191" fontId="3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0" fontId="42" fillId="0" borderId="0" xfId="0" applyFont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56" fillId="13" borderId="42" xfId="0" applyFont="1" applyFill="1" applyBorder="1" applyAlignment="1">
      <alignment horizontal="center" vertical="center"/>
    </xf>
    <xf numFmtId="4" fontId="56" fillId="0" borderId="43" xfId="0" applyNumberFormat="1" applyFont="1" applyBorder="1">
      <alignment vertical="center"/>
    </xf>
    <xf numFmtId="0" fontId="57" fillId="19" borderId="45" xfId="0" applyFont="1" applyFill="1" applyBorder="1" applyAlignment="1">
      <alignment horizontal="center" vertical="center"/>
    </xf>
    <xf numFmtId="0" fontId="56" fillId="16" borderId="45" xfId="0" applyFont="1" applyFill="1" applyBorder="1" applyAlignment="1">
      <alignment horizontal="center" vertical="center" wrapText="1"/>
    </xf>
    <xf numFmtId="0" fontId="56" fillId="0" borderId="47" xfId="0" applyFont="1" applyBorder="1" applyAlignment="1">
      <alignment horizontal="center" vertical="center"/>
    </xf>
    <xf numFmtId="4" fontId="56" fillId="0" borderId="41" xfId="0" applyNumberFormat="1" applyFont="1" applyBorder="1">
      <alignment vertical="center"/>
    </xf>
    <xf numFmtId="0" fontId="56" fillId="5" borderId="9" xfId="0" applyFont="1" applyFill="1" applyBorder="1" applyAlignment="1">
      <alignment horizontal="center" vertical="center" wrapText="1"/>
    </xf>
    <xf numFmtId="0" fontId="58" fillId="0" borderId="44" xfId="0" applyFont="1" applyBorder="1" applyAlignment="1">
      <alignment horizontal="left" vertical="center" wrapText="1"/>
    </xf>
    <xf numFmtId="0" fontId="57" fillId="0" borderId="11" xfId="0" applyFont="1" applyBorder="1" applyAlignment="1">
      <alignment vertical="center" wrapText="1"/>
    </xf>
    <xf numFmtId="0" fontId="58" fillId="0" borderId="46" xfId="0" applyFont="1" applyBorder="1" applyAlignment="1">
      <alignment horizontal="left" vertical="center" wrapText="1"/>
    </xf>
    <xf numFmtId="0" fontId="57" fillId="0" borderId="47" xfId="0" applyFont="1" applyBorder="1" applyAlignment="1">
      <alignment vertical="center" wrapText="1"/>
    </xf>
    <xf numFmtId="0" fontId="58" fillId="0" borderId="48" xfId="0" applyFont="1" applyBorder="1" applyAlignment="1">
      <alignment horizontal="left" vertical="center" wrapText="1"/>
    </xf>
    <xf numFmtId="3" fontId="57" fillId="0" borderId="0" xfId="0" applyNumberFormat="1" applyFont="1" applyAlignment="1">
      <alignment vertical="center" wrapText="1"/>
    </xf>
    <xf numFmtId="3" fontId="57" fillId="0" borderId="43" xfId="0" applyNumberFormat="1" applyFont="1" applyBorder="1" applyAlignment="1">
      <alignment vertical="center" wrapText="1"/>
    </xf>
    <xf numFmtId="3" fontId="57" fillId="0" borderId="41" xfId="0" applyNumberFormat="1" applyFont="1" applyBorder="1" applyAlignment="1">
      <alignment vertical="center" wrapText="1"/>
    </xf>
    <xf numFmtId="0" fontId="59" fillId="0" borderId="48" xfId="0" applyFont="1" applyBorder="1" applyAlignment="1">
      <alignment horizontal="left" vertical="center" wrapText="1"/>
    </xf>
    <xf numFmtId="0" fontId="60" fillId="0" borderId="0" xfId="0" applyFont="1">
      <alignment vertical="center"/>
    </xf>
    <xf numFmtId="0" fontId="62" fillId="5" borderId="10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192" fontId="57" fillId="0" borderId="8" xfId="0" applyNumberFormat="1" applyFont="1" applyBorder="1">
      <alignment vertical="center"/>
    </xf>
    <xf numFmtId="14" fontId="3" fillId="4" borderId="0" xfId="0" applyNumberFormat="1" applyFont="1" applyFill="1">
      <alignment vertical="center"/>
    </xf>
    <xf numFmtId="185" fontId="30" fillId="0" borderId="0" xfId="0" applyNumberFormat="1" applyFont="1" applyAlignment="1">
      <alignment horizontal="right" vertical="center"/>
    </xf>
    <xf numFmtId="186" fontId="3" fillId="0" borderId="21" xfId="0" applyNumberFormat="1" applyFont="1" applyBorder="1" applyAlignment="1">
      <alignment horizontal="right" vertical="center"/>
    </xf>
    <xf numFmtId="185" fontId="3" fillId="0" borderId="21" xfId="0" applyNumberFormat="1" applyFont="1" applyBorder="1" applyAlignment="1">
      <alignment horizontal="right" vertical="center"/>
    </xf>
    <xf numFmtId="0" fontId="30" fillId="0" borderId="1" xfId="0" applyFont="1" applyBorder="1" applyAlignment="1">
      <alignment horizontal="left" vertical="center"/>
    </xf>
    <xf numFmtId="0" fontId="42" fillId="0" borderId="1" xfId="0" applyFont="1" applyBorder="1">
      <alignment vertical="center"/>
    </xf>
    <xf numFmtId="14" fontId="42" fillId="0" borderId="1" xfId="0" applyNumberFormat="1" applyFont="1" applyBorder="1">
      <alignment vertical="center"/>
    </xf>
    <xf numFmtId="193" fontId="42" fillId="0" borderId="1" xfId="0" applyNumberFormat="1" applyFont="1" applyBorder="1">
      <alignment vertical="center"/>
    </xf>
    <xf numFmtId="182" fontId="42" fillId="0" borderId="1" xfId="0" applyNumberFormat="1" applyFont="1" applyBorder="1">
      <alignment vertical="center"/>
    </xf>
    <xf numFmtId="178" fontId="42" fillId="0" borderId="1" xfId="0" applyNumberFormat="1" applyFont="1" applyBorder="1">
      <alignment vertical="center"/>
    </xf>
    <xf numFmtId="0" fontId="42" fillId="0" borderId="1" xfId="0" applyFont="1" applyBorder="1" applyAlignment="1">
      <alignment horizontal="center" vertical="center"/>
    </xf>
    <xf numFmtId="14" fontId="3" fillId="0" borderId="1" xfId="0" applyNumberFormat="1" applyFont="1" applyBorder="1">
      <alignment vertical="center"/>
    </xf>
    <xf numFmtId="179" fontId="65" fillId="0" borderId="7" xfId="0" applyNumberFormat="1" applyFont="1" applyBorder="1">
      <alignment vertical="center"/>
    </xf>
    <xf numFmtId="179" fontId="30" fillId="0" borderId="7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3" fillId="20" borderId="1" xfId="0" applyFont="1" applyFill="1" applyBorder="1" applyAlignment="1">
      <alignment horizontal="left" vertical="center"/>
    </xf>
    <xf numFmtId="179" fontId="3" fillId="20" borderId="7" xfId="0" applyNumberFormat="1" applyFont="1" applyFill="1" applyBorder="1">
      <alignment vertical="center"/>
    </xf>
    <xf numFmtId="0" fontId="3" fillId="20" borderId="1" xfId="0" applyFont="1" applyFill="1" applyBorder="1">
      <alignment vertical="center"/>
    </xf>
    <xf numFmtId="193" fontId="3" fillId="20" borderId="1" xfId="0" applyNumberFormat="1" applyFont="1" applyFill="1" applyBorder="1">
      <alignment vertical="center"/>
    </xf>
    <xf numFmtId="182" fontId="3" fillId="20" borderId="1" xfId="0" applyNumberFormat="1" applyFont="1" applyFill="1" applyBorder="1">
      <alignment vertical="center"/>
    </xf>
    <xf numFmtId="178" fontId="42" fillId="20" borderId="1" xfId="0" applyNumberFormat="1" applyFont="1" applyFill="1" applyBorder="1">
      <alignment vertical="center"/>
    </xf>
    <xf numFmtId="180" fontId="3" fillId="20" borderId="1" xfId="0" applyNumberFormat="1" applyFont="1" applyFill="1" applyBorder="1">
      <alignment vertical="center"/>
    </xf>
    <xf numFmtId="0" fontId="3" fillId="20" borderId="1" xfId="0" applyFont="1" applyFill="1" applyBorder="1" applyAlignment="1">
      <alignment horizontal="center" vertical="center"/>
    </xf>
    <xf numFmtId="0" fontId="12" fillId="20" borderId="1" xfId="0" applyFont="1" applyFill="1" applyBorder="1" applyAlignment="1">
      <alignment horizontal="center" vertical="center"/>
    </xf>
    <xf numFmtId="42" fontId="1" fillId="5" borderId="15" xfId="0" applyNumberFormat="1" applyFont="1" applyFill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0" fontId="1" fillId="11" borderId="16" xfId="0" applyNumberFormat="1" applyFont="1" applyFill="1" applyBorder="1" applyAlignment="1">
      <alignment horizontal="center" vertical="center"/>
    </xf>
    <xf numFmtId="194" fontId="42" fillId="0" borderId="1" xfId="0" applyNumberFormat="1" applyFont="1" applyBorder="1">
      <alignment vertical="center"/>
    </xf>
    <xf numFmtId="193" fontId="3" fillId="0" borderId="1" xfId="0" applyNumberFormat="1" applyFont="1" applyBorder="1">
      <alignment vertical="center"/>
    </xf>
    <xf numFmtId="42" fontId="3" fillId="20" borderId="7" xfId="0" applyNumberFormat="1" applyFont="1" applyFill="1" applyBorder="1">
      <alignment vertical="center"/>
    </xf>
    <xf numFmtId="194" fontId="42" fillId="20" borderId="1" xfId="0" applyNumberFormat="1" applyFont="1" applyFill="1" applyBorder="1">
      <alignment vertical="center"/>
    </xf>
    <xf numFmtId="185" fontId="3" fillId="0" borderId="0" xfId="0" applyNumberFormat="1" applyFont="1" applyAlignment="1">
      <alignment horizontal="right" vertical="center"/>
    </xf>
    <xf numFmtId="0" fontId="42" fillId="0" borderId="1" xfId="0" applyFont="1" applyBorder="1" applyAlignment="1">
      <alignment horizontal="right" vertical="center"/>
    </xf>
    <xf numFmtId="0" fontId="1" fillId="0" borderId="2" xfId="0" applyFont="1" applyBorder="1">
      <alignment vertical="center"/>
    </xf>
    <xf numFmtId="179" fontId="3" fillId="5" borderId="2" xfId="0" applyNumberFormat="1" applyFont="1" applyFill="1" applyBorder="1" applyAlignment="1">
      <alignment horizontal="right" vertical="center"/>
    </xf>
    <xf numFmtId="180" fontId="3" fillId="5" borderId="2" xfId="0" applyNumberFormat="1" applyFont="1" applyFill="1" applyBorder="1" applyAlignment="1">
      <alignment horizontal="right" vertical="center"/>
    </xf>
    <xf numFmtId="179" fontId="3" fillId="6" borderId="1" xfId="0" applyNumberFormat="1" applyFont="1" applyFill="1" applyBorder="1" applyAlignment="1">
      <alignment horizontal="right" vertical="center"/>
    </xf>
    <xf numFmtId="177" fontId="3" fillId="6" borderId="1" xfId="0" applyNumberFormat="1" applyFont="1" applyFill="1" applyBorder="1" applyAlignment="1">
      <alignment horizontal="right" vertical="center"/>
    </xf>
    <xf numFmtId="9" fontId="3" fillId="6" borderId="1" xfId="0" applyNumberFormat="1" applyFont="1" applyFill="1" applyBorder="1" applyAlignment="1">
      <alignment horizontal="right" vertical="center"/>
    </xf>
    <xf numFmtId="0" fontId="30" fillId="2" borderId="4" xfId="0" applyFont="1" applyFill="1" applyBorder="1" applyAlignment="1">
      <alignment horizontal="center" vertical="center" wrapText="1"/>
    </xf>
    <xf numFmtId="42" fontId="3" fillId="5" borderId="4" xfId="0" applyNumberFormat="1" applyFont="1" applyFill="1" applyBorder="1" applyAlignment="1">
      <alignment horizontal="right" vertical="center"/>
    </xf>
    <xf numFmtId="0" fontId="13" fillId="12" borderId="0" xfId="0" applyFont="1" applyFill="1" applyAlignment="1">
      <alignment horizontal="center" vertical="center"/>
    </xf>
    <xf numFmtId="179" fontId="66" fillId="0" borderId="1" xfId="0" applyNumberFormat="1" applyFont="1" applyBorder="1">
      <alignment vertical="center"/>
    </xf>
    <xf numFmtId="179" fontId="9" fillId="0" borderId="1" xfId="0" applyNumberFormat="1" applyFont="1" applyBorder="1">
      <alignment vertical="center"/>
    </xf>
    <xf numFmtId="179" fontId="15" fillId="5" borderId="1" xfId="0" applyNumberFormat="1" applyFont="1" applyFill="1" applyBorder="1" applyAlignment="1">
      <alignment horizontal="right" vertical="center"/>
    </xf>
    <xf numFmtId="179" fontId="16" fillId="0" borderId="1" xfId="0" applyNumberFormat="1" applyFont="1" applyBorder="1" applyAlignment="1">
      <alignment horizontal="center" vertical="center"/>
    </xf>
    <xf numFmtId="179" fontId="15" fillId="5" borderId="1" xfId="0" applyNumberFormat="1" applyFont="1" applyFill="1" applyBorder="1" applyAlignment="1">
      <alignment horizontal="center" vertical="center"/>
    </xf>
    <xf numFmtId="179" fontId="16" fillId="5" borderId="1" xfId="0" applyNumberFormat="1" applyFont="1" applyFill="1" applyBorder="1" applyAlignment="1">
      <alignment horizontal="center" vertical="center"/>
    </xf>
    <xf numFmtId="179" fontId="22" fillId="0" borderId="0" xfId="0" applyNumberFormat="1" applyFont="1">
      <alignment vertical="center"/>
    </xf>
    <xf numFmtId="42" fontId="66" fillId="0" borderId="1" xfId="0" applyNumberFormat="1" applyFont="1" applyBorder="1">
      <alignment vertical="center"/>
    </xf>
    <xf numFmtId="42" fontId="17" fillId="0" borderId="1" xfId="0" applyNumberFormat="1" applyFont="1" applyBorder="1">
      <alignment vertical="center"/>
    </xf>
    <xf numFmtId="42" fontId="16" fillId="5" borderId="1" xfId="0" applyNumberFormat="1" applyFont="1" applyFill="1" applyBorder="1" applyAlignment="1">
      <alignment horizontal="center" vertical="center"/>
    </xf>
    <xf numFmtId="42" fontId="16" fillId="0" borderId="1" xfId="0" applyNumberFormat="1" applyFont="1" applyBorder="1" applyAlignment="1">
      <alignment horizontal="center" vertical="center"/>
    </xf>
    <xf numFmtId="42" fontId="15" fillId="5" borderId="1" xfId="0" applyNumberFormat="1" applyFont="1" applyFill="1" applyBorder="1" applyAlignment="1">
      <alignment horizontal="center" vertical="center"/>
    </xf>
    <xf numFmtId="42" fontId="22" fillId="0" borderId="0" xfId="0" applyNumberFormat="1" applyFont="1">
      <alignment vertical="center"/>
    </xf>
    <xf numFmtId="42" fontId="9" fillId="0" borderId="1" xfId="0" applyNumberFormat="1" applyFont="1" applyBorder="1">
      <alignment vertical="center"/>
    </xf>
    <xf numFmtId="42" fontId="21" fillId="7" borderId="1" xfId="0" applyNumberFormat="1" applyFont="1" applyFill="1" applyBorder="1">
      <alignment vertical="center"/>
    </xf>
    <xf numFmtId="42" fontId="9" fillId="2" borderId="1" xfId="0" applyNumberFormat="1" applyFont="1" applyFill="1" applyBorder="1">
      <alignment vertical="center"/>
    </xf>
    <xf numFmtId="42" fontId="23" fillId="0" borderId="0" xfId="0" applyNumberFormat="1" applyFont="1">
      <alignment vertical="center"/>
    </xf>
    <xf numFmtId="179" fontId="21" fillId="7" borderId="1" xfId="0" applyNumberFormat="1" applyFont="1" applyFill="1" applyBorder="1">
      <alignment vertical="center"/>
    </xf>
    <xf numFmtId="179" fontId="9" fillId="2" borderId="1" xfId="0" applyNumberFormat="1" applyFont="1" applyFill="1" applyBorder="1">
      <alignment vertical="center"/>
    </xf>
    <xf numFmtId="179" fontId="23" fillId="0" borderId="0" xfId="0" applyNumberFormat="1" applyFont="1">
      <alignment vertical="center"/>
    </xf>
    <xf numFmtId="42" fontId="3" fillId="5" borderId="2" xfId="0" applyNumberFormat="1" applyFont="1" applyFill="1" applyBorder="1" applyAlignment="1">
      <alignment horizontal="right" vertical="center"/>
    </xf>
    <xf numFmtId="42" fontId="3" fillId="6" borderId="1" xfId="0" applyNumberFormat="1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center" vertical="center"/>
    </xf>
    <xf numFmtId="195" fontId="3" fillId="5" borderId="4" xfId="0" applyNumberFormat="1" applyFont="1" applyFill="1" applyBorder="1" applyAlignment="1">
      <alignment horizontal="right" vertical="center"/>
    </xf>
    <xf numFmtId="195" fontId="3" fillId="5" borderId="2" xfId="0" applyNumberFormat="1" applyFont="1" applyFill="1" applyBorder="1" applyAlignment="1">
      <alignment horizontal="right" vertical="center"/>
    </xf>
    <xf numFmtId="195" fontId="3" fillId="6" borderId="1" xfId="0" applyNumberFormat="1" applyFont="1" applyFill="1" applyBorder="1" applyAlignment="1">
      <alignment horizontal="right" vertical="center"/>
    </xf>
    <xf numFmtId="179" fontId="13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0" fillId="0" borderId="0" xfId="0" applyFont="1" applyAlignment="1">
      <alignment horizontal="right" vertical="center"/>
    </xf>
    <xf numFmtId="178" fontId="71" fillId="0" borderId="0" xfId="0" applyNumberFormat="1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96" fontId="3" fillId="0" borderId="1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6" xfId="0" applyFont="1" applyBorder="1">
      <alignment vertical="center"/>
    </xf>
    <xf numFmtId="196" fontId="3" fillId="0" borderId="16" xfId="0" applyNumberFormat="1" applyFont="1" applyBorder="1" applyAlignment="1">
      <alignment horizontal="right" vertical="center"/>
    </xf>
    <xf numFmtId="179" fontId="3" fillId="0" borderId="49" xfId="0" applyNumberFormat="1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196" fontId="3" fillId="0" borderId="4" xfId="0" applyNumberFormat="1" applyFont="1" applyBorder="1" applyAlignment="1">
      <alignment horizontal="center" vertical="center" wrapText="1"/>
    </xf>
    <xf numFmtId="196" fontId="0" fillId="0" borderId="0" xfId="0" applyNumberFormat="1">
      <alignment vertical="center"/>
    </xf>
    <xf numFmtId="180" fontId="30" fillId="0" borderId="21" xfId="0" applyNumberFormat="1" applyFont="1" applyBorder="1" applyAlignment="1">
      <alignment horizontal="right" vertical="center"/>
    </xf>
    <xf numFmtId="179" fontId="30" fillId="0" borderId="21" xfId="0" applyNumberFormat="1" applyFont="1" applyBorder="1" applyAlignment="1">
      <alignment horizontal="right" vertical="center"/>
    </xf>
    <xf numFmtId="179" fontId="27" fillId="0" borderId="0" xfId="0" applyNumberFormat="1" applyFont="1">
      <alignment vertical="center"/>
    </xf>
    <xf numFmtId="179" fontId="28" fillId="0" borderId="0" xfId="0" applyNumberFormat="1" applyFont="1">
      <alignment vertical="center"/>
    </xf>
    <xf numFmtId="178" fontId="3" fillId="0" borderId="16" xfId="0" applyNumberFormat="1" applyFont="1" applyBorder="1" applyAlignment="1">
      <alignment horizontal="right" vertical="center"/>
    </xf>
    <xf numFmtId="178" fontId="3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78" fontId="3" fillId="0" borderId="2" xfId="0" applyNumberFormat="1" applyFont="1" applyBorder="1" applyAlignment="1">
      <alignment horizontal="right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80" fontId="31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178" fontId="0" fillId="0" borderId="0" xfId="0" applyNumberFormat="1">
      <alignment vertical="center"/>
    </xf>
    <xf numFmtId="178" fontId="1" fillId="0" borderId="1" xfId="0" applyNumberFormat="1" applyFont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1" fillId="11" borderId="16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left" vertical="center"/>
    </xf>
    <xf numFmtId="196" fontId="3" fillId="0" borderId="1" xfId="0" applyNumberFormat="1" applyFont="1" applyBorder="1" applyAlignment="1">
      <alignment horizontal="center" vertical="center"/>
    </xf>
    <xf numFmtId="196" fontId="72" fillId="0" borderId="0" xfId="0" applyNumberFormat="1" applyFont="1" applyAlignment="1">
      <alignment horizontal="center" vertical="center"/>
    </xf>
    <xf numFmtId="180" fontId="3" fillId="0" borderId="0" xfId="0" applyNumberFormat="1" applyFont="1">
      <alignment vertical="center"/>
    </xf>
    <xf numFmtId="180" fontId="27" fillId="0" borderId="0" xfId="0" applyNumberFormat="1" applyFont="1">
      <alignment vertical="center"/>
    </xf>
    <xf numFmtId="180" fontId="28" fillId="0" borderId="0" xfId="0" applyNumberFormat="1" applyFont="1">
      <alignment vertical="center"/>
    </xf>
    <xf numFmtId="9" fontId="3" fillId="6" borderId="1" xfId="3" applyFont="1" applyFill="1" applyBorder="1" applyAlignment="1">
      <alignment horizontal="right" vertical="center"/>
    </xf>
    <xf numFmtId="179" fontId="71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right" vertical="center"/>
    </xf>
    <xf numFmtId="179" fontId="30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>
      <alignment vertical="center"/>
    </xf>
    <xf numFmtId="179" fontId="3" fillId="0" borderId="1" xfId="0" quotePrefix="1" applyNumberFormat="1" applyFont="1" applyBorder="1" applyAlignment="1">
      <alignment horizontal="right" vertical="center"/>
    </xf>
    <xf numFmtId="0" fontId="67" fillId="0" borderId="1" xfId="0" applyFont="1" applyBorder="1" applyAlignment="1">
      <alignment horizontal="left" vertical="center" wrapText="1"/>
    </xf>
    <xf numFmtId="0" fontId="73" fillId="0" borderId="0" xfId="0" applyFo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191" fontId="9" fillId="2" borderId="1" xfId="0" applyNumberFormat="1" applyFont="1" applyFill="1" applyBorder="1">
      <alignment vertical="center"/>
    </xf>
    <xf numFmtId="179" fontId="15" fillId="0" borderId="1" xfId="0" applyNumberFormat="1" applyFont="1" applyBorder="1" applyAlignment="1">
      <alignment horizontal="center" vertical="center"/>
    </xf>
    <xf numFmtId="191" fontId="9" fillId="0" borderId="1" xfId="0" applyNumberFormat="1" applyFont="1" applyBorder="1">
      <alignment vertical="center"/>
    </xf>
    <xf numFmtId="191" fontId="16" fillId="5" borderId="1" xfId="0" applyNumberFormat="1" applyFont="1" applyFill="1" applyBorder="1" applyAlignment="1">
      <alignment horizontal="center" vertical="center"/>
    </xf>
    <xf numFmtId="191" fontId="16" fillId="0" borderId="1" xfId="0" applyNumberFormat="1" applyFont="1" applyBorder="1" applyAlignment="1">
      <alignment horizontal="center" vertical="center"/>
    </xf>
    <xf numFmtId="191" fontId="15" fillId="5" borderId="1" xfId="0" applyNumberFormat="1" applyFont="1" applyFill="1" applyBorder="1" applyAlignment="1">
      <alignment horizontal="center" vertical="center"/>
    </xf>
    <xf numFmtId="38" fontId="16" fillId="5" borderId="1" xfId="0" applyNumberFormat="1" applyFont="1" applyFill="1" applyBorder="1" applyAlignment="1">
      <alignment horizontal="right" vertical="center"/>
    </xf>
    <xf numFmtId="185" fontId="16" fillId="5" borderId="1" xfId="0" applyNumberFormat="1" applyFont="1" applyFill="1" applyBorder="1" applyAlignment="1">
      <alignment horizontal="right" vertical="center"/>
    </xf>
    <xf numFmtId="185" fontId="9" fillId="2" borderId="1" xfId="0" applyNumberFormat="1" applyFont="1" applyFill="1" applyBorder="1">
      <alignment vertical="center"/>
    </xf>
    <xf numFmtId="26" fontId="16" fillId="5" borderId="1" xfId="0" applyNumberFormat="1" applyFont="1" applyFill="1" applyBorder="1" applyAlignment="1">
      <alignment horizontal="right" vertical="center"/>
    </xf>
    <xf numFmtId="26" fontId="9" fillId="2" borderId="1" xfId="0" applyNumberFormat="1" applyFont="1" applyFill="1" applyBorder="1">
      <alignment vertical="center"/>
    </xf>
    <xf numFmtId="195" fontId="16" fillId="5" borderId="1" xfId="0" applyNumberFormat="1" applyFont="1" applyFill="1" applyBorder="1" applyAlignment="1">
      <alignment horizontal="right" vertical="center"/>
    </xf>
    <xf numFmtId="195" fontId="9" fillId="2" borderId="1" xfId="0" applyNumberFormat="1" applyFont="1" applyFill="1" applyBorder="1">
      <alignment vertical="center"/>
    </xf>
    <xf numFmtId="42" fontId="9" fillId="7" borderId="1" xfId="0" applyNumberFormat="1" applyFont="1" applyFill="1" applyBorder="1">
      <alignment vertical="center"/>
    </xf>
    <xf numFmtId="179" fontId="9" fillId="7" borderId="1" xfId="0" applyNumberFormat="1" applyFont="1" applyFill="1" applyBorder="1">
      <alignment vertical="center"/>
    </xf>
    <xf numFmtId="191" fontId="9" fillId="7" borderId="1" xfId="0" applyNumberFormat="1" applyFont="1" applyFill="1" applyBorder="1">
      <alignment vertical="center"/>
    </xf>
    <xf numFmtId="178" fontId="42" fillId="0" borderId="7" xfId="0" applyNumberFormat="1" applyFont="1" applyBorder="1">
      <alignment vertical="center"/>
    </xf>
    <xf numFmtId="0" fontId="3" fillId="0" borderId="40" xfId="0" applyFont="1" applyBorder="1" applyAlignment="1">
      <alignment horizontal="center"/>
    </xf>
    <xf numFmtId="189" fontId="3" fillId="0" borderId="1" xfId="0" applyNumberFormat="1" applyFont="1" applyBorder="1" applyAlignment="1">
      <alignment horizontal="center"/>
    </xf>
    <xf numFmtId="194" fontId="3" fillId="0" borderId="7" xfId="0" applyNumberFormat="1" applyFont="1" applyBorder="1">
      <alignment vertical="center"/>
    </xf>
    <xf numFmtId="194" fontId="3" fillId="0" borderId="5" xfId="0" applyNumberFormat="1" applyFont="1" applyBorder="1">
      <alignment vertical="center"/>
    </xf>
    <xf numFmtId="194" fontId="3" fillId="0" borderId="49" xfId="0" applyNumberFormat="1" applyFont="1" applyBorder="1">
      <alignment vertical="center"/>
    </xf>
    <xf numFmtId="197" fontId="3" fillId="0" borderId="4" xfId="0" applyNumberFormat="1" applyFont="1" applyBorder="1" applyAlignment="1">
      <alignment horizontal="center" vertical="center"/>
    </xf>
    <xf numFmtId="197" fontId="3" fillId="0" borderId="1" xfId="0" applyNumberFormat="1" applyFont="1" applyBorder="1" applyAlignment="1">
      <alignment horizontal="center" vertical="center"/>
    </xf>
    <xf numFmtId="197" fontId="3" fillId="0" borderId="2" xfId="0" applyNumberFormat="1" applyFont="1" applyBorder="1" applyAlignment="1">
      <alignment horizontal="center" vertical="center"/>
    </xf>
    <xf numFmtId="197" fontId="3" fillId="0" borderId="16" xfId="0" applyNumberFormat="1" applyFont="1" applyBorder="1" applyAlignment="1">
      <alignment horizontal="center" vertical="center"/>
    </xf>
    <xf numFmtId="194" fontId="3" fillId="0" borderId="1" xfId="5" applyNumberFormat="1" applyFont="1" applyFill="1" applyBorder="1" applyAlignment="1">
      <alignment horizontal="center" vertical="center" wrapText="1"/>
    </xf>
    <xf numFmtId="194" fontId="3" fillId="0" borderId="7" xfId="0" applyNumberFormat="1" applyFont="1" applyBorder="1" applyAlignment="1">
      <alignment horizontal="center" vertical="center"/>
    </xf>
    <xf numFmtId="194" fontId="30" fillId="0" borderId="1" xfId="0" applyNumberFormat="1" applyFont="1" applyBorder="1" applyAlignment="1">
      <alignment horizontal="center" vertical="center"/>
    </xf>
    <xf numFmtId="194" fontId="3" fillId="0" borderId="1" xfId="0" applyNumberFormat="1" applyFont="1" applyBorder="1">
      <alignment vertical="center"/>
    </xf>
    <xf numFmtId="194" fontId="3" fillId="0" borderId="2" xfId="0" applyNumberFormat="1" applyFont="1" applyBorder="1">
      <alignment vertical="center"/>
    </xf>
    <xf numFmtId="194" fontId="3" fillId="0" borderId="16" xfId="0" applyNumberFormat="1" applyFont="1" applyBorder="1">
      <alignment vertical="center"/>
    </xf>
    <xf numFmtId="0" fontId="3" fillId="0" borderId="4" xfId="0" applyFont="1" applyBorder="1" applyAlignment="1">
      <alignment horizontal="center"/>
    </xf>
    <xf numFmtId="0" fontId="77" fillId="0" borderId="0" xfId="0" applyFont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189" fontId="3" fillId="0" borderId="1" xfId="0" applyNumberFormat="1" applyFont="1" applyBorder="1" applyAlignment="1">
      <alignment horizontal="center" vertical="center"/>
    </xf>
    <xf numFmtId="198" fontId="30" fillId="0" borderId="1" xfId="0" applyNumberFormat="1" applyFont="1" applyBorder="1" applyAlignment="1">
      <alignment horizontal="center" vertical="center"/>
    </xf>
    <xf numFmtId="179" fontId="3" fillId="0" borderId="7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9" fontId="33" fillId="0" borderId="4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19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43" fontId="33" fillId="0" borderId="1" xfId="5" applyNumberFormat="1" applyFont="1" applyFill="1" applyBorder="1" applyAlignment="1">
      <alignment horizontal="right" vertical="center"/>
    </xf>
    <xf numFmtId="189" fontId="33" fillId="7" borderId="4" xfId="0" applyNumberFormat="1" applyFont="1" applyFill="1" applyBorder="1" applyAlignment="1">
      <alignment horizontal="center"/>
    </xf>
    <xf numFmtId="189" fontId="33" fillId="7" borderId="1" xfId="0" applyNumberFormat="1" applyFont="1" applyFill="1" applyBorder="1" applyAlignment="1">
      <alignment horizontal="center" wrapText="1"/>
    </xf>
    <xf numFmtId="40" fontId="33" fillId="0" borderId="2" xfId="5" applyNumberFormat="1" applyFont="1" applyFill="1" applyBorder="1" applyAlignment="1">
      <alignment horizontal="right" vertical="center"/>
    </xf>
    <xf numFmtId="189" fontId="33" fillId="7" borderId="3" xfId="0" applyNumberFormat="1" applyFont="1" applyFill="1" applyBorder="1" applyAlignment="1">
      <alignment horizontal="center" wrapText="1"/>
    </xf>
    <xf numFmtId="40" fontId="33" fillId="0" borderId="2" xfId="5" applyNumberFormat="1" applyFont="1" applyFill="1" applyBorder="1" applyAlignment="1">
      <alignment horizontal="right" vertical="center" wrapText="1"/>
    </xf>
    <xf numFmtId="189" fontId="33" fillId="7" borderId="3" xfId="0" applyNumberFormat="1" applyFont="1" applyFill="1" applyBorder="1" applyAlignment="1">
      <alignment horizontal="center"/>
    </xf>
    <xf numFmtId="0" fontId="33" fillId="0" borderId="50" xfId="0" applyFont="1" applyBorder="1" applyAlignment="1">
      <alignment horizontal="center"/>
    </xf>
    <xf numFmtId="189" fontId="33" fillId="7" borderId="1" xfId="0" applyNumberFormat="1" applyFont="1" applyFill="1" applyBorder="1" applyAlignment="1">
      <alignment horizontal="center"/>
    </xf>
    <xf numFmtId="189" fontId="33" fillId="7" borderId="2" xfId="0" applyNumberFormat="1" applyFont="1" applyFill="1" applyBorder="1" applyAlignment="1">
      <alignment horizontal="center"/>
    </xf>
    <xf numFmtId="0" fontId="33" fillId="0" borderId="50" xfId="0" applyFont="1" applyBorder="1" applyAlignment="1">
      <alignment horizontal="center" wrapText="1"/>
    </xf>
    <xf numFmtId="0" fontId="79" fillId="21" borderId="51" xfId="0" applyFont="1" applyFill="1" applyBorder="1" applyAlignment="1">
      <alignment horizontal="left" vertical="center" wrapText="1"/>
    </xf>
    <xf numFmtId="0" fontId="33" fillId="0" borderId="5" xfId="0" applyFont="1" applyBorder="1" applyAlignment="1">
      <alignment horizontal="center" wrapText="1"/>
    </xf>
    <xf numFmtId="0" fontId="33" fillId="0" borderId="0" xfId="0" applyFont="1" applyAlignment="1">
      <alignment horizontal="center" wrapText="1"/>
    </xf>
    <xf numFmtId="40" fontId="33" fillId="0" borderId="4" xfId="5" applyNumberFormat="1" applyFont="1" applyFill="1" applyBorder="1" applyAlignment="1">
      <alignment horizontal="right" vertical="center"/>
    </xf>
    <xf numFmtId="189" fontId="33" fillId="22" borderId="4" xfId="0" applyNumberFormat="1" applyFont="1" applyFill="1" applyBorder="1" applyAlignment="1">
      <alignment horizontal="center"/>
    </xf>
    <xf numFmtId="189" fontId="33" fillId="22" borderId="1" xfId="0" applyNumberFormat="1" applyFont="1" applyFill="1" applyBorder="1" applyAlignment="1">
      <alignment horizontal="center" wrapText="1"/>
    </xf>
    <xf numFmtId="40" fontId="33" fillId="22" borderId="2" xfId="5" applyNumberFormat="1" applyFont="1" applyFill="1" applyBorder="1" applyAlignment="1">
      <alignment horizontal="right" vertical="center"/>
    </xf>
    <xf numFmtId="0" fontId="33" fillId="22" borderId="40" xfId="0" applyFont="1" applyFill="1" applyBorder="1" applyAlignment="1">
      <alignment horizontal="center"/>
    </xf>
    <xf numFmtId="189" fontId="33" fillId="22" borderId="1" xfId="0" applyNumberFormat="1" applyFont="1" applyFill="1" applyBorder="1" applyAlignment="1">
      <alignment horizontal="center"/>
    </xf>
    <xf numFmtId="189" fontId="33" fillId="22" borderId="3" xfId="0" applyNumberFormat="1" applyFont="1" applyFill="1" applyBorder="1" applyAlignment="1">
      <alignment horizontal="center"/>
    </xf>
    <xf numFmtId="0" fontId="33" fillId="22" borderId="50" xfId="0" applyFont="1" applyFill="1" applyBorder="1" applyAlignment="1">
      <alignment horizontal="center"/>
    </xf>
    <xf numFmtId="189" fontId="33" fillId="22" borderId="2" xfId="0" applyNumberFormat="1" applyFont="1" applyFill="1" applyBorder="1" applyAlignment="1">
      <alignment horizontal="center"/>
    </xf>
    <xf numFmtId="40" fontId="33" fillId="22" borderId="2" xfId="5" applyNumberFormat="1" applyFont="1" applyFill="1" applyBorder="1" applyAlignment="1">
      <alignment horizontal="right" vertical="center" wrapText="1"/>
    </xf>
    <xf numFmtId="0" fontId="33" fillId="22" borderId="52" xfId="0" applyFont="1" applyFill="1" applyBorder="1" applyAlignment="1">
      <alignment horizontal="center" wrapText="1"/>
    </xf>
    <xf numFmtId="0" fontId="33" fillId="22" borderId="0" xfId="0" applyFont="1" applyFill="1" applyAlignment="1">
      <alignment horizontal="center" wrapText="1"/>
    </xf>
    <xf numFmtId="178" fontId="27" fillId="0" borderId="1" xfId="0" applyNumberFormat="1" applyFont="1" applyBorder="1">
      <alignment vertical="center"/>
    </xf>
    <xf numFmtId="194" fontId="27" fillId="0" borderId="1" xfId="0" applyNumberFormat="1" applyFont="1" applyBorder="1">
      <alignment vertical="center"/>
    </xf>
    <xf numFmtId="180" fontId="65" fillId="0" borderId="1" xfId="0" applyNumberFormat="1" applyFont="1" applyBorder="1">
      <alignment vertical="center"/>
    </xf>
    <xf numFmtId="14" fontId="30" fillId="0" borderId="1" xfId="0" applyNumberFormat="1" applyFont="1" applyBorder="1" applyAlignment="1">
      <alignment horizontal="center" vertical="center"/>
    </xf>
    <xf numFmtId="0" fontId="3" fillId="23" borderId="20" xfId="0" applyFont="1" applyFill="1" applyBorder="1" applyAlignment="1">
      <alignment horizontal="left" vertical="center"/>
    </xf>
    <xf numFmtId="2" fontId="3" fillId="23" borderId="21" xfId="0" applyNumberFormat="1" applyFont="1" applyFill="1" applyBorder="1" applyAlignment="1">
      <alignment horizontal="center" vertical="center"/>
    </xf>
    <xf numFmtId="184" fontId="3" fillId="23" borderId="30" xfId="0" applyNumberFormat="1" applyFont="1" applyFill="1" applyBorder="1" applyAlignment="1">
      <alignment horizontal="right" vertical="center"/>
    </xf>
    <xf numFmtId="0" fontId="67" fillId="0" borderId="16" xfId="0" applyFont="1" applyBorder="1" applyAlignment="1">
      <alignment horizontal="center" vertical="center"/>
    </xf>
    <xf numFmtId="191" fontId="57" fillId="24" borderId="1" xfId="0" applyNumberFormat="1" applyFont="1" applyFill="1" applyBorder="1" applyAlignment="1">
      <alignment horizontal="right" vertical="center"/>
    </xf>
    <xf numFmtId="0" fontId="3" fillId="0" borderId="21" xfId="0" applyFont="1" applyBorder="1" applyAlignment="1">
      <alignment horizontal="center" vertical="center"/>
    </xf>
    <xf numFmtId="198" fontId="3" fillId="0" borderId="7" xfId="0" applyNumberFormat="1" applyFont="1" applyBorder="1" applyAlignment="1">
      <alignment horizontal="center" vertical="center"/>
    </xf>
    <xf numFmtId="182" fontId="3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8" fillId="0" borderId="53" xfId="0" applyFont="1" applyBorder="1">
      <alignment vertical="center"/>
    </xf>
    <xf numFmtId="14" fontId="30" fillId="0" borderId="2" xfId="0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82" fontId="30" fillId="0" borderId="2" xfId="0" applyNumberFormat="1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14" fontId="30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82" fontId="30" fillId="0" borderId="4" xfId="0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55" fillId="0" borderId="21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178" fontId="54" fillId="0" borderId="8" xfId="0" applyNumberFormat="1" applyFont="1" applyBorder="1" applyAlignment="1">
      <alignment horizontal="center" vertical="center"/>
    </xf>
    <xf numFmtId="178" fontId="54" fillId="0" borderId="6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14" fontId="30" fillId="0" borderId="21" xfId="0" applyNumberFormat="1" applyFont="1" applyBorder="1" applyAlignment="1">
      <alignment horizontal="center" vertical="center"/>
    </xf>
    <xf numFmtId="182" fontId="30" fillId="0" borderId="21" xfId="0" applyNumberFormat="1" applyFont="1" applyBorder="1" applyAlignment="1">
      <alignment horizontal="center" vertical="center"/>
    </xf>
    <xf numFmtId="0" fontId="0" fillId="0" borderId="56" xfId="0" applyBorder="1">
      <alignment vertical="center"/>
    </xf>
    <xf numFmtId="178" fontId="54" fillId="0" borderId="40" xfId="0" applyNumberFormat="1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/>
    </xf>
    <xf numFmtId="0" fontId="81" fillId="22" borderId="0" xfId="0" applyFont="1" applyFill="1" applyAlignment="1">
      <alignment horizontal="center" vertical="center"/>
    </xf>
    <xf numFmtId="0" fontId="81" fillId="21" borderId="51" xfId="0" applyFont="1" applyFill="1" applyBorder="1" applyAlignment="1">
      <alignment horizontal="center" vertical="center" wrapText="1"/>
    </xf>
    <xf numFmtId="0" fontId="81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right" vertical="center"/>
    </xf>
    <xf numFmtId="176" fontId="72" fillId="0" borderId="0" xfId="0" applyNumberFormat="1" applyFont="1">
      <alignment vertical="center"/>
    </xf>
    <xf numFmtId="176" fontId="65" fillId="0" borderId="1" xfId="0" applyNumberFormat="1" applyFont="1" applyBorder="1" applyAlignment="1">
      <alignment horizontal="right" vertical="center"/>
    </xf>
    <xf numFmtId="176" fontId="65" fillId="0" borderId="4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14" fontId="77" fillId="0" borderId="0" xfId="0" applyNumberFormat="1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6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</cellXfs>
  <cellStyles count="6">
    <cellStyle name="백분율" xfId="3" builtinId="5"/>
    <cellStyle name="쉼표 [0] 2" xfId="4" xr:uid="{83C816F3-3EC2-47D8-897C-FBF87AB18F88}"/>
    <cellStyle name="통화" xfId="5" builtinId="4"/>
    <cellStyle name="표준" xfId="0" builtinId="0"/>
    <cellStyle name="표준 2" xfId="2" xr:uid="{56665CE8-795A-47BD-B4C7-FC653B41C9AD}"/>
    <cellStyle name="표준 3" xfId="1" xr:uid="{8B37FD2D-6E15-4291-B421-53435D523A2A}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FFFF66"/>
      <color rgb="FFFFFF99"/>
      <color rgb="FFC5E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jroh\Downloads\TTK-CS-101%20Project%20Budget%20Tracker_SC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 Budget Summary"/>
      <sheetName val="1. IQVIA "/>
      <sheetName val="1-1. Direct"/>
      <sheetName val="1-2. PTC"/>
      <sheetName val="2. Syneos"/>
      <sheetName val="3.  Sharp"/>
      <sheetName val="4.  Fisher"/>
      <sheetName val="5.  Marken"/>
      <sheetName val="Sheet6"/>
    </sheetNames>
    <sheetDataSet>
      <sheetData sheetId="0"/>
      <sheetData sheetId="1">
        <row r="8">
          <cell r="B8">
            <v>15935420.470000001</v>
          </cell>
        </row>
        <row r="9">
          <cell r="B9">
            <v>3144815.93</v>
          </cell>
        </row>
        <row r="10">
          <cell r="B10">
            <v>12790604.540000001</v>
          </cell>
          <cell r="C10">
            <v>0.80265246618873809</v>
          </cell>
        </row>
      </sheetData>
      <sheetData sheetId="2"/>
      <sheetData sheetId="3"/>
      <sheetData sheetId="4"/>
      <sheetData sheetId="5">
        <row r="8">
          <cell r="B8">
            <v>675051</v>
          </cell>
        </row>
        <row r="9">
          <cell r="B9">
            <v>472838.16</v>
          </cell>
        </row>
        <row r="10">
          <cell r="B10">
            <v>202212.84000000003</v>
          </cell>
          <cell r="C10">
            <v>0.29955194496415832</v>
          </cell>
        </row>
        <row r="15">
          <cell r="A15">
            <v>2475</v>
          </cell>
          <cell r="B15">
            <v>0</v>
          </cell>
          <cell r="C15">
            <v>9792</v>
          </cell>
          <cell r="D15">
            <v>11106</v>
          </cell>
          <cell r="E15">
            <v>2005</v>
          </cell>
          <cell r="F15">
            <v>3222.47</v>
          </cell>
          <cell r="G15">
            <v>2126.08</v>
          </cell>
          <cell r="H15">
            <v>27227.25</v>
          </cell>
          <cell r="I15">
            <v>16699</v>
          </cell>
          <cell r="J15">
            <v>2393.79</v>
          </cell>
          <cell r="K15">
            <v>14365.670000000002</v>
          </cell>
          <cell r="L15">
            <v>3523.4</v>
          </cell>
        </row>
        <row r="20">
          <cell r="A20">
            <v>1605</v>
          </cell>
          <cell r="B20">
            <v>5917.83</v>
          </cell>
          <cell r="C20">
            <v>0</v>
          </cell>
          <cell r="D20">
            <v>4278.7700000000004</v>
          </cell>
          <cell r="E20">
            <v>5386</v>
          </cell>
          <cell r="F20">
            <v>40209.800000000003</v>
          </cell>
          <cell r="G20">
            <v>10282.08</v>
          </cell>
          <cell r="H20">
            <v>20090.3</v>
          </cell>
          <cell r="I20">
            <v>11292.279999999999</v>
          </cell>
          <cell r="J20">
            <v>9961.76</v>
          </cell>
          <cell r="K20">
            <v>21374.73</v>
          </cell>
          <cell r="L20">
            <v>0</v>
          </cell>
        </row>
        <row r="25">
          <cell r="A25">
            <v>13016.78</v>
          </cell>
          <cell r="B25">
            <v>10223.34</v>
          </cell>
          <cell r="C25">
            <v>2184.5300000000002</v>
          </cell>
          <cell r="D25">
            <v>16658</v>
          </cell>
          <cell r="E25">
            <v>19924.009999999998</v>
          </cell>
          <cell r="F25">
            <v>31779.4</v>
          </cell>
          <cell r="G25">
            <v>30986.18</v>
          </cell>
          <cell r="H25">
            <v>11353.64</v>
          </cell>
          <cell r="I25">
            <v>57782.600000000006</v>
          </cell>
          <cell r="J25">
            <v>39283.520000000004</v>
          </cell>
          <cell r="K25">
            <v>14311.95</v>
          </cell>
          <cell r="L25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</sheetData>
      <sheetData sheetId="6">
        <row r="8">
          <cell r="B8">
            <v>249693702</v>
          </cell>
        </row>
        <row r="9">
          <cell r="B9">
            <v>15142569</v>
          </cell>
        </row>
        <row r="10">
          <cell r="B10">
            <v>234551133</v>
          </cell>
          <cell r="C10">
            <v>0.93935542274910888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4838959</v>
          </cell>
          <cell r="J17">
            <v>3344264</v>
          </cell>
          <cell r="K17">
            <v>3663082</v>
          </cell>
          <cell r="L17">
            <v>3296264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</sheetData>
      <sheetData sheetId="7">
        <row r="8">
          <cell r="B8">
            <v>132368849</v>
          </cell>
        </row>
        <row r="9">
          <cell r="B9">
            <v>132368849</v>
          </cell>
        </row>
        <row r="10">
          <cell r="B10">
            <v>0</v>
          </cell>
          <cell r="C10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6832940</v>
          </cell>
          <cell r="G17">
            <v>0</v>
          </cell>
          <cell r="H17">
            <v>42000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29201942</v>
          </cell>
          <cell r="G22">
            <v>0</v>
          </cell>
          <cell r="H22">
            <v>0</v>
          </cell>
          <cell r="I22">
            <v>0</v>
          </cell>
          <cell r="J22">
            <v>10670790</v>
          </cell>
          <cell r="K22">
            <v>0</v>
          </cell>
          <cell r="L22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2942881</v>
          </cell>
          <cell r="G27">
            <v>0</v>
          </cell>
          <cell r="H27">
            <v>34675243</v>
          </cell>
          <cell r="I27">
            <v>5119000</v>
          </cell>
          <cell r="J27">
            <v>42884053</v>
          </cell>
          <cell r="K27">
            <v>0</v>
          </cell>
          <cell r="L27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A06B-44AE-4A4C-A43A-A55E955A42E7}">
  <dimension ref="A1:BE32"/>
  <sheetViews>
    <sheetView zoomScale="80" zoomScaleNormal="80" workbookViewId="0">
      <pane xSplit="2" ySplit="16" topLeftCell="AI17" activePane="bottomRight" state="frozen"/>
      <selection pane="topRight" activeCell="C1" sqref="C1"/>
      <selection pane="bottomLeft" activeCell="A17" sqref="A17"/>
      <selection pane="bottomRight" activeCell="AO7" sqref="AO7"/>
    </sheetView>
  </sheetViews>
  <sheetFormatPr defaultRowHeight="17.399999999999999"/>
  <cols>
    <col min="1" max="1" width="19.09765625" customWidth="1"/>
    <col min="2" max="2" width="14.19921875" bestFit="1" customWidth="1"/>
    <col min="3" max="4" width="16.8984375" customWidth="1"/>
    <col min="5" max="6" width="17.09765625" customWidth="1"/>
    <col min="7" max="7" width="16.19921875" customWidth="1"/>
    <col min="8" max="8" width="17.09765625" customWidth="1"/>
    <col min="9" max="9" width="15.69921875" customWidth="1"/>
    <col min="10" max="10" width="19" customWidth="1"/>
    <col min="11" max="13" width="17.09765625" customWidth="1"/>
    <col min="14" max="14" width="18.3984375" customWidth="1"/>
    <col min="15" max="15" width="18.59765625" customWidth="1"/>
    <col min="16" max="26" width="17.09765625" customWidth="1"/>
    <col min="27" max="27" width="16.59765625" customWidth="1"/>
    <col min="28" max="28" width="17.09765625" customWidth="1"/>
    <col min="29" max="30" width="16.09765625" customWidth="1"/>
    <col min="31" max="31" width="14.8984375" customWidth="1"/>
    <col min="32" max="32" width="15.3984375" customWidth="1"/>
    <col min="33" max="34" width="17.19921875" customWidth="1"/>
    <col min="35" max="35" width="17.3984375" customWidth="1"/>
    <col min="36" max="36" width="16.69921875" customWidth="1"/>
    <col min="37" max="37" width="16" customWidth="1"/>
    <col min="38" max="38" width="16.3984375" customWidth="1"/>
    <col min="39" max="39" width="16" customWidth="1"/>
    <col min="40" max="40" width="17.5" customWidth="1"/>
    <col min="41" max="41" width="20.69921875" customWidth="1"/>
    <col min="42" max="42" width="17.3984375" customWidth="1"/>
    <col min="43" max="43" width="16.3984375" customWidth="1"/>
    <col min="44" max="44" width="16.59765625" customWidth="1"/>
    <col min="45" max="45" width="17.59765625" customWidth="1"/>
    <col min="46" max="46" width="16.19921875" customWidth="1"/>
    <col min="47" max="57" width="17.59765625" customWidth="1"/>
  </cols>
  <sheetData>
    <row r="1" spans="1:57" s="6" customFormat="1" ht="20.25" customHeight="1">
      <c r="A1" s="12" t="s">
        <v>0</v>
      </c>
      <c r="B1" s="12"/>
      <c r="C1" s="12"/>
      <c r="D1" s="12"/>
      <c r="E1" s="12"/>
      <c r="F1" s="12"/>
      <c r="G1"/>
      <c r="H1"/>
      <c r="I1"/>
      <c r="J1"/>
      <c r="K1" s="18"/>
      <c r="L1" s="18"/>
      <c r="M1" s="18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</row>
    <row r="2" spans="1:57" s="6" customFormat="1" ht="9" customHeight="1">
      <c r="A2" s="1"/>
      <c r="B2" s="1"/>
      <c r="C2" s="1"/>
      <c r="D2" s="1"/>
      <c r="E2" s="8"/>
      <c r="F2" s="8"/>
      <c r="G2"/>
      <c r="H2"/>
      <c r="I2"/>
      <c r="J2"/>
      <c r="K2"/>
      <c r="L2"/>
      <c r="M2"/>
      <c r="N2"/>
      <c r="O2"/>
      <c r="P2"/>
      <c r="Q2"/>
    </row>
    <row r="3" spans="1:57" s="6" customFormat="1" ht="18.75" customHeight="1">
      <c r="A3" s="9" t="s">
        <v>1</v>
      </c>
      <c r="B3" s="9"/>
      <c r="C3" s="9"/>
      <c r="D3" s="9"/>
      <c r="E3" s="11" t="s">
        <v>2</v>
      </c>
      <c r="F3" s="1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</row>
    <row r="4" spans="1:57" ht="9" customHeight="1">
      <c r="A4" s="1"/>
      <c r="B4" s="1"/>
      <c r="C4" s="1"/>
      <c r="D4" s="1"/>
    </row>
    <row r="5" spans="1:57">
      <c r="A5" s="15" t="s">
        <v>3</v>
      </c>
      <c r="B5" s="21"/>
      <c r="C5" s="21"/>
      <c r="D5" s="21"/>
      <c r="K5" s="18"/>
      <c r="L5" s="18"/>
      <c r="M5" s="18"/>
    </row>
    <row r="6" spans="1:57" s="6" customFormat="1" ht="13.2">
      <c r="A6" s="206"/>
      <c r="B6" s="7" t="s">
        <v>4</v>
      </c>
      <c r="C6" s="7" t="s">
        <v>5</v>
      </c>
      <c r="D6" s="373" t="s">
        <v>6</v>
      </c>
      <c r="E6" s="373" t="s">
        <v>7</v>
      </c>
      <c r="F6" s="373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</row>
    <row r="7" spans="1:57" s="6" customFormat="1" ht="34.799999999999997">
      <c r="A7" s="207"/>
      <c r="B7" s="203" t="s">
        <v>14</v>
      </c>
      <c r="C7" s="432" t="s">
        <v>15</v>
      </c>
      <c r="D7" s="348" t="s">
        <v>16</v>
      </c>
      <c r="E7" s="348" t="s">
        <v>16</v>
      </c>
      <c r="F7" s="348" t="s">
        <v>17</v>
      </c>
      <c r="G7" s="203" t="s">
        <v>18</v>
      </c>
      <c r="H7" s="203" t="s">
        <v>19</v>
      </c>
      <c r="I7" s="203" t="s">
        <v>20</v>
      </c>
      <c r="J7" s="203" t="s">
        <v>21</v>
      </c>
      <c r="K7" s="203" t="s">
        <v>22</v>
      </c>
    </row>
    <row r="8" spans="1:57" s="6" customFormat="1" ht="13.2">
      <c r="A8" s="19" t="s">
        <v>23</v>
      </c>
      <c r="B8" s="204">
        <f>'[1]1. IQVIA '!B8</f>
        <v>15935420.470000001</v>
      </c>
      <c r="C8" s="204"/>
      <c r="D8" s="204">
        <f>'[1]3.  Sharp'!B8</f>
        <v>675051</v>
      </c>
      <c r="E8" s="349">
        <f>'[1]4.  Fisher'!B8</f>
        <v>249693702</v>
      </c>
      <c r="F8" s="349">
        <f>'[1]5.  Marken'!B8</f>
        <v>132368849</v>
      </c>
      <c r="G8" s="374">
        <f>'6. SBQ'!B8</f>
        <v>440404.83</v>
      </c>
      <c r="H8" s="205">
        <f>'7. Aptamer'!B8</f>
        <v>294600000</v>
      </c>
      <c r="I8" s="204">
        <f>'8. Invivo'!B8</f>
        <v>490894</v>
      </c>
      <c r="J8" s="204">
        <f>'9. Labconnect'!B8</f>
        <v>68277</v>
      </c>
      <c r="K8" s="205">
        <f>'10. AIMS'!B8</f>
        <v>367130000</v>
      </c>
    </row>
    <row r="9" spans="1:57" s="6" customFormat="1" ht="13.2">
      <c r="A9" s="342" t="s">
        <v>24</v>
      </c>
      <c r="B9" s="343">
        <f>'[1]1. IQVIA '!B9</f>
        <v>3144815.93</v>
      </c>
      <c r="C9" s="343">
        <f>'2. Syneos'!B9</f>
        <v>0</v>
      </c>
      <c r="D9" s="343">
        <f>'[1]3.  Sharp'!B9</f>
        <v>472838.16</v>
      </c>
      <c r="E9" s="371">
        <f>'[1]4.  Fisher'!B9</f>
        <v>15142569</v>
      </c>
      <c r="F9" s="371">
        <f>'[1]5.  Marken'!B9</f>
        <v>132368849</v>
      </c>
      <c r="G9" s="375">
        <f>'6. SBQ'!B9</f>
        <v>160795.18</v>
      </c>
      <c r="H9" s="344">
        <f>'7. Aptamer'!B9</f>
        <v>54450000</v>
      </c>
      <c r="I9" s="343">
        <f>'8. Invivo'!B9</f>
        <v>213142.36</v>
      </c>
      <c r="J9" s="343">
        <f>'9. Labconnect'!B9</f>
        <v>45962.23</v>
      </c>
      <c r="K9" s="344">
        <f>'10. AIMS'!B9</f>
        <v>250597600</v>
      </c>
    </row>
    <row r="10" spans="1:57" s="6" customFormat="1" ht="13.2">
      <c r="A10" s="2" t="s">
        <v>25</v>
      </c>
      <c r="B10" s="345">
        <f>'[1]1. IQVIA '!B10</f>
        <v>12790604.540000001</v>
      </c>
      <c r="C10" s="345"/>
      <c r="D10" s="345">
        <f>'[1]3.  Sharp'!B10</f>
        <v>202212.84000000003</v>
      </c>
      <c r="E10" s="372">
        <f>'[1]4.  Fisher'!B10</f>
        <v>234551133</v>
      </c>
      <c r="F10" s="372">
        <f>'[1]5.  Marken'!B10</f>
        <v>0</v>
      </c>
      <c r="G10" s="376">
        <f>'6. SBQ'!B10</f>
        <v>279609.65000000002</v>
      </c>
      <c r="H10" s="346">
        <f>'7. Aptamer'!B10</f>
        <v>240150000</v>
      </c>
      <c r="I10" s="345">
        <f>'8. Invivo'!B10</f>
        <v>277751.64</v>
      </c>
      <c r="J10" s="345">
        <f>'9. Labconnect'!B10</f>
        <v>22314.769999999997</v>
      </c>
      <c r="K10" s="346">
        <f>'10. AIMS'!B10</f>
        <v>116532400</v>
      </c>
    </row>
    <row r="11" spans="1:57" s="6" customFormat="1" ht="13.2">
      <c r="A11" s="2" t="s">
        <v>26</v>
      </c>
      <c r="B11" s="347">
        <f>'[1]1. IQVIA '!C10</f>
        <v>0.80265246618873809</v>
      </c>
      <c r="C11" s="347"/>
      <c r="D11" s="347">
        <f>'[1]3.  Sharp'!C10</f>
        <v>0.29955194496415832</v>
      </c>
      <c r="E11" s="347">
        <f>'[1]4.  Fisher'!C10</f>
        <v>0.93935542274910888</v>
      </c>
      <c r="F11" s="347">
        <f>'[1]5.  Marken'!C10</f>
        <v>0</v>
      </c>
      <c r="G11" s="347">
        <f>'6. SBQ'!C10</f>
        <v>0.63489233303821857</v>
      </c>
      <c r="H11" s="347">
        <f>'7. Aptamer'!C10</f>
        <v>0.81517311608961307</v>
      </c>
      <c r="I11" s="424">
        <f>'8. Invivo'!C10</f>
        <v>0.56580777112777914</v>
      </c>
      <c r="J11" s="424">
        <f>'9. Labconnect'!C10</f>
        <v>0.32682704278161018</v>
      </c>
      <c r="K11" s="424">
        <f>'10. AIMS'!C10</f>
        <v>0.31741453980878709</v>
      </c>
    </row>
    <row r="12" spans="1:57">
      <c r="A12" s="1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57" s="26" customFormat="1" ht="13.8">
      <c r="A13" s="15" t="s">
        <v>27</v>
      </c>
      <c r="B13" s="24"/>
      <c r="C13" s="24"/>
      <c r="D13" s="24"/>
      <c r="E13" s="25"/>
      <c r="F13" s="25"/>
      <c r="G13" s="25"/>
      <c r="H13" s="25"/>
      <c r="I13" s="25"/>
      <c r="J13" s="25"/>
    </row>
    <row r="14" spans="1:57" s="26" customFormat="1" ht="13.2">
      <c r="A14" s="548" t="s">
        <v>28</v>
      </c>
      <c r="B14" s="548" t="s">
        <v>29</v>
      </c>
      <c r="C14" s="43">
        <v>2023</v>
      </c>
      <c r="D14" s="45"/>
      <c r="E14" s="45"/>
      <c r="F14" s="45"/>
      <c r="G14" s="45"/>
      <c r="H14" s="45"/>
      <c r="I14" s="45"/>
      <c r="J14" s="44"/>
      <c r="K14" s="20"/>
      <c r="N14" s="43">
        <v>2024</v>
      </c>
      <c r="O14" s="45"/>
      <c r="P14" s="45"/>
      <c r="Q14" s="45"/>
      <c r="R14" s="45"/>
      <c r="S14" s="45"/>
      <c r="T14" s="45"/>
      <c r="U14" s="44"/>
      <c r="V14" s="20"/>
      <c r="Y14" s="40">
        <v>2025</v>
      </c>
      <c r="Z14" s="41"/>
      <c r="AA14" s="41"/>
      <c r="AB14" s="41"/>
      <c r="AC14" s="41"/>
      <c r="AD14" s="41"/>
      <c r="AE14" s="41"/>
      <c r="AF14" s="42"/>
      <c r="AJ14" s="43">
        <v>2026</v>
      </c>
      <c r="AK14" s="45"/>
      <c r="AL14" s="45"/>
      <c r="AM14" s="45"/>
      <c r="AN14" s="45"/>
      <c r="AO14" s="45"/>
      <c r="AP14" s="45"/>
      <c r="AQ14" s="44"/>
      <c r="AU14" s="40">
        <v>2027</v>
      </c>
      <c r="AV14" s="41"/>
      <c r="AW14" s="41"/>
      <c r="AX14" s="41"/>
      <c r="AY14" s="41"/>
      <c r="AZ14" s="41"/>
      <c r="BA14" s="41"/>
      <c r="BB14" s="42"/>
    </row>
    <row r="15" spans="1:57" s="27" customFormat="1" ht="17.399999999999999" customHeight="1">
      <c r="A15" s="549"/>
      <c r="B15" s="549"/>
      <c r="C15" s="31" t="s">
        <v>30</v>
      </c>
      <c r="D15" s="33"/>
      <c r="E15" s="31" t="s">
        <v>31</v>
      </c>
      <c r="F15" s="34"/>
      <c r="G15" s="31" t="s">
        <v>32</v>
      </c>
      <c r="H15" s="33"/>
      <c r="I15" s="31" t="s">
        <v>33</v>
      </c>
      <c r="J15" s="33"/>
      <c r="K15" s="201">
        <v>2023</v>
      </c>
      <c r="L15" s="33"/>
      <c r="M15" s="32"/>
      <c r="N15" s="31" t="s">
        <v>30</v>
      </c>
      <c r="O15" s="33"/>
      <c r="P15" s="31" t="s">
        <v>31</v>
      </c>
      <c r="Q15" s="34"/>
      <c r="R15" s="31" t="s">
        <v>32</v>
      </c>
      <c r="S15" s="33"/>
      <c r="T15" s="31" t="s">
        <v>33</v>
      </c>
      <c r="U15" s="33"/>
      <c r="V15" s="201">
        <v>2024</v>
      </c>
      <c r="W15" s="33"/>
      <c r="X15" s="32"/>
      <c r="Y15" s="38" t="s">
        <v>30</v>
      </c>
      <c r="Z15" s="35"/>
      <c r="AA15" s="37" t="s">
        <v>31</v>
      </c>
      <c r="AB15" s="38"/>
      <c r="AC15" s="37" t="s">
        <v>32</v>
      </c>
      <c r="AD15" s="35"/>
      <c r="AE15" s="37" t="s">
        <v>33</v>
      </c>
      <c r="AF15" s="36"/>
      <c r="AG15" s="202">
        <v>2025</v>
      </c>
      <c r="AH15" s="35"/>
      <c r="AI15" s="36"/>
      <c r="AJ15" s="31" t="s">
        <v>30</v>
      </c>
      <c r="AK15" s="33"/>
      <c r="AL15" s="31" t="s">
        <v>31</v>
      </c>
      <c r="AM15" s="34"/>
      <c r="AN15" s="31" t="s">
        <v>32</v>
      </c>
      <c r="AO15" s="33"/>
      <c r="AP15" s="31" t="s">
        <v>33</v>
      </c>
      <c r="AQ15" s="32"/>
      <c r="AR15" s="201">
        <v>2026</v>
      </c>
      <c r="AS15" s="33"/>
      <c r="AT15" s="32"/>
      <c r="AU15" s="37" t="s">
        <v>30</v>
      </c>
      <c r="AV15" s="35"/>
      <c r="AW15" s="37" t="s">
        <v>31</v>
      </c>
      <c r="AX15" s="38"/>
      <c r="AY15" s="37" t="s">
        <v>32</v>
      </c>
      <c r="AZ15" s="35"/>
      <c r="BA15" s="37" t="s">
        <v>33</v>
      </c>
      <c r="BB15" s="36"/>
      <c r="BC15" s="202">
        <v>2027</v>
      </c>
      <c r="BD15" s="35"/>
      <c r="BE15" s="36"/>
    </row>
    <row r="16" spans="1:57" s="27" customFormat="1" ht="13.2">
      <c r="A16" s="550"/>
      <c r="B16" s="550"/>
      <c r="C16" s="29" t="s">
        <v>34</v>
      </c>
      <c r="D16" s="30" t="s">
        <v>35</v>
      </c>
      <c r="E16" s="29" t="s">
        <v>34</v>
      </c>
      <c r="F16" s="30" t="s">
        <v>35</v>
      </c>
      <c r="G16" s="29" t="s">
        <v>34</v>
      </c>
      <c r="H16" s="30" t="s">
        <v>35</v>
      </c>
      <c r="I16" s="29" t="s">
        <v>34</v>
      </c>
      <c r="J16" s="30" t="s">
        <v>35</v>
      </c>
      <c r="K16" s="29" t="s">
        <v>34</v>
      </c>
      <c r="L16" s="30" t="s">
        <v>35</v>
      </c>
      <c r="M16" s="350" t="s">
        <v>36</v>
      </c>
      <c r="N16" s="29" t="s">
        <v>34</v>
      </c>
      <c r="O16" s="30" t="s">
        <v>35</v>
      </c>
      <c r="P16" s="29" t="s">
        <v>34</v>
      </c>
      <c r="Q16" s="30" t="s">
        <v>35</v>
      </c>
      <c r="R16" s="29" t="s">
        <v>34</v>
      </c>
      <c r="S16" s="30" t="s">
        <v>35</v>
      </c>
      <c r="T16" s="29" t="s">
        <v>34</v>
      </c>
      <c r="U16" s="30" t="s">
        <v>35</v>
      </c>
      <c r="V16" s="29" t="s">
        <v>34</v>
      </c>
      <c r="W16" s="30" t="s">
        <v>35</v>
      </c>
      <c r="X16" s="350" t="s">
        <v>36</v>
      </c>
      <c r="Y16" s="39" t="s">
        <v>34</v>
      </c>
      <c r="Z16" s="546" t="s">
        <v>35</v>
      </c>
      <c r="AA16" s="39" t="s">
        <v>34</v>
      </c>
      <c r="AB16" s="546" t="s">
        <v>35</v>
      </c>
      <c r="AC16" s="39" t="s">
        <v>34</v>
      </c>
      <c r="AD16" s="546" t="s">
        <v>35</v>
      </c>
      <c r="AE16" s="39" t="s">
        <v>34</v>
      </c>
      <c r="AF16" s="546" t="s">
        <v>35</v>
      </c>
      <c r="AG16" s="39" t="s">
        <v>34</v>
      </c>
      <c r="AH16" s="546" t="s">
        <v>35</v>
      </c>
      <c r="AI16" s="350" t="s">
        <v>36</v>
      </c>
      <c r="AJ16" s="29" t="s">
        <v>34</v>
      </c>
      <c r="AK16" s="30" t="s">
        <v>35</v>
      </c>
      <c r="AL16" s="29" t="s">
        <v>34</v>
      </c>
      <c r="AM16" s="30" t="s">
        <v>35</v>
      </c>
      <c r="AN16" s="29" t="s">
        <v>34</v>
      </c>
      <c r="AO16" s="30" t="s">
        <v>35</v>
      </c>
      <c r="AP16" s="29" t="s">
        <v>34</v>
      </c>
      <c r="AQ16" s="30" t="s">
        <v>35</v>
      </c>
      <c r="AR16" s="29" t="s">
        <v>34</v>
      </c>
      <c r="AS16" s="30" t="s">
        <v>35</v>
      </c>
      <c r="AT16" s="350" t="s">
        <v>36</v>
      </c>
      <c r="AU16" s="39" t="s">
        <v>34</v>
      </c>
      <c r="AV16" s="546" t="s">
        <v>35</v>
      </c>
      <c r="AW16" s="39" t="s">
        <v>34</v>
      </c>
      <c r="AX16" s="546" t="s">
        <v>35</v>
      </c>
      <c r="AY16" s="39" t="s">
        <v>34</v>
      </c>
      <c r="AZ16" s="546" t="s">
        <v>35</v>
      </c>
      <c r="BA16" s="39" t="s">
        <v>34</v>
      </c>
      <c r="BB16" s="546" t="s">
        <v>35</v>
      </c>
      <c r="BC16" s="39" t="s">
        <v>34</v>
      </c>
      <c r="BD16" s="546" t="s">
        <v>35</v>
      </c>
      <c r="BE16" s="350" t="s">
        <v>36</v>
      </c>
    </row>
    <row r="17" spans="1:57" s="26" customFormat="1" ht="13.2">
      <c r="A17" s="28" t="s">
        <v>37</v>
      </c>
      <c r="B17" s="351" t="s">
        <v>38</v>
      </c>
      <c r="C17" s="352"/>
      <c r="D17" s="355"/>
      <c r="E17" s="434"/>
      <c r="F17" s="355"/>
      <c r="G17" s="434"/>
      <c r="H17" s="355"/>
      <c r="I17" s="434"/>
      <c r="J17" s="355"/>
      <c r="K17" s="355">
        <f t="shared" ref="K17:L26" si="0">C17+E17+G17+I17</f>
        <v>0</v>
      </c>
      <c r="L17" s="356">
        <f t="shared" si="0"/>
        <v>0</v>
      </c>
      <c r="M17" s="442">
        <f>K17-L17</f>
        <v>0</v>
      </c>
      <c r="N17" s="352"/>
      <c r="O17" s="355">
        <f>'1. IQVIA '!A16+'1. IQVIA '!B16+'1. IQVIA '!C16</f>
        <v>0</v>
      </c>
      <c r="P17" s="434"/>
      <c r="Q17" s="355">
        <f>'1. IQVIA '!D16+'1. IQVIA '!E16+'1. IQVIA '!F16</f>
        <v>0</v>
      </c>
      <c r="R17" s="434"/>
      <c r="S17" s="355">
        <f>'1. IQVIA '!G16+'1. IQVIA '!H16+'1. IQVIA '!I16</f>
        <v>297156.95</v>
      </c>
      <c r="T17" s="434"/>
      <c r="U17" s="355">
        <f>'1. IQVIA '!J16+'1. IQVIA '!K16+'1. IQVIA '!L16</f>
        <v>2772763.95</v>
      </c>
      <c r="V17" s="355">
        <f t="shared" ref="V17:W26" si="1">N17+P17+R17+T17</f>
        <v>0</v>
      </c>
      <c r="W17" s="356">
        <f t="shared" si="1"/>
        <v>3069920.9000000004</v>
      </c>
      <c r="X17" s="442">
        <f>V17-W17</f>
        <v>-3069920.9000000004</v>
      </c>
      <c r="Y17" s="352"/>
      <c r="Z17" s="355">
        <f>'1. IQVIA '!A21+'1. IQVIA '!B21+'1. IQVIA '!C21</f>
        <v>34695.35</v>
      </c>
      <c r="AA17" s="434"/>
      <c r="AB17" s="355">
        <f>'1. IQVIA '!D21+'1. IQVIA '!E21+'1. IQVIA '!F21</f>
        <v>656709.24</v>
      </c>
      <c r="AC17" s="434"/>
      <c r="AD17" s="355">
        <f>'1. IQVIA '!G21+'1. IQVIA '!H21+'1. IQVIA '!I21</f>
        <v>829858.15999999992</v>
      </c>
      <c r="AE17" s="434">
        <v>772849</v>
      </c>
      <c r="AF17" s="355">
        <f>'1. IQVIA '!J21+'1. IQVIA '!K21+'1. IQVIA '!L21</f>
        <v>2380983.1</v>
      </c>
      <c r="AG17" s="355">
        <f>Y17+AA17+AC17+AE17</f>
        <v>772849</v>
      </c>
      <c r="AH17" s="356">
        <f t="shared" ref="AG17:AH19" si="2">Z17+AB17+AD17+AF17</f>
        <v>3902245.85</v>
      </c>
      <c r="AI17" s="442">
        <f>AG17-AH17</f>
        <v>-3129396.85</v>
      </c>
      <c r="AJ17" s="352">
        <v>1050743</v>
      </c>
      <c r="AK17" s="355">
        <f>'1. IQVIA '!A26+'1. IQVIA '!B26+'1. IQVIA '!C26</f>
        <v>1305306.74</v>
      </c>
      <c r="AL17" s="434">
        <v>437810</v>
      </c>
      <c r="AM17" s="355">
        <f>'1. IQVIA '!D26+'1. IQVIA '!E26+'1. IQVIA '!F26</f>
        <v>1431538.7799999998</v>
      </c>
      <c r="AN17" s="434">
        <v>437810</v>
      </c>
      <c r="AO17" s="355">
        <f>'1. IQVIA '!G26+'1. IQVIA '!H26+'1. IQVIA '!I26</f>
        <v>134077.91999999998</v>
      </c>
      <c r="AP17" s="434">
        <v>350243</v>
      </c>
      <c r="AQ17" s="355">
        <f>'1. IQVIA '!J26+'1. IQVIA '!K26+'1. IQVIA '!L26</f>
        <v>0</v>
      </c>
      <c r="AR17" s="355">
        <f t="shared" ref="AR17:AS19" si="3">AJ17+AL17+AN17+AP17</f>
        <v>2276606</v>
      </c>
      <c r="AS17" s="356">
        <f t="shared" si="3"/>
        <v>2870923.4399999995</v>
      </c>
      <c r="AT17" s="442">
        <f>AR17-AS17</f>
        <v>-594317.43999999948</v>
      </c>
      <c r="AU17" s="352">
        <v>350243</v>
      </c>
      <c r="AV17" s="355">
        <f>'1. IQVIA '!A31+'1. IQVIA '!B31+'1. IQVIA '!C31</f>
        <v>0</v>
      </c>
      <c r="AW17" s="434">
        <v>262686</v>
      </c>
      <c r="AX17" s="355">
        <f>'1. IQVIA '!D31+'1. IQVIA '!E31+'1. IQVIA '!F31</f>
        <v>0</v>
      </c>
      <c r="AY17" s="434"/>
      <c r="AZ17" s="355">
        <f>'1. IQVIA '!G31+'1. IQVIA '!H31+'1. IQVIA '!I31</f>
        <v>0</v>
      </c>
      <c r="BA17" s="434"/>
      <c r="BB17" s="355">
        <f>'1. IQVIA '!J31+'1. IQVIA '!K31+'1. IQVIA '!L31</f>
        <v>0</v>
      </c>
      <c r="BC17" s="355">
        <f t="shared" ref="BC17:BD19" si="4">AU17+AW17+AY17+BA17</f>
        <v>612929</v>
      </c>
      <c r="BD17" s="356">
        <f t="shared" si="4"/>
        <v>0</v>
      </c>
      <c r="BE17" s="442">
        <f>BC17-BD17</f>
        <v>612929</v>
      </c>
    </row>
    <row r="18" spans="1:57" s="26" customFormat="1" ht="13.2">
      <c r="A18" s="28" t="s">
        <v>39</v>
      </c>
      <c r="B18" s="351" t="s">
        <v>38</v>
      </c>
      <c r="C18" s="352"/>
      <c r="D18" s="356">
        <f>'2. Syneos'!A16+'2. Syneos'!B16+'2. Syneos'!C16</f>
        <v>0</v>
      </c>
      <c r="E18" s="354"/>
      <c r="F18" s="356">
        <f>'2. Syneos'!D16+'2. Syneos'!E16+'2. Syneos'!F16</f>
        <v>0</v>
      </c>
      <c r="G18" s="354"/>
      <c r="H18" s="356">
        <f>'2. Syneos'!G16+'2. Syneos'!H16+'2. Syneos'!I16</f>
        <v>0</v>
      </c>
      <c r="I18" s="354"/>
      <c r="J18" s="356">
        <f>'2. Syneos'!J16+'2. Syneos'!K16+'2. Syneos'!L16</f>
        <v>0</v>
      </c>
      <c r="K18" s="355">
        <f>C18+E18+G18+I18</f>
        <v>0</v>
      </c>
      <c r="L18" s="356">
        <f>D18+F18+H18+J18</f>
        <v>0</v>
      </c>
      <c r="M18" s="442">
        <f>K18-L18</f>
        <v>0</v>
      </c>
      <c r="N18" s="352"/>
      <c r="O18" s="356">
        <f>'2. Syneos'!A21+'2. Syneos'!B21+'2. Syneos'!C21</f>
        <v>0</v>
      </c>
      <c r="P18" s="354"/>
      <c r="Q18" s="356">
        <f>'2. Syneos'!D21+'2. Syneos'!E21+'2. Syneos'!F21</f>
        <v>0</v>
      </c>
      <c r="R18" s="354"/>
      <c r="S18" s="356">
        <f>'2. Syneos'!G21+'2. Syneos'!H21+'2. Syneos'!I21</f>
        <v>0</v>
      </c>
      <c r="T18" s="354"/>
      <c r="U18" s="356">
        <f>'2. Syneos'!J21+'2. Syneos'!K21+'2. Syneos'!L21</f>
        <v>0</v>
      </c>
      <c r="V18" s="355">
        <f t="shared" si="1"/>
        <v>0</v>
      </c>
      <c r="W18" s="356">
        <f t="shared" si="1"/>
        <v>0</v>
      </c>
      <c r="X18" s="442">
        <f>V18-W18</f>
        <v>0</v>
      </c>
      <c r="Y18" s="354"/>
      <c r="Z18" s="356">
        <f>'2. Syneos'!A26+'2. Syneos'!B26+'2. Syneos'!C26</f>
        <v>0</v>
      </c>
      <c r="AA18" s="354"/>
      <c r="AB18" s="356">
        <f>'2. Syneos'!D26+'2. Syneos'!E26+'2. Syneos'!F26</f>
        <v>0</v>
      </c>
      <c r="AC18" s="354"/>
      <c r="AD18" s="356">
        <f>'2. Syneos'!G26+'2. Syneos'!H26+'2. Syneos'!I26</f>
        <v>0</v>
      </c>
      <c r="AE18" s="354">
        <v>364505</v>
      </c>
      <c r="AF18" s="356">
        <f>'2. Syneos'!J26+'2. Syneos'!K26+'2. Syneos'!L26</f>
        <v>0</v>
      </c>
      <c r="AG18" s="355">
        <f t="shared" si="2"/>
        <v>364505</v>
      </c>
      <c r="AH18" s="356">
        <f t="shared" si="2"/>
        <v>0</v>
      </c>
      <c r="AI18" s="442">
        <f>AG18-AH18</f>
        <v>364505</v>
      </c>
      <c r="AJ18" s="354">
        <v>543464</v>
      </c>
      <c r="AK18" s="356">
        <f>'2. Syneos'!A31+'2. Syneos'!B31+'2. Syneos'!C31</f>
        <v>0</v>
      </c>
      <c r="AL18" s="354">
        <v>452886</v>
      </c>
      <c r="AM18" s="356">
        <f>'2. Syneos'!D31+'2. Syneos'!E31+'2. Syneos'!F31</f>
        <v>0</v>
      </c>
      <c r="AN18" s="354">
        <v>377405</v>
      </c>
      <c r="AO18" s="356">
        <f>'2. Syneos'!G31+'2. Syneos'!H31+'2. Syneos'!I31</f>
        <v>0</v>
      </c>
      <c r="AP18" s="354">
        <v>314504</v>
      </c>
      <c r="AQ18" s="356">
        <f>'2. Syneos'!J31+'2. Syneos'!K31+'2. Syneos'!L31</f>
        <v>0</v>
      </c>
      <c r="AR18" s="355">
        <f t="shared" si="3"/>
        <v>1688259</v>
      </c>
      <c r="AS18" s="356">
        <f t="shared" si="3"/>
        <v>0</v>
      </c>
      <c r="AT18" s="442">
        <f t="shared" ref="AT18:AT26" si="5">AR18-AS18</f>
        <v>1688259</v>
      </c>
      <c r="AU18" s="354">
        <v>262087</v>
      </c>
      <c r="AV18" s="356">
        <f>'2. Syneos'!A36+'2. Syneos'!B36+'2. Syneos'!C36</f>
        <v>0</v>
      </c>
      <c r="AW18" s="354"/>
      <c r="AX18" s="356">
        <f>'2. Syneos'!D36+'2. Syneos'!E36+'2. Syneos'!F36</f>
        <v>0</v>
      </c>
      <c r="AY18" s="354">
        <v>262087</v>
      </c>
      <c r="AZ18" s="356">
        <f>'2. Syneos'!G36+'2. Syneos'!H36+'2. Syneos'!I36</f>
        <v>0</v>
      </c>
      <c r="BA18" s="354"/>
      <c r="BB18" s="356">
        <f>'2. Syneos'!J36+'2. Syneos'!K36+'2. Syneos'!L36</f>
        <v>0</v>
      </c>
      <c r="BC18" s="355">
        <f>AU18+AY18+BA18</f>
        <v>524174</v>
      </c>
      <c r="BD18" s="356">
        <f t="shared" si="4"/>
        <v>0</v>
      </c>
      <c r="BE18" s="442">
        <f t="shared" ref="BE18:BE26" si="6">BC18-BD18</f>
        <v>524174</v>
      </c>
    </row>
    <row r="19" spans="1:57" s="357" customFormat="1" ht="13.2">
      <c r="A19" s="377" t="s">
        <v>6</v>
      </c>
      <c r="B19" s="351" t="s">
        <v>38</v>
      </c>
      <c r="C19" s="352"/>
      <c r="D19" s="353">
        <f>'[1]3.  Sharp'!A15+'[1]3.  Sharp'!B15+'[1]3.  Sharp'!C15</f>
        <v>12267</v>
      </c>
      <c r="E19" s="354"/>
      <c r="F19" s="353">
        <f>'[1]3.  Sharp'!D15+'[1]3.  Sharp'!E15+'[1]3.  Sharp'!F15</f>
        <v>16333.47</v>
      </c>
      <c r="G19" s="354"/>
      <c r="H19" s="353">
        <f>'[1]3.  Sharp'!G15+'[1]3.  Sharp'!H15+'[1]3.  Sharp'!I15</f>
        <v>46052.33</v>
      </c>
      <c r="I19" s="354"/>
      <c r="J19" s="353">
        <f>'[1]3.  Sharp'!J15+'[1]3.  Sharp'!K15+'[1]3.  Sharp'!L15</f>
        <v>20282.860000000004</v>
      </c>
      <c r="K19" s="355">
        <f t="shared" si="0"/>
        <v>0</v>
      </c>
      <c r="L19" s="353">
        <f t="shared" si="0"/>
        <v>94935.66</v>
      </c>
      <c r="M19" s="442">
        <f t="shared" ref="M19:M26" si="7">K19-L19</f>
        <v>-94935.66</v>
      </c>
      <c r="N19" s="352"/>
      <c r="O19" s="353">
        <f>'[1]3.  Sharp'!A20+'[1]3.  Sharp'!B20+'[1]3.  Sharp'!C20</f>
        <v>7522.83</v>
      </c>
      <c r="P19" s="354"/>
      <c r="Q19" s="353">
        <f>'[1]3.  Sharp'!D20+'[1]3.  Sharp'!E20+'[1]3.  Sharp'!F20</f>
        <v>49874.570000000007</v>
      </c>
      <c r="R19" s="354"/>
      <c r="S19" s="353">
        <f>'[1]3.  Sharp'!G20+'[1]3.  Sharp'!H20+'[1]3.  Sharp'!I20</f>
        <v>41664.659999999996</v>
      </c>
      <c r="T19" s="354"/>
      <c r="U19" s="353">
        <f>'[1]3.  Sharp'!J20+'[1]3.  Sharp'!K20+'[1]3.  Sharp'!L20</f>
        <v>31336.489999999998</v>
      </c>
      <c r="V19" s="353">
        <f t="shared" si="1"/>
        <v>0</v>
      </c>
      <c r="W19" s="353">
        <f t="shared" si="1"/>
        <v>130398.54999999999</v>
      </c>
      <c r="X19" s="442">
        <f t="shared" ref="X19:X26" si="8">V19-W19</f>
        <v>-130398.54999999999</v>
      </c>
      <c r="Y19" s="354"/>
      <c r="Z19" s="356">
        <f>'[1]3.  Sharp'!A25+'[1]3.  Sharp'!B25+'[1]3.  Sharp'!C25</f>
        <v>25424.65</v>
      </c>
      <c r="AA19" s="354"/>
      <c r="AB19" s="356">
        <f>'[1]3.  Sharp'!D25+'[1]3.  Sharp'!E25+'[1]3.  Sharp'!F25</f>
        <v>68361.41</v>
      </c>
      <c r="AC19" s="354"/>
      <c r="AD19" s="356">
        <f>'[1]3.  Sharp'!G25+'[1]3.  Sharp'!H25+'[1]3.  Sharp'!I25</f>
        <v>100122.42000000001</v>
      </c>
      <c r="AE19" s="354"/>
      <c r="AF19" s="356">
        <f>'[1]3.  Sharp'!J25+'[1]3.  Sharp'!K25+'[1]3.  Sharp'!L25</f>
        <v>53595.47</v>
      </c>
      <c r="AG19" s="353">
        <f t="shared" si="2"/>
        <v>0</v>
      </c>
      <c r="AH19" s="353">
        <f t="shared" si="2"/>
        <v>247503.95</v>
      </c>
      <c r="AI19" s="442">
        <f t="shared" ref="AI19:AI26" si="9">AG19-AH19</f>
        <v>-247503.95</v>
      </c>
      <c r="AJ19" s="354"/>
      <c r="AK19" s="356">
        <f>'[1]3.  Sharp'!A30+'[1]3.  Sharp'!B30+'[1]3.  Sharp'!C30</f>
        <v>0</v>
      </c>
      <c r="AL19" s="354"/>
      <c r="AM19" s="356">
        <f>'[1]3.  Sharp'!D30+'[1]3.  Sharp'!E30+'[1]3.  Sharp'!F30</f>
        <v>0</v>
      </c>
      <c r="AN19" s="354"/>
      <c r="AO19" s="356">
        <f>'[1]3.  Sharp'!G30+'[1]3.  Sharp'!H30+'[1]3.  Sharp'!I30</f>
        <v>0</v>
      </c>
      <c r="AP19" s="354"/>
      <c r="AQ19" s="356">
        <f>'[1]3.  Sharp'!J30+'[1]3.  Sharp'!K30+'[1]3.  Sharp'!L30</f>
        <v>0</v>
      </c>
      <c r="AR19" s="353">
        <f t="shared" si="3"/>
        <v>0</v>
      </c>
      <c r="AS19" s="353">
        <f t="shared" si="3"/>
        <v>0</v>
      </c>
      <c r="AT19" s="442">
        <f t="shared" si="5"/>
        <v>0</v>
      </c>
      <c r="AU19" s="354"/>
      <c r="AV19" s="356">
        <f>'[1]3.  Sharp'!A35+'[1]3.  Sharp'!B35+'[1]3.  Sharp'!C35</f>
        <v>0</v>
      </c>
      <c r="AX19" s="356">
        <f>'[1]3.  Sharp'!D35+'[1]3.  Sharp'!E35+'[1]3.  Sharp'!F35</f>
        <v>0</v>
      </c>
      <c r="AY19" s="354"/>
      <c r="AZ19" s="356">
        <f>'[1]3.  Sharp'!G35+'[1]3.  Sharp'!H35+'[1]3.  Sharp'!I35</f>
        <v>0</v>
      </c>
      <c r="BA19" s="354"/>
      <c r="BB19" s="356">
        <f>'[1]3.  Sharp'!J35+'[1]3.  Sharp'!K35+'[1]3.  Sharp'!L35</f>
        <v>0</v>
      </c>
      <c r="BC19" s="353">
        <f>AU19+AW18+AY19+BA19</f>
        <v>0</v>
      </c>
      <c r="BD19" s="353">
        <f t="shared" si="4"/>
        <v>0</v>
      </c>
      <c r="BE19" s="442">
        <f t="shared" si="6"/>
        <v>0</v>
      </c>
    </row>
    <row r="20" spans="1:57" s="363" customFormat="1" ht="13.2">
      <c r="A20" s="378" t="s">
        <v>7</v>
      </c>
      <c r="B20" s="358" t="s">
        <v>40</v>
      </c>
      <c r="C20" s="359"/>
      <c r="D20" s="360"/>
      <c r="E20" s="361"/>
      <c r="F20" s="360"/>
      <c r="G20" s="361"/>
      <c r="H20" s="360"/>
      <c r="I20" s="361"/>
      <c r="J20" s="360"/>
      <c r="K20" s="362">
        <f t="shared" si="0"/>
        <v>0</v>
      </c>
      <c r="L20" s="360">
        <f t="shared" si="0"/>
        <v>0</v>
      </c>
      <c r="M20" s="440">
        <f t="shared" si="7"/>
        <v>0</v>
      </c>
      <c r="N20" s="359"/>
      <c r="O20" s="360"/>
      <c r="P20" s="361"/>
      <c r="Q20" s="360"/>
      <c r="R20" s="361"/>
      <c r="S20" s="360"/>
      <c r="T20" s="361"/>
      <c r="U20" s="360"/>
      <c r="V20" s="362">
        <f t="shared" si="1"/>
        <v>0</v>
      </c>
      <c r="W20" s="360">
        <f t="shared" si="1"/>
        <v>0</v>
      </c>
      <c r="X20" s="440">
        <f t="shared" si="8"/>
        <v>0</v>
      </c>
      <c r="Y20" s="361"/>
      <c r="Z20" s="360">
        <f>'[1]4.  Fisher'!A17+'[1]4.  Fisher'!B17+'[1]4.  Fisher'!C17</f>
        <v>0</v>
      </c>
      <c r="AA20" s="361"/>
      <c r="AB20" s="360">
        <f>'[1]4.  Fisher'!D17+'[1]4.  Fisher'!E17+'[1]4.  Fisher'!F17</f>
        <v>0</v>
      </c>
      <c r="AC20" s="361"/>
      <c r="AD20" s="360">
        <f>'[1]4.  Fisher'!G17+'[1]4.  Fisher'!H17+'[1]4.  Fisher'!I17</f>
        <v>4838959</v>
      </c>
      <c r="AE20" s="361"/>
      <c r="AF20" s="360">
        <f>'[1]4.  Fisher'!J17+'[1]4.  Fisher'!K17+'[1]4.  Fisher'!L17</f>
        <v>10303610</v>
      </c>
      <c r="AG20" s="362">
        <f>Y20+AA20+AC20</f>
        <v>0</v>
      </c>
      <c r="AH20" s="360">
        <f>Z20+AB20+AD20</f>
        <v>4838959</v>
      </c>
      <c r="AI20" s="440">
        <f t="shared" si="9"/>
        <v>-4838959</v>
      </c>
      <c r="AJ20" s="361"/>
      <c r="AK20" s="360">
        <f>'[1]4.  Fisher'!A22+'[1]4.  Fisher'!B22+'[1]4.  Fisher'!C22</f>
        <v>0</v>
      </c>
      <c r="AL20" s="361"/>
      <c r="AM20" s="360">
        <f>'[1]4.  Fisher'!D22+'[1]4.  Fisher'!E22+'[1]4.  Fisher'!F22</f>
        <v>0</v>
      </c>
      <c r="AN20" s="361"/>
      <c r="AO20" s="360">
        <f>'[1]4.  Fisher'!G22+'[1]4.  Fisher'!H22+'[1]4.  Fisher'!I22</f>
        <v>0</v>
      </c>
      <c r="AP20" s="361"/>
      <c r="AQ20" s="360">
        <f>'[1]4.  Fisher'!J22+'[1]4.  Fisher'!K22+'[1]4.  Fisher'!L22</f>
        <v>0</v>
      </c>
      <c r="AR20" s="362">
        <f>AJ20+AL20+AN20</f>
        <v>0</v>
      </c>
      <c r="AS20" s="360">
        <f>AK20+AM20+AO20</f>
        <v>0</v>
      </c>
      <c r="AT20" s="440">
        <f t="shared" si="5"/>
        <v>0</v>
      </c>
      <c r="AU20" s="361"/>
      <c r="AV20" s="360">
        <f>'[1]4.  Fisher'!A27+'[1]4.  Fisher'!B27+'[1]4.  Fisher'!C27</f>
        <v>0</v>
      </c>
      <c r="AW20" s="361"/>
      <c r="AX20" s="360">
        <f>'[1]4.  Fisher'!D27+'[1]4.  Fisher'!E27+'[1]4.  Fisher'!F27</f>
        <v>0</v>
      </c>
      <c r="AY20" s="361"/>
      <c r="AZ20" s="360">
        <f>'[1]4.  Fisher'!G27+'[1]4.  Fisher'!H27+'[1]4.  Fisher'!I27</f>
        <v>0</v>
      </c>
      <c r="BA20" s="361"/>
      <c r="BB20" s="360">
        <f>'[1]4.  Fisher'!J27+'[1]4.  Fisher'!K27+'[1]4.  Fisher'!L27</f>
        <v>0</v>
      </c>
      <c r="BC20" s="362">
        <f>AU20+AW20+AY20</f>
        <v>0</v>
      </c>
      <c r="BD20" s="362">
        <f>AV20+AX20+AZ20</f>
        <v>0</v>
      </c>
      <c r="BE20" s="440">
        <f t="shared" si="6"/>
        <v>0</v>
      </c>
    </row>
    <row r="21" spans="1:57" s="363" customFormat="1" ht="13.2">
      <c r="A21" s="378" t="s">
        <v>8</v>
      </c>
      <c r="B21" s="358" t="s">
        <v>40</v>
      </c>
      <c r="C21" s="364"/>
      <c r="D21" s="360">
        <f>'[1]5.  Marken'!A17+'[1]5.  Marken'!B17+'[1]5.  Marken'!C17</f>
        <v>0</v>
      </c>
      <c r="E21" s="361"/>
      <c r="F21" s="360">
        <f>'[1]5.  Marken'!D17+'[1]5.  Marken'!E17+'[1]5.  Marken'!F17</f>
        <v>6832940</v>
      </c>
      <c r="G21" s="361"/>
      <c r="H21" s="360">
        <f>'[1]5.  Marken'!G17+'[1]5.  Marken'!H17+'[1]5.  Marken'!I17</f>
        <v>42000</v>
      </c>
      <c r="I21" s="361"/>
      <c r="J21" s="360">
        <f>'[1]5.  Marken'!J17+'[1]5.  Marken'!K17+'[1]5.  Marken'!L17</f>
        <v>0</v>
      </c>
      <c r="K21" s="362">
        <f>C21+E21+G21+I21</f>
        <v>0</v>
      </c>
      <c r="L21" s="360">
        <f t="shared" si="0"/>
        <v>6874940</v>
      </c>
      <c r="M21" s="440">
        <f t="shared" si="7"/>
        <v>-6874940</v>
      </c>
      <c r="N21" s="364"/>
      <c r="O21" s="360">
        <f>'[1]5.  Marken'!A22+'[1]5.  Marken'!B22+'[1]5.  Marken'!C22</f>
        <v>0</v>
      </c>
      <c r="P21" s="361"/>
      <c r="Q21" s="360">
        <f>'[1]5.  Marken'!D22+'[1]5.  Marken'!E22+'[1]5.  Marken'!F22</f>
        <v>29201942</v>
      </c>
      <c r="R21" s="361"/>
      <c r="S21" s="360">
        <f>'[1]5.  Marken'!G22+'[1]5.  Marken'!H22+'[1]5.  Marken'!I22</f>
        <v>0</v>
      </c>
      <c r="T21" s="361"/>
      <c r="U21" s="360">
        <f>'[1]5.  Marken'!J22+'[1]5.  Marken'!K22+'[1]5.  Marken'!L22</f>
        <v>10670790</v>
      </c>
      <c r="V21" s="362">
        <f>N21+P21+R21+T21</f>
        <v>0</v>
      </c>
      <c r="W21" s="360">
        <f t="shared" si="1"/>
        <v>39872732</v>
      </c>
      <c r="X21" s="440">
        <f t="shared" si="8"/>
        <v>-39872732</v>
      </c>
      <c r="Y21" s="361"/>
      <c r="Z21" s="360">
        <f>'[1]5.  Marken'!A27+'[1]5.  Marken'!B27+'[1]5.  Marken'!C27</f>
        <v>0</v>
      </c>
      <c r="AA21" s="361"/>
      <c r="AB21" s="360">
        <f>'[1]5.  Marken'!D27+'[1]5.  Marken'!E27+'[1]5.  Marken'!F27</f>
        <v>2942881</v>
      </c>
      <c r="AC21" s="361"/>
      <c r="AD21" s="360">
        <f>'[1]5.  Marken'!G27+'[1]5.  Marken'!H27+'[1]5.  Marken'!I27</f>
        <v>39794243</v>
      </c>
      <c r="AE21" s="361"/>
      <c r="AF21" s="360">
        <f>'[1]5.  Marken'!J27+'[1]5.  Marken'!K27+'[1]5.  Marken'!L27</f>
        <v>42884053</v>
      </c>
      <c r="AG21" s="362">
        <f>Y21+AA21+AC21+AE21</f>
        <v>0</v>
      </c>
      <c r="AH21" s="360">
        <f>Z21+AB21+AD21+AF21</f>
        <v>85621177</v>
      </c>
      <c r="AI21" s="440">
        <f t="shared" si="9"/>
        <v>-85621177</v>
      </c>
      <c r="AJ21" s="361"/>
      <c r="AK21" s="360">
        <f>'[1]5.  Marken'!A32+'[1]5.  Marken'!B32+'[1]5.  Marken'!C32</f>
        <v>0</v>
      </c>
      <c r="AL21" s="361"/>
      <c r="AM21" s="360">
        <f>'[1]5.  Marken'!D32+'[1]5.  Marken'!E32+'[1]5.  Marken'!F32</f>
        <v>0</v>
      </c>
      <c r="AN21" s="361"/>
      <c r="AO21" s="360">
        <f>'[1]5.  Marken'!G32+'[1]5.  Marken'!H32+'[1]5.  Marken'!I32</f>
        <v>0</v>
      </c>
      <c r="AP21" s="361"/>
      <c r="AQ21" s="360">
        <f>'[1]5.  Marken'!J32+'[1]5.  Marken'!K32+'[1]5.  Marken'!L32</f>
        <v>0</v>
      </c>
      <c r="AR21" s="362">
        <f>AJ21+AL21+AN21+AP21</f>
        <v>0</v>
      </c>
      <c r="AS21" s="360">
        <f>AK21+AM21+AO21+AQ21</f>
        <v>0</v>
      </c>
      <c r="AT21" s="440">
        <f t="shared" si="5"/>
        <v>0</v>
      </c>
      <c r="AU21" s="361"/>
      <c r="AV21" s="360">
        <f>'[1]5.  Marken'!A37+'[1]5.  Marken'!B37+'[1]5.  Marken'!C37</f>
        <v>0</v>
      </c>
      <c r="AW21" s="361"/>
      <c r="AX21" s="360">
        <f>'[1]5.  Marken'!D37+'[1]5.  Marken'!E37+'[1]5.  Marken'!F37</f>
        <v>0</v>
      </c>
      <c r="AY21" s="361"/>
      <c r="AZ21" s="360">
        <f>'[1]5.  Marken'!G37+'[1]5.  Marken'!H37+'[1]5.  Marken'!I37</f>
        <v>0</v>
      </c>
      <c r="BA21" s="361"/>
      <c r="BB21" s="360">
        <f>'[1]5.  Marken'!J37+'[1]5.  Marken'!K37+'[1]5.  Marken'!L37</f>
        <v>0</v>
      </c>
      <c r="BC21" s="362">
        <f>AU21+AW21+AY21+BA21</f>
        <v>0</v>
      </c>
      <c r="BD21" s="360">
        <f>AV21+AX21+AZ21+BB21</f>
        <v>0</v>
      </c>
      <c r="BE21" s="440">
        <f t="shared" si="6"/>
        <v>0</v>
      </c>
    </row>
    <row r="22" spans="1:57" s="363" customFormat="1" ht="13.2">
      <c r="A22" s="378" t="s">
        <v>9</v>
      </c>
      <c r="B22" s="358" t="s">
        <v>41</v>
      </c>
      <c r="C22" s="435"/>
      <c r="D22" s="436">
        <f>'6. SBQ'!A16+'6. SBQ'!B16+'6. SBQ'!C16</f>
        <v>67333.98</v>
      </c>
      <c r="E22" s="437"/>
      <c r="F22" s="436">
        <f>'6. SBQ'!D16+'6. SBQ'!E16+'6. SBQ'!F16</f>
        <v>0</v>
      </c>
      <c r="G22" s="437"/>
      <c r="H22" s="436">
        <f>'6. SBQ'!G16+'6. SBQ'!H16+'6. SBQ'!I16</f>
        <v>1968</v>
      </c>
      <c r="I22" s="437"/>
      <c r="J22" s="436">
        <f>'6. SBQ'!J16+'6. SBQ'!K16+'6. SBQ'!L16</f>
        <v>0</v>
      </c>
      <c r="K22" s="438">
        <f>C22+E22+G22+I22</f>
        <v>0</v>
      </c>
      <c r="L22" s="436">
        <f t="shared" si="0"/>
        <v>69301.98</v>
      </c>
      <c r="M22" s="444">
        <f t="shared" si="7"/>
        <v>-69301.98</v>
      </c>
      <c r="N22" s="435"/>
      <c r="O22" s="436">
        <f>'6. SBQ'!A21+'6. SBQ'!B21+'6. SBQ'!C21</f>
        <v>0</v>
      </c>
      <c r="P22" s="437"/>
      <c r="Q22" s="436">
        <f>'6. SBQ'!D21+'6. SBQ'!E21+'6. SBQ'!F21</f>
        <v>0</v>
      </c>
      <c r="R22" s="437"/>
      <c r="S22" s="436">
        <f>'6. SBQ'!G21+'6. SBQ'!H21+'6. SBQ'!I21</f>
        <v>0</v>
      </c>
      <c r="T22" s="437"/>
      <c r="U22" s="436">
        <f>'6. SBQ'!J21+'6. SBQ'!K21+'6. SBQ'!L21</f>
        <v>4750</v>
      </c>
      <c r="V22" s="438">
        <f t="shared" ref="V22:V26" si="10">N22+P22+R22+T22</f>
        <v>0</v>
      </c>
      <c r="W22" s="436">
        <f t="shared" si="1"/>
        <v>4750</v>
      </c>
      <c r="X22" s="444">
        <f t="shared" si="8"/>
        <v>-4750</v>
      </c>
      <c r="Y22" s="437"/>
      <c r="Z22" s="436">
        <f>'6. SBQ'!A26+'6. SBQ'!B26+'6. SBQ'!C26</f>
        <v>6213.6</v>
      </c>
      <c r="AA22" s="437"/>
      <c r="AB22" s="436">
        <f>'6. SBQ'!D26+'6. SBQ'!E26+'6. SBQ'!F26</f>
        <v>70413.600000000006</v>
      </c>
      <c r="AC22" s="437"/>
      <c r="AD22" s="436">
        <f>'6. SBQ'!G26+'6. SBQ'!H26+'6. SBQ'!I26</f>
        <v>0</v>
      </c>
      <c r="AE22" s="437"/>
      <c r="AF22" s="436">
        <f>'6. SBQ'!J26+'6. SBQ'!K26+'6. SBQ'!L26</f>
        <v>0</v>
      </c>
      <c r="AG22" s="438">
        <f t="shared" ref="AG22:AG26" si="11">Y22+AA22+AC22+AE22</f>
        <v>0</v>
      </c>
      <c r="AH22" s="436">
        <f t="shared" ref="AH22:AH26" si="12">Z22+AB22+AD22+AF22</f>
        <v>76627.200000000012</v>
      </c>
      <c r="AI22" s="444">
        <f t="shared" si="9"/>
        <v>-76627.200000000012</v>
      </c>
      <c r="AJ22" s="437">
        <v>50182</v>
      </c>
      <c r="AK22" s="436">
        <f>'6. SBQ'!A31+'6. SBQ'!B31+'6. SBQ'!C31</f>
        <v>0</v>
      </c>
      <c r="AL22" s="437">
        <v>50182</v>
      </c>
      <c r="AM22" s="436">
        <f>'6. SBQ'!D31+'6. SBQ'!E31+'6. SBQ'!F31</f>
        <v>10116</v>
      </c>
      <c r="AN22" s="437">
        <v>50182</v>
      </c>
      <c r="AO22" s="436">
        <f>'6. SBQ'!G31+'6. SBQ'!H31+'6. SBQ'!I31</f>
        <v>0</v>
      </c>
      <c r="AP22" s="437">
        <v>50182</v>
      </c>
      <c r="AQ22" s="436">
        <f>'6. SBQ'!J31+'6. SBQ'!K31+'6. SBQ'!L31</f>
        <v>0</v>
      </c>
      <c r="AR22" s="438">
        <f t="shared" ref="AR22:AR26" si="13">AJ22+AL22+AN22+AP22</f>
        <v>200728</v>
      </c>
      <c r="AS22" s="436">
        <f t="shared" ref="AS22:AS26" si="14">AK22+AM22+AO22+AQ22</f>
        <v>10116</v>
      </c>
      <c r="AT22" s="444">
        <f t="shared" si="5"/>
        <v>190612</v>
      </c>
      <c r="AU22" s="437">
        <v>50182</v>
      </c>
      <c r="AV22" s="436">
        <f>'6. SBQ'!A36+'6. SBQ'!B36+'6. SBQ'!C36</f>
        <v>0</v>
      </c>
      <c r="AW22" s="437">
        <v>50182</v>
      </c>
      <c r="AX22" s="436">
        <f>'6. SBQ'!D36+'6. SBQ'!E36+'6. SBQ'!F36</f>
        <v>0</v>
      </c>
      <c r="AY22" s="437">
        <v>50182</v>
      </c>
      <c r="AZ22" s="436">
        <f>'6. SBQ'!G36+'6. SBQ'!H36+'6. SBQ'!I36</f>
        <v>0</v>
      </c>
      <c r="BA22" s="437">
        <v>50182</v>
      </c>
      <c r="BB22" s="436">
        <f>'6. SBQ'!J36+'6. SBQ'!K36+'6. SBQ'!L36</f>
        <v>0</v>
      </c>
      <c r="BC22" s="438">
        <f t="shared" ref="BC22:BC26" si="15">AU22+AW22+AY22+BA22</f>
        <v>200728</v>
      </c>
      <c r="BD22" s="436">
        <f t="shared" ref="BD22:BD26" si="16">AV22+AX22+AZ22+BB22</f>
        <v>0</v>
      </c>
      <c r="BE22" s="444">
        <f t="shared" si="6"/>
        <v>200728</v>
      </c>
    </row>
    <row r="23" spans="1:57" s="363" customFormat="1" ht="13.2">
      <c r="A23" s="378" t="s">
        <v>10</v>
      </c>
      <c r="B23" s="358" t="s">
        <v>40</v>
      </c>
      <c r="C23" s="364"/>
      <c r="D23" s="360"/>
      <c r="E23" s="361"/>
      <c r="F23" s="360"/>
      <c r="G23" s="361"/>
      <c r="H23" s="360"/>
      <c r="I23" s="361"/>
      <c r="J23" s="360"/>
      <c r="K23" s="362">
        <f t="shared" si="0"/>
        <v>0</v>
      </c>
      <c r="L23" s="360">
        <f t="shared" si="0"/>
        <v>0</v>
      </c>
      <c r="M23" s="440">
        <f t="shared" si="7"/>
        <v>0</v>
      </c>
      <c r="N23" s="364"/>
      <c r="O23" s="360"/>
      <c r="P23" s="361"/>
      <c r="Q23" s="360"/>
      <c r="R23" s="361"/>
      <c r="S23" s="360"/>
      <c r="T23" s="361"/>
      <c r="U23" s="360"/>
      <c r="V23" s="362">
        <f t="shared" si="10"/>
        <v>0</v>
      </c>
      <c r="W23" s="360">
        <f t="shared" si="1"/>
        <v>0</v>
      </c>
      <c r="X23" s="440">
        <f t="shared" si="8"/>
        <v>0</v>
      </c>
      <c r="Y23" s="361"/>
      <c r="Z23" s="360">
        <f>'7. Aptamer'!A16+'7. Aptamer'!B16+'7. Aptamer'!C16</f>
        <v>0</v>
      </c>
      <c r="AA23" s="361"/>
      <c r="AB23" s="360">
        <f>'7. Aptamer'!D16+'7. Aptamer'!E16+'7. Aptamer'!F16</f>
        <v>14190000</v>
      </c>
      <c r="AC23" s="361"/>
      <c r="AD23" s="360">
        <f>'7. Aptamer'!G16+'7. Aptamer'!H16+'7. Aptamer'!I16</f>
        <v>0</v>
      </c>
      <c r="AE23" s="361">
        <v>36600000</v>
      </c>
      <c r="AF23" s="360">
        <f>'7. Aptamer'!J16+'7. Aptamer'!K16+'7. Aptamer'!L16</f>
        <v>40260000</v>
      </c>
      <c r="AG23" s="362">
        <f t="shared" si="11"/>
        <v>36600000</v>
      </c>
      <c r="AH23" s="360">
        <f t="shared" si="12"/>
        <v>54450000</v>
      </c>
      <c r="AI23" s="440">
        <f t="shared" si="9"/>
        <v>-17850000</v>
      </c>
      <c r="AJ23" s="361">
        <v>33777000</v>
      </c>
      <c r="AK23" s="360">
        <f>'7. Aptamer'!A20+'7. Aptamer'!B20+'7. Aptamer'!C20</f>
        <v>0</v>
      </c>
      <c r="AL23" s="361">
        <v>59577000</v>
      </c>
      <c r="AM23" s="360">
        <f>'7. Aptamer'!D20+'7. Aptamer'!E20+'7. Aptamer'!F20</f>
        <v>0</v>
      </c>
      <c r="AN23" s="361">
        <v>43377000</v>
      </c>
      <c r="AO23" s="360">
        <f>'7. Aptamer'!G20+'7. Aptamer'!H20+'7. Aptamer'!I20</f>
        <v>0</v>
      </c>
      <c r="AP23" s="361">
        <v>28377000</v>
      </c>
      <c r="AQ23" s="360">
        <f>'7. Aptamer'!J20+'7. Aptamer'!K20+'7. Aptamer'!L20</f>
        <v>0</v>
      </c>
      <c r="AR23" s="362">
        <f t="shared" si="13"/>
        <v>165108000</v>
      </c>
      <c r="AS23" s="360">
        <f t="shared" si="14"/>
        <v>0</v>
      </c>
      <c r="AT23" s="440">
        <f t="shared" si="5"/>
        <v>165108000</v>
      </c>
      <c r="AU23" s="361">
        <v>35154000</v>
      </c>
      <c r="AV23" s="360">
        <f>'7. Aptamer'!A24+'7. Aptamer'!B24+'7. Aptamer'!C24</f>
        <v>0</v>
      </c>
      <c r="AW23" s="361">
        <v>38700000</v>
      </c>
      <c r="AX23" s="360">
        <f>'7. Aptamer'!D24+'7. Aptamer'!E24+'7. Aptamer'!F24</f>
        <v>0</v>
      </c>
      <c r="AY23" s="361"/>
      <c r="AZ23" s="360">
        <f>'7. Aptamer'!G24+'7. Aptamer'!H24+'7. Aptamer'!I24</f>
        <v>0</v>
      </c>
      <c r="BA23" s="361"/>
      <c r="BB23" s="360">
        <f>'7. Aptamer'!J24+'7. Aptamer'!K24+'7. Aptamer'!L24</f>
        <v>0</v>
      </c>
      <c r="BC23" s="362">
        <f t="shared" si="15"/>
        <v>73854000</v>
      </c>
      <c r="BD23" s="360">
        <f t="shared" si="16"/>
        <v>0</v>
      </c>
      <c r="BE23" s="440">
        <f t="shared" si="6"/>
        <v>73854000</v>
      </c>
    </row>
    <row r="24" spans="1:57" s="363" customFormat="1" ht="13.2">
      <c r="A24" s="378" t="s">
        <v>11</v>
      </c>
      <c r="B24" s="358" t="s">
        <v>38</v>
      </c>
      <c r="C24" s="352"/>
      <c r="D24" s="356"/>
      <c r="E24" s="354"/>
      <c r="F24" s="356"/>
      <c r="G24" s="354"/>
      <c r="H24" s="356"/>
      <c r="I24" s="354"/>
      <c r="J24" s="356"/>
      <c r="K24" s="355">
        <f t="shared" si="0"/>
        <v>0</v>
      </c>
      <c r="L24" s="356">
        <f t="shared" si="0"/>
        <v>0</v>
      </c>
      <c r="M24" s="442">
        <f t="shared" si="7"/>
        <v>0</v>
      </c>
      <c r="N24" s="352"/>
      <c r="O24" s="356"/>
      <c r="P24" s="354"/>
      <c r="Q24" s="356"/>
      <c r="R24" s="354"/>
      <c r="S24" s="356"/>
      <c r="T24" s="354"/>
      <c r="U24" s="356"/>
      <c r="V24" s="355">
        <f t="shared" si="10"/>
        <v>0</v>
      </c>
      <c r="W24" s="356">
        <f t="shared" si="1"/>
        <v>0</v>
      </c>
      <c r="X24" s="442">
        <f t="shared" si="8"/>
        <v>0</v>
      </c>
      <c r="Y24" s="354"/>
      <c r="Z24" s="356">
        <f>'8. Invivo'!A16+'8. Invivo'!B16+'8. Invivo'!C16</f>
        <v>0</v>
      </c>
      <c r="AA24" s="354"/>
      <c r="AB24" s="356">
        <f>'8. Invivo'!D16+'8. Invivo'!E16+'8. Invivo'!F16</f>
        <v>0</v>
      </c>
      <c r="AC24" s="354"/>
      <c r="AD24" s="356">
        <f>'8. Invivo'!G16+'8. Invivo'!H16+'8. Invivo'!I16</f>
        <v>166689</v>
      </c>
      <c r="AE24" s="354">
        <v>10499</v>
      </c>
      <c r="AF24" s="356">
        <f>'8. Invivo'!J16+'8. Invivo'!K16+'8. Invivo'!L16</f>
        <v>17748.87</v>
      </c>
      <c r="AG24" s="355">
        <f t="shared" si="11"/>
        <v>10499</v>
      </c>
      <c r="AH24" s="356">
        <f t="shared" si="12"/>
        <v>184437.87</v>
      </c>
      <c r="AI24" s="442">
        <f t="shared" si="9"/>
        <v>-173938.87</v>
      </c>
      <c r="AJ24" s="354">
        <v>15748</v>
      </c>
      <c r="AK24" s="356">
        <f>'8. Invivo'!A21+'8. Invivo'!B21+'8. Invivo'!C21</f>
        <v>13484.149999999998</v>
      </c>
      <c r="AL24" s="354">
        <v>15748</v>
      </c>
      <c r="AM24" s="356">
        <f>'8. Invivo'!D21+'8. Invivo'!E21+'8. Invivo'!F21</f>
        <v>15220.34</v>
      </c>
      <c r="AN24" s="354">
        <v>15748</v>
      </c>
      <c r="AO24" s="356">
        <f>'8. Invivo'!G21+'8. Invivo'!H21+'8. Invivo'!I21</f>
        <v>0</v>
      </c>
      <c r="AP24" s="354">
        <v>15748</v>
      </c>
      <c r="AQ24" s="356">
        <f>'8. Invivo'!J21+'8. Invivo'!K21+'8. Invivo'!L21</f>
        <v>0</v>
      </c>
      <c r="AR24" s="355">
        <f t="shared" si="13"/>
        <v>62992</v>
      </c>
      <c r="AS24" s="356">
        <f t="shared" si="14"/>
        <v>28704.489999999998</v>
      </c>
      <c r="AT24" s="442">
        <f t="shared" si="5"/>
        <v>34287.51</v>
      </c>
      <c r="AU24" s="354">
        <v>20998</v>
      </c>
      <c r="AV24" s="356">
        <f>'8. Invivo'!A26+'8. Invivo'!B26+'8. Invivo'!C26</f>
        <v>0</v>
      </c>
      <c r="AW24" s="354"/>
      <c r="AX24" s="356">
        <f>'8. Invivo'!D26+'8. Invivo'!E26+'8. Invivo'!F26</f>
        <v>0</v>
      </c>
      <c r="AY24" s="354"/>
      <c r="AZ24" s="356">
        <f>'8. Invivo'!G26+'8. Invivo'!H26+'8. Invivo'!I26</f>
        <v>0</v>
      </c>
      <c r="BA24" s="354"/>
      <c r="BB24" s="356">
        <f>'8. Invivo'!J26+'8. Invivo'!K26+'8. Invivo'!L26</f>
        <v>0</v>
      </c>
      <c r="BC24" s="355">
        <f>AU24+AW24+AY24+BA24</f>
        <v>20998</v>
      </c>
      <c r="BD24" s="356">
        <f t="shared" si="16"/>
        <v>0</v>
      </c>
      <c r="BE24" s="442">
        <f t="shared" si="6"/>
        <v>20998</v>
      </c>
    </row>
    <row r="25" spans="1:57" s="363" customFormat="1" ht="13.2">
      <c r="A25" s="378" t="s">
        <v>12</v>
      </c>
      <c r="B25" s="358" t="s">
        <v>38</v>
      </c>
      <c r="C25" s="352"/>
      <c r="D25" s="356"/>
      <c r="E25" s="354"/>
      <c r="F25" s="356"/>
      <c r="G25" s="354"/>
      <c r="H25" s="356"/>
      <c r="I25" s="354"/>
      <c r="J25" s="356"/>
      <c r="K25" s="355">
        <f t="shared" si="0"/>
        <v>0</v>
      </c>
      <c r="L25" s="356">
        <f t="shared" si="0"/>
        <v>0</v>
      </c>
      <c r="M25" s="442">
        <f t="shared" si="7"/>
        <v>0</v>
      </c>
      <c r="N25" s="352"/>
      <c r="O25" s="356"/>
      <c r="P25" s="354"/>
      <c r="Q25" s="356"/>
      <c r="R25" s="354"/>
      <c r="S25" s="356"/>
      <c r="T25" s="354"/>
      <c r="U25" s="356"/>
      <c r="V25" s="355">
        <f t="shared" si="10"/>
        <v>0</v>
      </c>
      <c r="W25" s="356">
        <f t="shared" si="1"/>
        <v>0</v>
      </c>
      <c r="X25" s="442">
        <f t="shared" si="8"/>
        <v>0</v>
      </c>
      <c r="Y25" s="354"/>
      <c r="Z25" s="356">
        <f>'9. Labconnect'!A16+'9. Labconnect'!B16+'9. Labconnect'!C16</f>
        <v>0</v>
      </c>
      <c r="AA25" s="354"/>
      <c r="AB25" s="356">
        <f>'9. Labconnect'!D16+'9. Labconnect'!E16+'9. Labconnect'!F16</f>
        <v>0</v>
      </c>
      <c r="AC25" s="354"/>
      <c r="AD25" s="356">
        <f>'9. Labconnect'!G16+'9. Labconnect'!H16+'9. Labconnect'!I16</f>
        <v>45130</v>
      </c>
      <c r="AE25" s="354">
        <v>5413</v>
      </c>
      <c r="AF25" s="356">
        <f>'9. Labconnect'!J16+'9. Labconnect'!K16+'9. Labconnect'!L16</f>
        <v>832.23</v>
      </c>
      <c r="AG25" s="355">
        <f t="shared" si="11"/>
        <v>5413</v>
      </c>
      <c r="AH25" s="356">
        <f t="shared" si="12"/>
        <v>45962.23</v>
      </c>
      <c r="AI25" s="442">
        <f t="shared" si="9"/>
        <v>-40549.230000000003</v>
      </c>
      <c r="AJ25" s="354">
        <v>8120</v>
      </c>
      <c r="AK25" s="356">
        <f>'9. Labconnect'!A21+'9. Labconnect'!B21+'9. Labconnect'!C21</f>
        <v>0</v>
      </c>
      <c r="AL25" s="354">
        <v>8120</v>
      </c>
      <c r="AM25" s="356">
        <f>'9. Labconnect'!D21+'9. Labconnect'!E21+'9. Labconnect'!F21</f>
        <v>0</v>
      </c>
      <c r="AN25" s="354">
        <v>8120</v>
      </c>
      <c r="AO25" s="356">
        <f>'9. Labconnect'!G21+'9. Labconnect'!H21+'9. Labconnect'!I21</f>
        <v>0</v>
      </c>
      <c r="AP25" s="354">
        <v>8120</v>
      </c>
      <c r="AQ25" s="356">
        <f>'9. Labconnect'!J21+'9. Labconnect'!K21+'9. Labconnect'!L21</f>
        <v>0</v>
      </c>
      <c r="AR25" s="355">
        <f t="shared" si="13"/>
        <v>32480</v>
      </c>
      <c r="AS25" s="356">
        <f t="shared" si="14"/>
        <v>0</v>
      </c>
      <c r="AT25" s="442">
        <f t="shared" si="5"/>
        <v>32480</v>
      </c>
      <c r="AU25" s="354">
        <v>10826</v>
      </c>
      <c r="AV25" s="356">
        <f>'9. Labconnect'!A26+'9. Labconnect'!B26+'9. Labconnect'!C26</f>
        <v>0</v>
      </c>
      <c r="AW25" s="354"/>
      <c r="AX25" s="356">
        <f>'9. Labconnect'!D26+'9. Labconnect'!E26+'9. Labconnect'!F26</f>
        <v>0</v>
      </c>
      <c r="AY25" s="354"/>
      <c r="AZ25" s="356">
        <f>'9. Labconnect'!G26+'9. Labconnect'!H26+'9. Labconnect'!I26</f>
        <v>0</v>
      </c>
      <c r="BA25" s="354"/>
      <c r="BB25" s="356">
        <f>'9. Labconnect'!J26+'9. Labconnect'!K26+'9. Labconnect'!L26</f>
        <v>0</v>
      </c>
      <c r="BC25" s="355">
        <f>AU25+AW25+AY25+BA25</f>
        <v>10826</v>
      </c>
      <c r="BD25" s="356">
        <f t="shared" si="16"/>
        <v>0</v>
      </c>
      <c r="BE25" s="442">
        <f t="shared" si="6"/>
        <v>10826</v>
      </c>
    </row>
    <row r="26" spans="1:57" s="363" customFormat="1" ht="13.2">
      <c r="A26" s="378" t="s">
        <v>13</v>
      </c>
      <c r="B26" s="358" t="s">
        <v>40</v>
      </c>
      <c r="C26" s="364"/>
      <c r="D26" s="360">
        <f>'10. AIMS'!A16+'10. AIMS'!B16+'10. AIMS'!C16</f>
        <v>0</v>
      </c>
      <c r="E26" s="361"/>
      <c r="F26" s="360">
        <f>'10. AIMS'!D16+'10. AIMS'!E16+'10. AIMS'!F16</f>
        <v>0</v>
      </c>
      <c r="G26" s="361"/>
      <c r="H26" s="360">
        <f>'10. AIMS'!G16+'10. AIMS'!H16+'10. AIMS'!I16</f>
        <v>0</v>
      </c>
      <c r="I26" s="361"/>
      <c r="J26" s="360">
        <f>'10. AIMS'!J16+'10. AIMS'!K16+'10. AIMS'!L16</f>
        <v>23650000</v>
      </c>
      <c r="K26" s="362">
        <f t="shared" si="0"/>
        <v>0</v>
      </c>
      <c r="L26" s="360">
        <f t="shared" si="0"/>
        <v>23650000</v>
      </c>
      <c r="M26" s="440">
        <f t="shared" si="7"/>
        <v>-23650000</v>
      </c>
      <c r="N26" s="364"/>
      <c r="O26" s="360">
        <f>'10. AIMS'!A20+'10. AIMS'!B20+'10. AIMS'!C20</f>
        <v>0</v>
      </c>
      <c r="P26" s="361"/>
      <c r="Q26" s="360">
        <f>'10. AIMS'!D20+'10. AIMS'!E20+'10. AIMS'!F20</f>
        <v>0</v>
      </c>
      <c r="R26" s="361"/>
      <c r="S26" s="360">
        <f>'10. AIMS'!G20+'10. AIMS'!H20+'10. AIMS'!I20</f>
        <v>53399500</v>
      </c>
      <c r="T26" s="361"/>
      <c r="U26" s="360">
        <f>'10. AIMS'!J20+'10. AIMS'!K20+'10. AIMS'!L20</f>
        <v>46695000</v>
      </c>
      <c r="V26" s="362">
        <f t="shared" si="10"/>
        <v>0</v>
      </c>
      <c r="W26" s="360">
        <f t="shared" si="1"/>
        <v>100094500</v>
      </c>
      <c r="X26" s="440">
        <f t="shared" si="8"/>
        <v>-100094500</v>
      </c>
      <c r="Y26" s="361"/>
      <c r="Z26" s="360">
        <f>'10. AIMS'!A24+'10. AIMS'!B24+'10. AIMS'!C24</f>
        <v>50160000</v>
      </c>
      <c r="AA26" s="361"/>
      <c r="AB26" s="360">
        <f>'10. AIMS'!D24+'10. AIMS'!E24+'10. AIMS'!F24</f>
        <v>23650000</v>
      </c>
      <c r="AC26" s="361"/>
      <c r="AD26" s="360">
        <f>'10. AIMS'!G24+'10. AIMS'!H24+'10. AIMS'!I24</f>
        <v>0</v>
      </c>
      <c r="AE26" s="361"/>
      <c r="AF26" s="360">
        <f>'10. AIMS'!J24+'10. AIMS'!K24+'10. AIMS'!L24</f>
        <v>44067100</v>
      </c>
      <c r="AG26" s="362">
        <f t="shared" si="11"/>
        <v>0</v>
      </c>
      <c r="AH26" s="360">
        <f t="shared" si="12"/>
        <v>117877100</v>
      </c>
      <c r="AI26" s="440">
        <f t="shared" si="9"/>
        <v>-117877100</v>
      </c>
      <c r="AJ26" s="361">
        <v>33000000</v>
      </c>
      <c r="AK26" s="360">
        <f>'10. AIMS'!A28+'10. AIMS'!B28+'10. AIMS'!C28</f>
        <v>8976000</v>
      </c>
      <c r="AL26" s="361"/>
      <c r="AM26" s="360">
        <f>'10. AIMS'!D28+'10. AIMS'!E28+'10. AIMS'!F28</f>
        <v>0</v>
      </c>
      <c r="AN26" s="361">
        <v>9075000</v>
      </c>
      <c r="AO26" s="360">
        <f>'10. AIMS'!G28+'10. AIMS'!H28+'10. AIMS'!I28</f>
        <v>0</v>
      </c>
      <c r="AP26" s="361"/>
      <c r="AQ26" s="360">
        <f>'10. AIMS'!J28+'10. AIMS'!K28+'10. AIMS'!L28</f>
        <v>0</v>
      </c>
      <c r="AR26" s="362">
        <f t="shared" si="13"/>
        <v>42075000</v>
      </c>
      <c r="AS26" s="360">
        <f t="shared" si="14"/>
        <v>8976000</v>
      </c>
      <c r="AT26" s="440">
        <f t="shared" si="5"/>
        <v>33099000</v>
      </c>
      <c r="AU26" s="361">
        <v>12500000</v>
      </c>
      <c r="AV26" s="360">
        <f>'10. AIMS'!A32+'10. AIMS'!B32+'10. AIMS'!C32</f>
        <v>0</v>
      </c>
      <c r="AW26" s="361">
        <v>12500000</v>
      </c>
      <c r="AX26" s="360">
        <f>'10. AIMS'!D32+'10. AIMS'!E32+'10. AIMS'!F32</f>
        <v>0</v>
      </c>
      <c r="AY26" s="361">
        <v>12500000</v>
      </c>
      <c r="AZ26" s="360">
        <f>'10. AIMS'!G32+'10. AIMS'!H32+'10. AIMS'!I32</f>
        <v>0</v>
      </c>
      <c r="BA26" s="361">
        <v>12500000</v>
      </c>
      <c r="BB26" s="360">
        <f>'10. AIMS'!J32+'10. AIMS'!K32+'10. AIMS'!L32</f>
        <v>0</v>
      </c>
      <c r="BC26" s="362">
        <f t="shared" si="15"/>
        <v>50000000</v>
      </c>
      <c r="BD26" s="360">
        <f t="shared" si="16"/>
        <v>0</v>
      </c>
      <c r="BE26" s="440">
        <f t="shared" si="6"/>
        <v>50000000</v>
      </c>
    </row>
    <row r="27" spans="1:57" s="363" customFormat="1" ht="13.2">
      <c r="A27" s="378"/>
      <c r="B27" s="358"/>
      <c r="C27" s="364"/>
      <c r="D27" s="360"/>
      <c r="E27" s="361"/>
      <c r="F27" s="360"/>
      <c r="G27" s="361"/>
      <c r="H27" s="360"/>
      <c r="I27" s="361"/>
      <c r="J27" s="360"/>
      <c r="K27" s="362"/>
      <c r="L27" s="360"/>
      <c r="M27" s="439"/>
      <c r="N27" s="364"/>
      <c r="O27" s="360"/>
      <c r="P27" s="361"/>
      <c r="Q27" s="360"/>
      <c r="R27" s="361"/>
      <c r="S27" s="360"/>
      <c r="T27" s="361"/>
      <c r="U27" s="360"/>
      <c r="V27" s="362"/>
      <c r="W27" s="360"/>
      <c r="X27" s="439"/>
      <c r="Y27" s="361"/>
      <c r="Z27" s="360"/>
      <c r="AA27" s="361"/>
      <c r="AB27" s="360"/>
      <c r="AC27" s="361"/>
      <c r="AD27" s="360"/>
      <c r="AE27" s="361"/>
      <c r="AF27" s="360"/>
      <c r="AG27" s="362"/>
      <c r="AH27" s="360"/>
      <c r="AI27" s="439"/>
      <c r="AJ27" s="361"/>
      <c r="AK27" s="360"/>
      <c r="AL27" s="361"/>
      <c r="AM27" s="360"/>
      <c r="AN27" s="361"/>
      <c r="AO27" s="360"/>
      <c r="AP27" s="361"/>
      <c r="AQ27" s="360"/>
      <c r="AR27" s="362"/>
      <c r="AS27" s="360"/>
      <c r="AT27" s="439"/>
      <c r="AU27" s="361"/>
      <c r="AV27" s="360"/>
      <c r="AW27" s="361"/>
      <c r="AX27" s="360"/>
      <c r="AY27" s="361"/>
      <c r="AZ27" s="360"/>
      <c r="BA27" s="361"/>
      <c r="BB27" s="360"/>
      <c r="BC27" s="362"/>
      <c r="BD27" s="360"/>
      <c r="BE27" s="439"/>
    </row>
    <row r="28" spans="1:57" s="363" customFormat="1" ht="13.2">
      <c r="A28" s="378"/>
      <c r="B28" s="358"/>
      <c r="C28" s="364"/>
      <c r="D28" s="360"/>
      <c r="E28" s="361"/>
      <c r="F28" s="360"/>
      <c r="G28" s="361"/>
      <c r="H28" s="360"/>
      <c r="I28" s="361"/>
      <c r="J28" s="360"/>
      <c r="K28" s="362"/>
      <c r="L28" s="360"/>
      <c r="M28" s="439"/>
      <c r="N28" s="364"/>
      <c r="O28" s="360"/>
      <c r="P28" s="361"/>
      <c r="Q28" s="360"/>
      <c r="R28" s="361"/>
      <c r="S28" s="360"/>
      <c r="T28" s="361"/>
      <c r="U28" s="360"/>
      <c r="V28" s="362"/>
      <c r="W28" s="360"/>
      <c r="X28" s="439"/>
      <c r="Y28" s="361"/>
      <c r="Z28" s="360"/>
      <c r="AA28" s="361"/>
      <c r="AB28" s="360"/>
      <c r="AC28" s="361"/>
      <c r="AD28" s="360"/>
      <c r="AE28" s="361"/>
      <c r="AF28" s="360"/>
      <c r="AG28" s="362"/>
      <c r="AH28" s="360"/>
      <c r="AI28" s="439"/>
      <c r="AJ28" s="361"/>
      <c r="AK28" s="360"/>
      <c r="AL28" s="361"/>
      <c r="AM28" s="360"/>
      <c r="AN28" s="361"/>
      <c r="AO28" s="360"/>
      <c r="AP28" s="361"/>
      <c r="AQ28" s="360"/>
      <c r="AR28" s="362"/>
      <c r="AS28" s="360"/>
      <c r="AT28" s="439"/>
      <c r="AU28" s="361"/>
      <c r="AV28" s="360"/>
      <c r="AW28" s="361"/>
      <c r="AX28" s="360"/>
      <c r="AY28" s="361"/>
      <c r="AZ28" s="360"/>
      <c r="BA28" s="361"/>
      <c r="BB28" s="360"/>
      <c r="BC28" s="362"/>
      <c r="BD28" s="360"/>
      <c r="BE28" s="439"/>
    </row>
    <row r="29" spans="1:57" s="363" customFormat="1" ht="13.2">
      <c r="A29" s="378"/>
      <c r="B29" s="358"/>
      <c r="C29" s="364"/>
      <c r="D29" s="360"/>
      <c r="E29" s="361"/>
      <c r="F29" s="360"/>
      <c r="G29" s="361"/>
      <c r="H29" s="360"/>
      <c r="I29" s="361"/>
      <c r="J29" s="360"/>
      <c r="K29" s="362"/>
      <c r="L29" s="360"/>
      <c r="M29" s="439"/>
      <c r="N29" s="364"/>
      <c r="O29" s="360"/>
      <c r="P29" s="361"/>
      <c r="Q29" s="360"/>
      <c r="R29" s="361"/>
      <c r="S29" s="360"/>
      <c r="T29" s="361"/>
      <c r="U29" s="360"/>
      <c r="V29" s="362"/>
      <c r="W29" s="360"/>
      <c r="X29" s="439"/>
      <c r="Y29" s="361"/>
      <c r="Z29" s="360"/>
      <c r="AA29" s="361"/>
      <c r="AB29" s="360"/>
      <c r="AC29" s="361"/>
      <c r="AD29" s="360"/>
      <c r="AE29" s="361"/>
      <c r="AF29" s="360"/>
      <c r="AG29" s="362"/>
      <c r="AH29" s="360"/>
      <c r="AI29" s="439"/>
      <c r="AJ29" s="361"/>
      <c r="AK29" s="360"/>
      <c r="AL29" s="361"/>
      <c r="AM29" s="360"/>
      <c r="AN29" s="361"/>
      <c r="AO29" s="360"/>
      <c r="AP29" s="361"/>
      <c r="AQ29" s="360"/>
      <c r="AR29" s="362"/>
      <c r="AS29" s="360"/>
      <c r="AT29" s="439"/>
      <c r="AU29" s="361"/>
      <c r="AV29" s="360"/>
      <c r="AW29" s="361"/>
      <c r="AX29" s="360"/>
      <c r="AY29" s="361"/>
      <c r="AZ29" s="360"/>
      <c r="BA29" s="361"/>
      <c r="BB29" s="360"/>
      <c r="BC29" s="362"/>
      <c r="BD29" s="360"/>
      <c r="BE29" s="439"/>
    </row>
    <row r="30" spans="1:57" s="367" customFormat="1" ht="13.2">
      <c r="A30" s="365" t="s">
        <v>42</v>
      </c>
      <c r="B30" s="365" t="s">
        <v>40</v>
      </c>
      <c r="C30" s="366">
        <f>SUMIF($B$17:$B$29,$B30,C$17:C$29)</f>
        <v>0</v>
      </c>
      <c r="D30" s="446">
        <f>SUMIF($B$17:$B$29,$B30,D$17:D$29)</f>
        <v>0</v>
      </c>
      <c r="E30" s="366">
        <f>SUMIF($B$17:$B$29,$B30,E$17:E$29)</f>
        <v>0</v>
      </c>
      <c r="F30" s="446">
        <f>SUMIF($B$17:$B$29,$B30,F$17:F$29)</f>
        <v>6832940</v>
      </c>
      <c r="G30" s="366">
        <f>SUMIF($B$17:$B$29,$B30,G$17:G$29)</f>
        <v>0</v>
      </c>
      <c r="H30" s="446">
        <f t="shared" ref="H30:BE32" si="17">SUMIF($B$17:$B$29,$B30,H$17:H$29)</f>
        <v>42000</v>
      </c>
      <c r="I30" s="366">
        <f t="shared" si="17"/>
        <v>0</v>
      </c>
      <c r="J30" s="446">
        <f t="shared" si="17"/>
        <v>23650000</v>
      </c>
      <c r="K30" s="366">
        <f>SUMIF($B$17:$B$29,$B30,K$17:K$29)</f>
        <v>0</v>
      </c>
      <c r="L30" s="446">
        <f t="shared" si="17"/>
        <v>30524940</v>
      </c>
      <c r="M30" s="441">
        <f t="shared" si="17"/>
        <v>-30524940</v>
      </c>
      <c r="N30" s="366">
        <f t="shared" si="17"/>
        <v>0</v>
      </c>
      <c r="O30" s="446">
        <f t="shared" si="17"/>
        <v>0</v>
      </c>
      <c r="P30" s="366">
        <f t="shared" si="17"/>
        <v>0</v>
      </c>
      <c r="Q30" s="446">
        <f t="shared" si="17"/>
        <v>29201942</v>
      </c>
      <c r="R30" s="366">
        <f t="shared" si="17"/>
        <v>0</v>
      </c>
      <c r="S30" s="446">
        <f t="shared" si="17"/>
        <v>53399500</v>
      </c>
      <c r="T30" s="366">
        <f t="shared" si="17"/>
        <v>0</v>
      </c>
      <c r="U30" s="446">
        <f t="shared" si="17"/>
        <v>57365790</v>
      </c>
      <c r="V30" s="366">
        <f t="shared" si="17"/>
        <v>0</v>
      </c>
      <c r="W30" s="446">
        <f t="shared" si="17"/>
        <v>139967232</v>
      </c>
      <c r="X30" s="441">
        <f t="shared" si="17"/>
        <v>-139967232</v>
      </c>
      <c r="Y30" s="366">
        <f t="shared" si="17"/>
        <v>0</v>
      </c>
      <c r="Z30" s="446">
        <f t="shared" si="17"/>
        <v>50160000</v>
      </c>
      <c r="AA30" s="366">
        <f t="shared" si="17"/>
        <v>0</v>
      </c>
      <c r="AB30" s="446">
        <f t="shared" si="17"/>
        <v>40782881</v>
      </c>
      <c r="AC30" s="366">
        <f t="shared" si="17"/>
        <v>0</v>
      </c>
      <c r="AD30" s="446">
        <f t="shared" si="17"/>
        <v>44633202</v>
      </c>
      <c r="AE30" s="366">
        <f t="shared" si="17"/>
        <v>36600000</v>
      </c>
      <c r="AF30" s="446">
        <f t="shared" si="17"/>
        <v>137514763</v>
      </c>
      <c r="AG30" s="366">
        <f t="shared" si="17"/>
        <v>36600000</v>
      </c>
      <c r="AH30" s="446">
        <f t="shared" si="17"/>
        <v>262787236</v>
      </c>
      <c r="AI30" s="441">
        <f t="shared" si="17"/>
        <v>-226187236</v>
      </c>
      <c r="AJ30" s="366">
        <f t="shared" si="17"/>
        <v>66777000</v>
      </c>
      <c r="AK30" s="446">
        <f t="shared" si="17"/>
        <v>8976000</v>
      </c>
      <c r="AL30" s="366">
        <f t="shared" si="17"/>
        <v>59577000</v>
      </c>
      <c r="AM30" s="446">
        <f t="shared" si="17"/>
        <v>0</v>
      </c>
      <c r="AN30" s="366">
        <f t="shared" si="17"/>
        <v>52452000</v>
      </c>
      <c r="AO30" s="446">
        <f t="shared" si="17"/>
        <v>0</v>
      </c>
      <c r="AP30" s="366">
        <f t="shared" si="17"/>
        <v>28377000</v>
      </c>
      <c r="AQ30" s="446">
        <f t="shared" si="17"/>
        <v>0</v>
      </c>
      <c r="AR30" s="366">
        <f t="shared" si="17"/>
        <v>207183000</v>
      </c>
      <c r="AS30" s="446">
        <f t="shared" si="17"/>
        <v>8976000</v>
      </c>
      <c r="AT30" s="441">
        <f t="shared" si="17"/>
        <v>198207000</v>
      </c>
      <c r="AU30" s="366">
        <f t="shared" si="17"/>
        <v>47654000</v>
      </c>
      <c r="AV30" s="446">
        <f t="shared" si="17"/>
        <v>0</v>
      </c>
      <c r="AW30" s="366">
        <f t="shared" si="17"/>
        <v>51200000</v>
      </c>
      <c r="AX30" s="446">
        <f t="shared" si="17"/>
        <v>0</v>
      </c>
      <c r="AY30" s="366">
        <f t="shared" si="17"/>
        <v>12500000</v>
      </c>
      <c r="AZ30" s="446">
        <f t="shared" si="17"/>
        <v>0</v>
      </c>
      <c r="BA30" s="366">
        <f t="shared" si="17"/>
        <v>12500000</v>
      </c>
      <c r="BB30" s="446">
        <f t="shared" si="17"/>
        <v>0</v>
      </c>
      <c r="BC30" s="366">
        <f t="shared" si="17"/>
        <v>123854000</v>
      </c>
      <c r="BD30" s="446">
        <f t="shared" si="17"/>
        <v>0</v>
      </c>
      <c r="BE30" s="441">
        <f t="shared" si="17"/>
        <v>123854000</v>
      </c>
    </row>
    <row r="31" spans="1:57" s="370" customFormat="1" ht="13.2">
      <c r="A31" s="368" t="s">
        <v>43</v>
      </c>
      <c r="B31" s="368" t="s">
        <v>38</v>
      </c>
      <c r="C31" s="369">
        <f>SUMIF($B$17:$B$29,$B31,C$17:C$29)</f>
        <v>0</v>
      </c>
      <c r="D31" s="447">
        <f t="shared" ref="D31:G32" si="18">SUMIF($B$17:$B$29,$B31,D$17:D$29)</f>
        <v>12267</v>
      </c>
      <c r="E31" s="369">
        <f t="shared" si="18"/>
        <v>0</v>
      </c>
      <c r="F31" s="447">
        <f t="shared" si="18"/>
        <v>16333.47</v>
      </c>
      <c r="G31" s="369">
        <f t="shared" si="18"/>
        <v>0</v>
      </c>
      <c r="H31" s="447">
        <f t="shared" si="17"/>
        <v>46052.33</v>
      </c>
      <c r="I31" s="369">
        <f t="shared" si="17"/>
        <v>0</v>
      </c>
      <c r="J31" s="447">
        <f t="shared" si="17"/>
        <v>20282.860000000004</v>
      </c>
      <c r="K31" s="369">
        <f t="shared" si="17"/>
        <v>0</v>
      </c>
      <c r="L31" s="447">
        <f t="shared" si="17"/>
        <v>94935.66</v>
      </c>
      <c r="M31" s="443">
        <f t="shared" si="17"/>
        <v>-94935.66</v>
      </c>
      <c r="N31" s="369">
        <f t="shared" si="17"/>
        <v>0</v>
      </c>
      <c r="O31" s="447">
        <f t="shared" si="17"/>
        <v>7522.83</v>
      </c>
      <c r="P31" s="369">
        <f t="shared" si="17"/>
        <v>0</v>
      </c>
      <c r="Q31" s="447">
        <f t="shared" si="17"/>
        <v>49874.570000000007</v>
      </c>
      <c r="R31" s="369">
        <f t="shared" si="17"/>
        <v>0</v>
      </c>
      <c r="S31" s="447">
        <f t="shared" si="17"/>
        <v>338821.61</v>
      </c>
      <c r="T31" s="369">
        <f t="shared" si="17"/>
        <v>0</v>
      </c>
      <c r="U31" s="447">
        <f t="shared" si="17"/>
        <v>2804100.4400000004</v>
      </c>
      <c r="V31" s="369">
        <f t="shared" si="17"/>
        <v>0</v>
      </c>
      <c r="W31" s="447">
        <f t="shared" si="17"/>
        <v>3200319.45</v>
      </c>
      <c r="X31" s="443">
        <f t="shared" si="17"/>
        <v>-3200319.45</v>
      </c>
      <c r="Y31" s="369">
        <f t="shared" si="17"/>
        <v>0</v>
      </c>
      <c r="Z31" s="447">
        <f t="shared" si="17"/>
        <v>60120</v>
      </c>
      <c r="AA31" s="369">
        <f t="shared" si="17"/>
        <v>0</v>
      </c>
      <c r="AB31" s="447">
        <f t="shared" si="17"/>
        <v>725070.65</v>
      </c>
      <c r="AC31" s="369">
        <f t="shared" si="17"/>
        <v>0</v>
      </c>
      <c r="AD31" s="447">
        <f t="shared" si="17"/>
        <v>1141799.58</v>
      </c>
      <c r="AE31" s="369">
        <f t="shared" si="17"/>
        <v>1153266</v>
      </c>
      <c r="AF31" s="447">
        <f t="shared" si="17"/>
        <v>2453159.6700000004</v>
      </c>
      <c r="AG31" s="369">
        <f t="shared" si="17"/>
        <v>1153266</v>
      </c>
      <c r="AH31" s="447">
        <f t="shared" si="17"/>
        <v>4380149.9000000004</v>
      </c>
      <c r="AI31" s="443">
        <f t="shared" si="17"/>
        <v>-3226883.9000000004</v>
      </c>
      <c r="AJ31" s="369">
        <f t="shared" si="17"/>
        <v>1618075</v>
      </c>
      <c r="AK31" s="447">
        <f t="shared" si="17"/>
        <v>1318790.8899999999</v>
      </c>
      <c r="AL31" s="369">
        <f t="shared" si="17"/>
        <v>914564</v>
      </c>
      <c r="AM31" s="447">
        <f t="shared" si="17"/>
        <v>1446759.1199999999</v>
      </c>
      <c r="AN31" s="369">
        <f t="shared" si="17"/>
        <v>839083</v>
      </c>
      <c r="AO31" s="447">
        <f t="shared" si="17"/>
        <v>134077.91999999998</v>
      </c>
      <c r="AP31" s="369">
        <f t="shared" si="17"/>
        <v>688615</v>
      </c>
      <c r="AQ31" s="447">
        <f t="shared" si="17"/>
        <v>0</v>
      </c>
      <c r="AR31" s="369">
        <f t="shared" si="17"/>
        <v>4060337</v>
      </c>
      <c r="AS31" s="447">
        <f t="shared" si="17"/>
        <v>2899627.9299999997</v>
      </c>
      <c r="AT31" s="443">
        <f t="shared" si="17"/>
        <v>1160709.0700000005</v>
      </c>
      <c r="AU31" s="369">
        <f t="shared" si="17"/>
        <v>644154</v>
      </c>
      <c r="AV31" s="447">
        <f t="shared" si="17"/>
        <v>0</v>
      </c>
      <c r="AW31" s="369">
        <f t="shared" si="17"/>
        <v>262686</v>
      </c>
      <c r="AX31" s="447">
        <f t="shared" si="17"/>
        <v>0</v>
      </c>
      <c r="AY31" s="369">
        <f t="shared" si="17"/>
        <v>262087</v>
      </c>
      <c r="AZ31" s="447">
        <f t="shared" si="17"/>
        <v>0</v>
      </c>
      <c r="BA31" s="369">
        <f t="shared" si="17"/>
        <v>0</v>
      </c>
      <c r="BB31" s="447">
        <f t="shared" si="17"/>
        <v>0</v>
      </c>
      <c r="BC31" s="369">
        <f t="shared" si="17"/>
        <v>1168927</v>
      </c>
      <c r="BD31" s="447">
        <f t="shared" si="17"/>
        <v>0</v>
      </c>
      <c r="BE31" s="443">
        <f t="shared" si="17"/>
        <v>1168927</v>
      </c>
    </row>
    <row r="32" spans="1:57" s="370" customFormat="1" ht="13.2">
      <c r="A32" s="368" t="s">
        <v>44</v>
      </c>
      <c r="B32" s="368" t="s">
        <v>41</v>
      </c>
      <c r="C32" s="433">
        <f>SUMIF($B$17:$B$29,$B32,C$17:C$29)</f>
        <v>0</v>
      </c>
      <c r="D32" s="448">
        <f t="shared" si="18"/>
        <v>67333.98</v>
      </c>
      <c r="E32" s="433">
        <f t="shared" si="18"/>
        <v>0</v>
      </c>
      <c r="F32" s="448">
        <f t="shared" si="18"/>
        <v>0</v>
      </c>
      <c r="G32" s="433">
        <f t="shared" si="18"/>
        <v>0</v>
      </c>
      <c r="H32" s="448">
        <f t="shared" si="17"/>
        <v>1968</v>
      </c>
      <c r="I32" s="433">
        <f t="shared" si="17"/>
        <v>0</v>
      </c>
      <c r="J32" s="448">
        <f t="shared" si="17"/>
        <v>0</v>
      </c>
      <c r="K32" s="433">
        <f t="shared" si="17"/>
        <v>0</v>
      </c>
      <c r="L32" s="448">
        <f t="shared" si="17"/>
        <v>69301.98</v>
      </c>
      <c r="M32" s="445">
        <f t="shared" si="17"/>
        <v>-69301.98</v>
      </c>
      <c r="N32" s="433">
        <f t="shared" si="17"/>
        <v>0</v>
      </c>
      <c r="O32" s="448">
        <f t="shared" si="17"/>
        <v>0</v>
      </c>
      <c r="P32" s="433">
        <f t="shared" si="17"/>
        <v>0</v>
      </c>
      <c r="Q32" s="448">
        <f t="shared" si="17"/>
        <v>0</v>
      </c>
      <c r="R32" s="433">
        <f t="shared" si="17"/>
        <v>0</v>
      </c>
      <c r="S32" s="448">
        <f t="shared" si="17"/>
        <v>0</v>
      </c>
      <c r="T32" s="433">
        <f t="shared" si="17"/>
        <v>0</v>
      </c>
      <c r="U32" s="448">
        <f t="shared" si="17"/>
        <v>4750</v>
      </c>
      <c r="V32" s="433">
        <f t="shared" si="17"/>
        <v>0</v>
      </c>
      <c r="W32" s="448">
        <f t="shared" si="17"/>
        <v>4750</v>
      </c>
      <c r="X32" s="445">
        <f t="shared" si="17"/>
        <v>-4750</v>
      </c>
      <c r="Y32" s="433">
        <f t="shared" si="17"/>
        <v>0</v>
      </c>
      <c r="Z32" s="448">
        <f t="shared" si="17"/>
        <v>6213.6</v>
      </c>
      <c r="AA32" s="433">
        <f t="shared" si="17"/>
        <v>0</v>
      </c>
      <c r="AB32" s="448">
        <f t="shared" si="17"/>
        <v>70413.600000000006</v>
      </c>
      <c r="AC32" s="433">
        <f t="shared" si="17"/>
        <v>0</v>
      </c>
      <c r="AD32" s="448">
        <f t="shared" si="17"/>
        <v>0</v>
      </c>
      <c r="AE32" s="433">
        <f t="shared" si="17"/>
        <v>0</v>
      </c>
      <c r="AF32" s="448">
        <f t="shared" si="17"/>
        <v>0</v>
      </c>
      <c r="AG32" s="433">
        <f t="shared" si="17"/>
        <v>0</v>
      </c>
      <c r="AH32" s="448">
        <f t="shared" si="17"/>
        <v>76627.200000000012</v>
      </c>
      <c r="AI32" s="445">
        <f t="shared" si="17"/>
        <v>-76627.200000000012</v>
      </c>
      <c r="AJ32" s="433">
        <f t="shared" si="17"/>
        <v>50182</v>
      </c>
      <c r="AK32" s="448">
        <f t="shared" si="17"/>
        <v>0</v>
      </c>
      <c r="AL32" s="433">
        <f t="shared" si="17"/>
        <v>50182</v>
      </c>
      <c r="AM32" s="448">
        <f t="shared" si="17"/>
        <v>10116</v>
      </c>
      <c r="AN32" s="433">
        <f t="shared" si="17"/>
        <v>50182</v>
      </c>
      <c r="AO32" s="448">
        <f t="shared" si="17"/>
        <v>0</v>
      </c>
      <c r="AP32" s="433">
        <f t="shared" si="17"/>
        <v>50182</v>
      </c>
      <c r="AQ32" s="448">
        <f t="shared" si="17"/>
        <v>0</v>
      </c>
      <c r="AR32" s="433">
        <f t="shared" si="17"/>
        <v>200728</v>
      </c>
      <c r="AS32" s="448">
        <f t="shared" si="17"/>
        <v>10116</v>
      </c>
      <c r="AT32" s="445">
        <f t="shared" si="17"/>
        <v>190612</v>
      </c>
      <c r="AU32" s="433">
        <f t="shared" si="17"/>
        <v>50182</v>
      </c>
      <c r="AV32" s="448">
        <f t="shared" si="17"/>
        <v>0</v>
      </c>
      <c r="AW32" s="433">
        <f t="shared" si="17"/>
        <v>50182</v>
      </c>
      <c r="AX32" s="448">
        <f t="shared" si="17"/>
        <v>0</v>
      </c>
      <c r="AY32" s="433">
        <f t="shared" si="17"/>
        <v>50182</v>
      </c>
      <c r="AZ32" s="448">
        <f t="shared" si="17"/>
        <v>0</v>
      </c>
      <c r="BA32" s="433">
        <f t="shared" si="17"/>
        <v>50182</v>
      </c>
      <c r="BB32" s="448">
        <f t="shared" si="17"/>
        <v>0</v>
      </c>
      <c r="BC32" s="433">
        <f t="shared" si="17"/>
        <v>200728</v>
      </c>
      <c r="BD32" s="448">
        <f t="shared" si="17"/>
        <v>0</v>
      </c>
      <c r="BE32" s="445">
        <f t="shared" si="17"/>
        <v>200728</v>
      </c>
    </row>
  </sheetData>
  <mergeCells count="2">
    <mergeCell ref="A14:A16"/>
    <mergeCell ref="B14:B16"/>
  </mergeCells>
  <phoneticPr fontId="2" type="noConversion"/>
  <conditionalFormatting sqref="M17:M29">
    <cfRule type="cellIs" dxfId="4" priority="14" operator="lessThan">
      <formula>0</formula>
    </cfRule>
  </conditionalFormatting>
  <conditionalFormatting sqref="X17:X29">
    <cfRule type="cellIs" dxfId="3" priority="4" operator="lessThan">
      <formula>0</formula>
    </cfRule>
  </conditionalFormatting>
  <conditionalFormatting sqref="AI17:AI29">
    <cfRule type="cellIs" dxfId="2" priority="3" operator="lessThan">
      <formula>0</formula>
    </cfRule>
  </conditionalFormatting>
  <conditionalFormatting sqref="AT17:AT29">
    <cfRule type="cellIs" dxfId="1" priority="2" operator="lessThan">
      <formula>0</formula>
    </cfRule>
  </conditionalFormatting>
  <conditionalFormatting sqref="BE17:BE2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86F6-9FC1-4AFC-8D76-702DAA433476}">
  <sheetPr>
    <tabColor theme="6" tint="0.39997558519241921"/>
  </sheetPr>
  <dimension ref="A1:R86"/>
  <sheetViews>
    <sheetView topLeftCell="A13" workbookViewId="0">
      <selection activeCell="B8" sqref="B8"/>
    </sheetView>
  </sheetViews>
  <sheetFormatPr defaultColWidth="8.69921875" defaultRowHeight="13.2"/>
  <cols>
    <col min="1" max="1" width="32.69921875" style="6" customWidth="1"/>
    <col min="2" max="3" width="18.09765625" style="54" customWidth="1"/>
    <col min="4" max="4" width="27.19921875" style="6" customWidth="1"/>
    <col min="5" max="5" width="16" style="6" customWidth="1"/>
    <col min="6" max="6" width="15.69921875" style="6" customWidth="1"/>
    <col min="7" max="7" width="19" style="6" customWidth="1"/>
    <col min="8" max="8" width="14.19921875" style="6" bestFit="1" customWidth="1"/>
    <col min="9" max="9" width="11.69921875" style="6" customWidth="1"/>
    <col min="10" max="10" width="12.59765625" style="6" customWidth="1"/>
    <col min="11" max="11" width="13.69921875" style="6" customWidth="1"/>
    <col min="12" max="12" width="16.3984375" style="6" customWidth="1"/>
    <col min="13" max="16384" width="8.69921875" style="6"/>
  </cols>
  <sheetData>
    <row r="1" spans="1:18" ht="15.6">
      <c r="A1" s="47" t="s">
        <v>45</v>
      </c>
      <c r="B1" s="51"/>
      <c r="C1" s="51"/>
      <c r="D1" s="13"/>
      <c r="E1" s="48"/>
      <c r="F1" s="208" t="s">
        <v>46</v>
      </c>
      <c r="G1" s="54"/>
      <c r="H1" s="54"/>
    </row>
    <row r="2" spans="1:18">
      <c r="A2" s="16"/>
      <c r="B2" s="46" t="s">
        <v>47</v>
      </c>
      <c r="C2" s="46" t="s">
        <v>48</v>
      </c>
      <c r="D2" s="17" t="s">
        <v>49</v>
      </c>
      <c r="E2" s="46" t="s">
        <v>50</v>
      </c>
      <c r="G2" s="54"/>
      <c r="H2" s="54"/>
    </row>
    <row r="3" spans="1:18" ht="4.5" customHeight="1">
      <c r="A3" s="1"/>
      <c r="B3" s="52"/>
      <c r="C3" s="52"/>
      <c r="D3" s="49"/>
      <c r="E3" s="49"/>
      <c r="G3" s="54"/>
      <c r="H3" s="54"/>
    </row>
    <row r="4" spans="1:18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>
      <c r="A5" s="1"/>
      <c r="B5" s="52"/>
      <c r="C5" s="52"/>
      <c r="D5" s="123"/>
      <c r="G5" s="54"/>
      <c r="H5" s="54"/>
      <c r="Q5" s="55"/>
      <c r="R5" s="56"/>
    </row>
    <row r="6" spans="1:18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>
      <c r="A7" s="125" t="s">
        <v>52</v>
      </c>
      <c r="B7" s="58" t="s">
        <v>53</v>
      </c>
      <c r="C7" s="59" t="s">
        <v>26</v>
      </c>
      <c r="D7" s="123"/>
      <c r="G7" s="54"/>
      <c r="H7" s="54"/>
      <c r="Q7" s="55"/>
      <c r="R7" s="56"/>
    </row>
    <row r="8" spans="1:18">
      <c r="A8" s="124" t="s">
        <v>54</v>
      </c>
      <c r="B8" s="127">
        <v>15935420.470000001</v>
      </c>
      <c r="C8" s="129"/>
      <c r="D8" s="123"/>
      <c r="G8" s="54"/>
      <c r="H8" s="54"/>
      <c r="Q8" s="55"/>
      <c r="R8" s="56"/>
    </row>
    <row r="9" spans="1:18">
      <c r="A9" s="131" t="s">
        <v>24</v>
      </c>
      <c r="B9" s="132">
        <f>'1-1. Direct'!B9+'1-2. PTC'!B10</f>
        <v>7387992.209999999</v>
      </c>
      <c r="C9" s="133">
        <f>B9/B8</f>
        <v>0.46362078891539904</v>
      </c>
      <c r="D9" s="123"/>
      <c r="G9" s="54"/>
      <c r="H9" s="54"/>
      <c r="Q9" s="55"/>
      <c r="R9" s="56"/>
    </row>
    <row r="10" spans="1:18" ht="13.8" thickBot="1">
      <c r="A10" s="126" t="s">
        <v>25</v>
      </c>
      <c r="B10" s="128">
        <f>B8-B9</f>
        <v>8547428.2600000016</v>
      </c>
      <c r="C10" s="130">
        <f>B10/B8</f>
        <v>0.53637921108460096</v>
      </c>
      <c r="D10" s="123"/>
      <c r="G10" s="54"/>
      <c r="H10" s="54"/>
      <c r="Q10" s="55"/>
      <c r="R10" s="56"/>
    </row>
    <row r="11" spans="1:18">
      <c r="A11" s="1"/>
      <c r="B11" s="52"/>
      <c r="C11" s="52"/>
      <c r="D11" s="123"/>
      <c r="G11" s="54"/>
      <c r="H11" s="54"/>
      <c r="Q11" s="55"/>
      <c r="R11" s="56"/>
    </row>
    <row r="12" spans="1:18">
      <c r="A12" s="1" t="s">
        <v>55</v>
      </c>
      <c r="B12" s="52"/>
      <c r="C12" s="52"/>
      <c r="D12" s="123"/>
      <c r="G12" s="54"/>
      <c r="H12" s="54"/>
      <c r="Q12" s="55"/>
      <c r="R12" s="56"/>
    </row>
    <row r="13" spans="1:18" s="149" customFormat="1" ht="15">
      <c r="A13" s="141"/>
      <c r="B13" s="142" t="s">
        <v>56</v>
      </c>
      <c r="C13" s="142" t="s">
        <v>57</v>
      </c>
      <c r="D13" s="143"/>
      <c r="E13" s="144"/>
      <c r="F13" s="145"/>
      <c r="G13" s="146"/>
      <c r="H13" s="145"/>
      <c r="I13" s="147"/>
      <c r="J13" s="148"/>
      <c r="K13" s="148"/>
      <c r="L13" s="148"/>
      <c r="Q13" s="150"/>
      <c r="R13" s="150"/>
    </row>
    <row r="14" spans="1:18" s="149" customFormat="1" ht="15">
      <c r="A14" s="141">
        <v>2024</v>
      </c>
      <c r="B14" s="151">
        <f>SUM(A16:L16)</f>
        <v>3069920.9000000004</v>
      </c>
      <c r="C14" s="152">
        <f>SUM(A17:L17)</f>
        <v>652255797</v>
      </c>
      <c r="D14" s="148"/>
      <c r="E14" s="144"/>
      <c r="F14" s="148"/>
      <c r="G14" s="148"/>
      <c r="H14" s="148"/>
      <c r="I14" s="147"/>
      <c r="J14" s="148"/>
      <c r="K14" s="148"/>
      <c r="L14" s="148"/>
      <c r="Q14" s="150"/>
      <c r="R14" s="150"/>
    </row>
    <row r="15" spans="1:18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ht="13.8">
      <c r="A16" s="137">
        <f>'1-1. Direct'!A16+'1-2. PTC'!A17</f>
        <v>0</v>
      </c>
      <c r="B16" s="137">
        <f>'1-1. Direct'!B16+'1-2. PTC'!B17</f>
        <v>0</v>
      </c>
      <c r="C16" s="137">
        <f>'1-1. Direct'!C16+'1-2. PTC'!C17</f>
        <v>0</v>
      </c>
      <c r="D16" s="137">
        <f>'1-1. Direct'!D16+'1-2. PTC'!D17</f>
        <v>0</v>
      </c>
      <c r="E16" s="137">
        <f>'1-1. Direct'!E16+'1-2. PTC'!E17</f>
        <v>0</v>
      </c>
      <c r="F16" s="137">
        <f>'1-1. Direct'!F16+'1-2. PTC'!F17</f>
        <v>0</v>
      </c>
      <c r="G16" s="137">
        <f>'1-1. Direct'!G16+'1-2. PTC'!G17</f>
        <v>0</v>
      </c>
      <c r="H16" s="137">
        <f>'1-1. Direct'!H16+'1-2. PTC'!H17</f>
        <v>297156.95</v>
      </c>
      <c r="I16" s="137">
        <f>'1-1. Direct'!I16+'1-2. PTC'!I17</f>
        <v>0</v>
      </c>
      <c r="J16" s="137">
        <f>'1-1. Direct'!J16+'1-2. PTC'!J17</f>
        <v>2108320.73</v>
      </c>
      <c r="K16" s="137">
        <f>'1-1. Direct'!K16+'1-2. PTC'!K17</f>
        <v>0</v>
      </c>
      <c r="L16" s="137">
        <f>'1-1. Direct'!L16+'1-2. PTC'!L17</f>
        <v>664443.22</v>
      </c>
      <c r="Q16" s="55"/>
      <c r="R16" s="56"/>
    </row>
    <row r="17" spans="1:18" ht="13.8">
      <c r="A17" s="138">
        <f>'1-1. Direct'!A17+'1-2. PTC'!A18</f>
        <v>0</v>
      </c>
      <c r="B17" s="138">
        <f>'1-1. Direct'!B17+'1-2. PTC'!B18</f>
        <v>0</v>
      </c>
      <c r="C17" s="138">
        <f>'1-1. Direct'!C17+'1-2. PTC'!C18</f>
        <v>0</v>
      </c>
      <c r="D17" s="138">
        <f>'1-1. Direct'!D17+'1-2. PTC'!D18</f>
        <v>0</v>
      </c>
      <c r="E17" s="138">
        <f>'1-1. Direct'!E17+'1-2. PTC'!E18</f>
        <v>0</v>
      </c>
      <c r="F17" s="138">
        <f>'1-1. Direct'!F17+'1-2. PTC'!F18</f>
        <v>0</v>
      </c>
      <c r="G17" s="138">
        <f>'1-1. Direct'!G17+'1-2. PTC'!G18</f>
        <v>0</v>
      </c>
      <c r="H17" s="138">
        <f>'1-1. Direct'!H17+'1-2. PTC'!H18</f>
        <v>445735425</v>
      </c>
      <c r="I17" s="138">
        <f>'1-1. Direct'!I17+'1-2. PTC'!I18</f>
        <v>0</v>
      </c>
      <c r="J17" s="138">
        <f>'1-1. Direct'!J17+'1-2. PTC'!J18</f>
        <v>206474715.00000003</v>
      </c>
      <c r="K17" s="138">
        <f>'1-1. Direct'!K17+'1-2. PTC'!K18</f>
        <v>0</v>
      </c>
      <c r="L17" s="138">
        <f>'1-1. Direct'!L17+'1-2. PTC'!L18</f>
        <v>45657</v>
      </c>
      <c r="Q17" s="55"/>
      <c r="R17" s="56"/>
    </row>
    <row r="18" spans="1:18" ht="5.4" customHeight="1">
      <c r="A18" s="139"/>
      <c r="B18" s="139"/>
      <c r="C18" s="139"/>
      <c r="D18" s="139"/>
      <c r="E18" s="140"/>
      <c r="F18" s="139"/>
      <c r="G18" s="135"/>
      <c r="H18" s="135"/>
      <c r="I18" s="134"/>
      <c r="J18" s="135"/>
      <c r="K18" s="135"/>
      <c r="L18" s="135"/>
      <c r="Q18" s="55"/>
      <c r="R18" s="56"/>
    </row>
    <row r="19" spans="1:18" s="149" customFormat="1" ht="15">
      <c r="A19" s="141">
        <v>2025</v>
      </c>
      <c r="B19" s="151">
        <f>SUM(A21:L21)</f>
        <v>3902245.85</v>
      </c>
      <c r="C19" s="152">
        <f>SUM(A22:L22)</f>
        <v>275739</v>
      </c>
      <c r="D19" s="148"/>
      <c r="E19" s="144"/>
      <c r="F19" s="148"/>
      <c r="G19" s="148"/>
      <c r="H19" s="148"/>
      <c r="I19" s="147"/>
      <c r="J19" s="148"/>
      <c r="K19" s="148"/>
      <c r="L19" s="148"/>
      <c r="Q19" s="150"/>
      <c r="R19" s="150"/>
    </row>
    <row r="20" spans="1:18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 ht="13.8">
      <c r="A21" s="137">
        <f>'1-1. Direct'!A21+'1-2. PTC'!A22</f>
        <v>2603.63</v>
      </c>
      <c r="B21" s="137">
        <f>'1-1. Direct'!B21+'1-2. PTC'!B22</f>
        <v>3495.17</v>
      </c>
      <c r="C21" s="137">
        <f>'1-1. Direct'!C21+'1-2. PTC'!C22</f>
        <v>28596.55</v>
      </c>
      <c r="D21" s="137">
        <f>'1-1. Direct'!D21+'1-2. PTC'!D22</f>
        <v>602035.01</v>
      </c>
      <c r="E21" s="137">
        <f>'1-1. Direct'!E21+'1-2. PTC'!E22</f>
        <v>22753.1</v>
      </c>
      <c r="F21" s="137">
        <f>'1-1. Direct'!F21+'1-2. PTC'!F22</f>
        <v>31921.13</v>
      </c>
      <c r="G21" s="137">
        <f>'1-1. Direct'!G21+'1-2. PTC'!G22</f>
        <v>280003.73</v>
      </c>
      <c r="H21" s="137">
        <f>'1-1. Direct'!H21+'1-2. PTC'!H22</f>
        <v>549854.42999999993</v>
      </c>
      <c r="I21" s="137">
        <f>'1-1. Direct'!I21+'1-2. PTC'!I22</f>
        <v>0</v>
      </c>
      <c r="J21" s="137">
        <f>'1-1. Direct'!J21+'1-2. PTC'!J22</f>
        <v>0</v>
      </c>
      <c r="K21" s="137">
        <f>'1-1. Direct'!K21+'1-2. PTC'!K22</f>
        <v>270614.14</v>
      </c>
      <c r="L21" s="137">
        <f>'1-1. Direct'!L21+'1-2. PTC'!L22</f>
        <v>2110368.96</v>
      </c>
      <c r="Q21" s="55"/>
      <c r="R21" s="56"/>
    </row>
    <row r="22" spans="1:18" ht="13.8">
      <c r="A22" s="138">
        <f>'1-1. Direct'!A22+'1-2. PTC'!A23</f>
        <v>0</v>
      </c>
      <c r="B22" s="138">
        <f>'1-1. Direct'!B22+'1-2. PTC'!B23</f>
        <v>0</v>
      </c>
      <c r="C22" s="138">
        <f>'1-1. Direct'!C22+'1-2. PTC'!C23</f>
        <v>0</v>
      </c>
      <c r="D22" s="138">
        <f>'1-1. Direct'!D22+'1-2. PTC'!D23</f>
        <v>45768</v>
      </c>
      <c r="E22" s="138">
        <f>'1-1. Direct'!E22+'1-2. PTC'!E23</f>
        <v>0</v>
      </c>
      <c r="F22" s="138">
        <f>'1-1. Direct'!F22+'1-2. PTC'!F23</f>
        <v>0</v>
      </c>
      <c r="G22" s="138">
        <f>'1-1. Direct'!G22+'1-2. PTC'!G23</f>
        <v>0</v>
      </c>
      <c r="H22" s="138">
        <f>'1-1. Direct'!H22+'1-2. PTC'!H23</f>
        <v>45891</v>
      </c>
      <c r="I22" s="138">
        <f>'1-1. Direct'!I22+'1-2. PTC'!I23</f>
        <v>0</v>
      </c>
      <c r="J22" s="138">
        <f>'1-1. Direct'!J22+'1-2. PTC'!J23</f>
        <v>0</v>
      </c>
      <c r="K22" s="138">
        <f>'1-1. Direct'!K22+'1-2. PTC'!K23</f>
        <v>45999</v>
      </c>
      <c r="L22" s="138">
        <f>'1-1. Direct'!L22+'1-2. PTC'!L23</f>
        <v>138081</v>
      </c>
      <c r="Q22" s="55"/>
      <c r="R22" s="56"/>
    </row>
    <row r="23" spans="1:18" ht="5.4" customHeight="1">
      <c r="A23" s="139"/>
      <c r="B23" s="139"/>
      <c r="C23" s="139"/>
      <c r="D23" s="139"/>
      <c r="E23" s="140"/>
      <c r="F23" s="139"/>
      <c r="G23" s="135"/>
      <c r="H23" s="135"/>
      <c r="I23" s="134"/>
      <c r="J23" s="135"/>
      <c r="K23" s="135"/>
      <c r="L23" s="135"/>
      <c r="Q23" s="55"/>
      <c r="R23" s="56"/>
    </row>
    <row r="24" spans="1:18" s="149" customFormat="1" ht="15">
      <c r="A24" s="141">
        <v>2026</v>
      </c>
      <c r="B24" s="151">
        <f>SUM(A26:L26)</f>
        <v>2870923.4399999995</v>
      </c>
      <c r="C24" s="152">
        <f>SUM(A27:L27)</f>
        <v>184578</v>
      </c>
      <c r="D24" s="148"/>
      <c r="E24" s="144"/>
      <c r="F24" s="148"/>
      <c r="G24" s="148"/>
      <c r="H24" s="148"/>
      <c r="I24" s="147"/>
      <c r="J24" s="148"/>
      <c r="K24" s="148"/>
      <c r="L24" s="148"/>
      <c r="Q24" s="150"/>
      <c r="R24" s="150"/>
    </row>
    <row r="25" spans="1:18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 ht="13.8">
      <c r="A26" s="137">
        <f>'1-1. Direct'!A26+'1-2. PTC'!A27</f>
        <v>429677.89</v>
      </c>
      <c r="B26" s="137">
        <f>'1-1. Direct'!B26+'1-2. PTC'!B27</f>
        <v>471496.93</v>
      </c>
      <c r="C26" s="137">
        <f>'1-1. Direct'!C26+'1-2. PTC'!C27</f>
        <v>404131.92</v>
      </c>
      <c r="D26" s="137">
        <f>'1-1. Direct'!D26+'1-2. PTC'!D27</f>
        <v>253068.95</v>
      </c>
      <c r="E26" s="137">
        <f>'1-1. Direct'!E26+'1-2. PTC'!E27</f>
        <v>112404.17</v>
      </c>
      <c r="F26" s="137">
        <f>'1-1. Direct'!F26+'1-2. PTC'!F27</f>
        <v>1066065.6599999999</v>
      </c>
      <c r="G26" s="137">
        <f>'1-1. Direct'!G26+'1-2. PTC'!G27</f>
        <v>134077.91999999998</v>
      </c>
      <c r="H26" s="137">
        <f>'1-1. Direct'!H26+'1-2. PTC'!H27</f>
        <v>0</v>
      </c>
      <c r="I26" s="137">
        <f>'1-1. Direct'!I26+'1-2. PTC'!I27</f>
        <v>0</v>
      </c>
      <c r="J26" s="137">
        <f>'1-1. Direct'!J26+'1-2. PTC'!J27</f>
        <v>0</v>
      </c>
      <c r="K26" s="137">
        <f>'1-1. Direct'!K26+'1-2. PTC'!K27</f>
        <v>0</v>
      </c>
      <c r="L26" s="137">
        <f>'1-1. Direct'!L26+'1-2. PTC'!L27</f>
        <v>0</v>
      </c>
      <c r="Q26" s="55"/>
      <c r="R26" s="56"/>
    </row>
    <row r="27" spans="1:18" ht="13.8">
      <c r="A27" s="138">
        <f>'1-1. Direct'!A27+'1-2. PTC'!A28</f>
        <v>0</v>
      </c>
      <c r="B27" s="138">
        <f>'1-1. Direct'!B27+'1-2. PTC'!B28</f>
        <v>46081</v>
      </c>
      <c r="C27" s="138">
        <f>'1-1. Direct'!C27+'1-2. PTC'!C28</f>
        <v>46096</v>
      </c>
      <c r="D27" s="138">
        <f>'1-1. Direct'!D27+'1-2. PTC'!D28</f>
        <v>0</v>
      </c>
      <c r="E27" s="138">
        <f>'1-1. Direct'!E27+'1-2. PTC'!E28</f>
        <v>0</v>
      </c>
      <c r="F27" s="138">
        <f>'1-1. Direct'!F27+'1-2. PTC'!F28</f>
        <v>92401</v>
      </c>
      <c r="G27" s="138">
        <f>'1-1. Direct'!G27+'1-2. PTC'!G28</f>
        <v>0</v>
      </c>
      <c r="H27" s="138">
        <f>'1-1. Direct'!H27+'1-2. PTC'!H28</f>
        <v>0</v>
      </c>
      <c r="I27" s="138">
        <f>'1-1. Direct'!I27+'1-2. PTC'!I28</f>
        <v>0</v>
      </c>
      <c r="J27" s="138">
        <f>'1-1. Direct'!J27+'1-2. PTC'!J28</f>
        <v>0</v>
      </c>
      <c r="K27" s="138">
        <f>'1-1. Direct'!K27+'1-2. PTC'!K28</f>
        <v>0</v>
      </c>
      <c r="L27" s="138">
        <f>'1-1. Direct'!L27+'1-2. PTC'!L28</f>
        <v>0</v>
      </c>
    </row>
    <row r="28" spans="1:18" s="52" customFormat="1" ht="5.4" customHeight="1">
      <c r="A28" s="139"/>
      <c r="B28" s="139"/>
      <c r="C28" s="139"/>
      <c r="D28" s="139"/>
      <c r="E28" s="140"/>
      <c r="F28" s="139"/>
      <c r="G28" s="135"/>
      <c r="H28" s="135"/>
      <c r="I28" s="134"/>
      <c r="J28" s="135"/>
      <c r="K28" s="135"/>
      <c r="L28" s="135"/>
    </row>
    <row r="29" spans="1:18" s="149" customFormat="1" ht="15">
      <c r="A29" s="141">
        <v>2027</v>
      </c>
      <c r="B29" s="151">
        <f>SUM(A31:L31)</f>
        <v>0</v>
      </c>
      <c r="C29" s="152">
        <f>SUM(A32:L32)</f>
        <v>0</v>
      </c>
      <c r="D29" s="148"/>
      <c r="E29" s="144"/>
      <c r="F29" s="148"/>
      <c r="G29" s="148"/>
      <c r="H29" s="148"/>
      <c r="I29" s="147"/>
      <c r="J29" s="148"/>
      <c r="K29" s="148"/>
      <c r="L29" s="148"/>
    </row>
    <row r="30" spans="1:18" ht="13.8">
      <c r="A30" s="136" t="s">
        <v>58</v>
      </c>
      <c r="B30" s="136" t="s">
        <v>59</v>
      </c>
      <c r="C30" s="136" t="s">
        <v>60</v>
      </c>
      <c r="D30" s="136" t="s">
        <v>61</v>
      </c>
      <c r="E30" s="136" t="s">
        <v>62</v>
      </c>
      <c r="F30" s="136" t="s">
        <v>63</v>
      </c>
      <c r="G30" s="136" t="s">
        <v>64</v>
      </c>
      <c r="H30" s="136" t="s">
        <v>65</v>
      </c>
      <c r="I30" s="136" t="s">
        <v>66</v>
      </c>
      <c r="J30" s="136" t="s">
        <v>67</v>
      </c>
      <c r="K30" s="136" t="s">
        <v>68</v>
      </c>
      <c r="L30" s="136" t="s">
        <v>69</v>
      </c>
      <c r="Q30" s="55"/>
      <c r="R30" s="56"/>
    </row>
    <row r="31" spans="1:18" ht="13.8">
      <c r="A31" s="137">
        <f>'1-1. Direct'!A31+'1-2. PTC'!A32</f>
        <v>0</v>
      </c>
      <c r="B31" s="137">
        <f>'1-1. Direct'!B31+'1-2. PTC'!B32</f>
        <v>0</v>
      </c>
      <c r="C31" s="137">
        <f>'1-1. Direct'!C31+'1-2. PTC'!C32</f>
        <v>0</v>
      </c>
      <c r="D31" s="137">
        <f>'1-1. Direct'!D31+'1-2. PTC'!D32</f>
        <v>0</v>
      </c>
      <c r="E31" s="137">
        <f>'1-1. Direct'!E31+'1-2. PTC'!E32</f>
        <v>0</v>
      </c>
      <c r="F31" s="137">
        <f>'1-1. Direct'!F31+'1-2. PTC'!F32</f>
        <v>0</v>
      </c>
      <c r="G31" s="137">
        <f>'1-1. Direct'!G31+'1-2. PTC'!G32</f>
        <v>0</v>
      </c>
      <c r="H31" s="137">
        <f>'1-1. Direct'!H31+'1-2. PTC'!H32</f>
        <v>0</v>
      </c>
      <c r="I31" s="137">
        <f>'1-1. Direct'!I31+'1-2. PTC'!I32</f>
        <v>0</v>
      </c>
      <c r="J31" s="137">
        <f>'1-1. Direct'!J31+'1-2. PTC'!J32</f>
        <v>0</v>
      </c>
      <c r="K31" s="137">
        <f>'1-1. Direct'!K31+'1-2. PTC'!K32</f>
        <v>0</v>
      </c>
      <c r="L31" s="137">
        <f>'1-1. Direct'!L31+'1-2. PTC'!L32</f>
        <v>0</v>
      </c>
    </row>
    <row r="32" spans="1:18" ht="13.8">
      <c r="A32" s="138">
        <f>'1-1. Direct'!A32+'1-2. PTC'!A33</f>
        <v>0</v>
      </c>
      <c r="B32" s="138">
        <f>'1-1. Direct'!B32+'1-2. PTC'!B33</f>
        <v>0</v>
      </c>
      <c r="C32" s="138">
        <f>'1-1. Direct'!C32+'1-2. PTC'!C33</f>
        <v>0</v>
      </c>
      <c r="D32" s="138">
        <f>'1-1. Direct'!D32+'1-2. PTC'!D33</f>
        <v>0</v>
      </c>
      <c r="E32" s="138">
        <f>'1-1. Direct'!E32+'1-2. PTC'!E33</f>
        <v>0</v>
      </c>
      <c r="F32" s="138">
        <f>'1-1. Direct'!F32+'1-2. PTC'!F33</f>
        <v>0</v>
      </c>
      <c r="G32" s="138">
        <f>'1-1. Direct'!G32+'1-2. PTC'!G33</f>
        <v>0</v>
      </c>
      <c r="H32" s="138">
        <f>'1-1. Direct'!H32+'1-2. PTC'!H33</f>
        <v>0</v>
      </c>
      <c r="I32" s="138">
        <f>'1-1. Direct'!I32+'1-2. PTC'!I33</f>
        <v>0</v>
      </c>
      <c r="J32" s="138">
        <f>'1-1. Direct'!J32+'1-2. PTC'!J33</f>
        <v>0</v>
      </c>
      <c r="K32" s="138">
        <f>'1-1. Direct'!K32+'1-2. PTC'!K33</f>
        <v>0</v>
      </c>
      <c r="L32" s="138">
        <f>'1-1. Direct'!L32+'1-2. PTC'!L33</f>
        <v>0</v>
      </c>
    </row>
    <row r="33" spans="1:12">
      <c r="A33" s="1"/>
      <c r="B33" s="52"/>
      <c r="C33" s="52"/>
      <c r="D33" s="123"/>
      <c r="G33" s="54"/>
      <c r="H33" s="54"/>
    </row>
    <row r="34" spans="1:12" ht="13.8" thickBot="1">
      <c r="A34" s="1" t="s">
        <v>70</v>
      </c>
      <c r="B34" s="52"/>
      <c r="C34" s="52"/>
      <c r="D34" s="123"/>
      <c r="G34" s="54"/>
      <c r="H34" s="54"/>
    </row>
    <row r="35" spans="1:12">
      <c r="A35" s="88" t="s">
        <v>71</v>
      </c>
      <c r="B35" s="57" t="s">
        <v>72</v>
      </c>
      <c r="C35" s="95" t="s">
        <v>73</v>
      </c>
      <c r="D35" s="57" t="s">
        <v>74</v>
      </c>
      <c r="E35" s="96" t="s">
        <v>73</v>
      </c>
      <c r="F35" s="52"/>
      <c r="G35" s="52"/>
      <c r="H35" s="52"/>
      <c r="I35" s="52"/>
      <c r="J35" s="52"/>
      <c r="K35" s="52"/>
      <c r="L35" s="52"/>
    </row>
    <row r="36" spans="1:12">
      <c r="A36" s="89" t="s">
        <v>75</v>
      </c>
      <c r="B36" s="91"/>
      <c r="C36" s="93"/>
      <c r="D36" s="91">
        <v>0.54</v>
      </c>
      <c r="E36" s="60" t="s">
        <v>76</v>
      </c>
    </row>
    <row r="37" spans="1:12">
      <c r="A37" s="89" t="s">
        <v>77</v>
      </c>
      <c r="B37" s="91"/>
      <c r="C37" s="93"/>
      <c r="D37" s="91">
        <v>0.08</v>
      </c>
      <c r="E37" s="60" t="s">
        <v>76</v>
      </c>
    </row>
    <row r="38" spans="1:12">
      <c r="A38" s="89" t="s">
        <v>78</v>
      </c>
      <c r="B38" s="91"/>
      <c r="C38" s="93"/>
      <c r="D38" s="91">
        <v>0.01</v>
      </c>
      <c r="E38" s="60" t="s">
        <v>76</v>
      </c>
    </row>
    <row r="39" spans="1:12">
      <c r="A39" s="89" t="s">
        <v>79</v>
      </c>
      <c r="B39" s="91"/>
      <c r="C39" s="93"/>
      <c r="D39" s="91">
        <v>0.34</v>
      </c>
      <c r="E39" s="60" t="s">
        <v>80</v>
      </c>
    </row>
    <row r="40" spans="1:12">
      <c r="A40" s="89" t="s">
        <v>81</v>
      </c>
      <c r="B40" s="91"/>
      <c r="C40" s="93"/>
      <c r="D40" s="91">
        <v>0.54</v>
      </c>
      <c r="E40" s="60" t="s">
        <v>76</v>
      </c>
    </row>
    <row r="41" spans="1:12">
      <c r="A41" s="89" t="s">
        <v>82</v>
      </c>
      <c r="B41" s="91"/>
      <c r="C41" s="93"/>
      <c r="D41" s="91">
        <v>0.39</v>
      </c>
      <c r="E41" s="60" t="s">
        <v>83</v>
      </c>
    </row>
    <row r="42" spans="1:12" ht="13.8" thickBot="1">
      <c r="A42" s="90" t="s">
        <v>84</v>
      </c>
      <c r="B42" s="92"/>
      <c r="C42" s="94"/>
      <c r="D42" s="92">
        <v>0.27</v>
      </c>
      <c r="E42" s="61" t="s">
        <v>80</v>
      </c>
    </row>
    <row r="43" spans="1:12" ht="13.8" thickBot="1"/>
    <row r="44" spans="1:12">
      <c r="A44" s="67"/>
      <c r="B44" s="551" t="s">
        <v>72</v>
      </c>
      <c r="C44" s="552"/>
      <c r="D44" s="553"/>
      <c r="E44" s="551" t="s">
        <v>74</v>
      </c>
      <c r="F44" s="552"/>
      <c r="G44" s="552"/>
      <c r="H44" s="121" t="s">
        <v>85</v>
      </c>
    </row>
    <row r="45" spans="1:12">
      <c r="A45" s="83" t="s">
        <v>86</v>
      </c>
      <c r="B45" s="70" t="s">
        <v>87</v>
      </c>
      <c r="C45" s="64" t="s">
        <v>88</v>
      </c>
      <c r="D45" s="71" t="s">
        <v>89</v>
      </c>
      <c r="E45" s="70" t="s">
        <v>87</v>
      </c>
      <c r="F45" s="64" t="s">
        <v>88</v>
      </c>
      <c r="G45" s="78" t="s">
        <v>89</v>
      </c>
      <c r="H45" s="122" t="s">
        <v>90</v>
      </c>
    </row>
    <row r="46" spans="1:12">
      <c r="A46" s="68" t="s">
        <v>91</v>
      </c>
      <c r="B46" s="72"/>
      <c r="C46" s="63"/>
      <c r="D46" s="73"/>
      <c r="E46" s="72">
        <v>0.46</v>
      </c>
      <c r="F46" s="76">
        <v>45473</v>
      </c>
      <c r="G46" s="79">
        <v>45487</v>
      </c>
      <c r="H46" s="81">
        <f>B46-E46</f>
        <v>-0.46</v>
      </c>
    </row>
    <row r="47" spans="1:12">
      <c r="A47" s="68" t="s">
        <v>92</v>
      </c>
      <c r="B47" s="72"/>
      <c r="C47" s="63"/>
      <c r="D47" s="73"/>
      <c r="E47" s="72">
        <v>2.56</v>
      </c>
      <c r="F47" s="76">
        <v>45488</v>
      </c>
      <c r="G47" s="79">
        <v>45565</v>
      </c>
      <c r="H47" s="81">
        <f t="shared" ref="H47:H58" si="0">B47-E47</f>
        <v>-2.56</v>
      </c>
    </row>
    <row r="48" spans="1:12">
      <c r="A48" s="68" t="s">
        <v>93</v>
      </c>
      <c r="B48" s="72"/>
      <c r="C48" s="63"/>
      <c r="D48" s="73"/>
      <c r="E48" s="72">
        <v>24.72</v>
      </c>
      <c r="F48" s="76">
        <v>45566</v>
      </c>
      <c r="G48" s="79">
        <v>46316</v>
      </c>
      <c r="H48" s="81">
        <f t="shared" si="0"/>
        <v>-24.72</v>
      </c>
    </row>
    <row r="49" spans="1:8">
      <c r="A49" s="68" t="s">
        <v>94</v>
      </c>
      <c r="B49" s="72"/>
      <c r="C49" s="63"/>
      <c r="D49" s="73"/>
      <c r="E49" s="72">
        <v>0.46</v>
      </c>
      <c r="F49" s="76">
        <v>46317</v>
      </c>
      <c r="G49" s="79">
        <v>46330</v>
      </c>
      <c r="H49" s="81">
        <f t="shared" si="0"/>
        <v>-0.46</v>
      </c>
    </row>
    <row r="50" spans="1:8">
      <c r="A50" s="68" t="s">
        <v>95</v>
      </c>
      <c r="B50" s="72"/>
      <c r="C50" s="63"/>
      <c r="D50" s="73"/>
      <c r="E50" s="72">
        <v>4.2</v>
      </c>
      <c r="F50" s="76">
        <v>46331</v>
      </c>
      <c r="G50" s="79">
        <v>46457</v>
      </c>
      <c r="H50" s="81">
        <f t="shared" si="0"/>
        <v>-4.2</v>
      </c>
    </row>
    <row r="51" spans="1:8">
      <c r="A51" s="68" t="s">
        <v>96</v>
      </c>
      <c r="B51" s="72"/>
      <c r="C51" s="63"/>
      <c r="D51" s="73"/>
      <c r="E51" s="72">
        <v>24.08</v>
      </c>
      <c r="F51" s="76">
        <v>46458</v>
      </c>
      <c r="G51" s="79">
        <v>47187</v>
      </c>
      <c r="H51" s="81">
        <f t="shared" si="0"/>
        <v>-24.08</v>
      </c>
    </row>
    <row r="52" spans="1:8">
      <c r="A52" s="68" t="s">
        <v>97</v>
      </c>
      <c r="B52" s="72"/>
      <c r="C52" s="63"/>
      <c r="D52" s="73"/>
      <c r="E52" s="72">
        <v>1</v>
      </c>
      <c r="F52" s="76">
        <v>47188</v>
      </c>
      <c r="G52" s="79">
        <v>47217</v>
      </c>
      <c r="H52" s="81">
        <f t="shared" si="0"/>
        <v>-1</v>
      </c>
    </row>
    <row r="53" spans="1:8">
      <c r="A53" s="68" t="s">
        <v>98</v>
      </c>
      <c r="B53" s="72"/>
      <c r="C53" s="63"/>
      <c r="D53" s="73"/>
      <c r="E53" s="72">
        <v>1</v>
      </c>
      <c r="F53" s="76">
        <v>47218</v>
      </c>
      <c r="G53" s="79">
        <v>47247</v>
      </c>
      <c r="H53" s="81">
        <f t="shared" si="0"/>
        <v>-1</v>
      </c>
    </row>
    <row r="54" spans="1:8">
      <c r="A54" s="68" t="s">
        <v>99</v>
      </c>
      <c r="B54" s="72"/>
      <c r="C54" s="63"/>
      <c r="D54" s="73"/>
      <c r="E54" s="72">
        <v>1</v>
      </c>
      <c r="F54" s="76">
        <v>47218</v>
      </c>
      <c r="G54" s="79">
        <v>47247</v>
      </c>
      <c r="H54" s="81">
        <f t="shared" si="0"/>
        <v>-1</v>
      </c>
    </row>
    <row r="55" spans="1:8">
      <c r="A55" s="68" t="s">
        <v>100</v>
      </c>
      <c r="B55" s="72"/>
      <c r="C55" s="63"/>
      <c r="D55" s="73"/>
      <c r="E55" s="72">
        <v>1</v>
      </c>
      <c r="F55" s="76">
        <v>47248</v>
      </c>
      <c r="G55" s="79">
        <v>47277</v>
      </c>
      <c r="H55" s="81">
        <f t="shared" si="0"/>
        <v>-1</v>
      </c>
    </row>
    <row r="56" spans="1:8">
      <c r="A56" s="68" t="s">
        <v>101</v>
      </c>
      <c r="B56" s="72"/>
      <c r="C56" s="63"/>
      <c r="D56" s="73"/>
      <c r="E56" s="72">
        <v>1.46</v>
      </c>
      <c r="F56" s="76">
        <v>47278</v>
      </c>
      <c r="G56" s="79">
        <v>47321</v>
      </c>
      <c r="H56" s="81">
        <f t="shared" si="0"/>
        <v>-1.46</v>
      </c>
    </row>
    <row r="57" spans="1:8">
      <c r="A57" s="68" t="s">
        <v>102</v>
      </c>
      <c r="B57" s="72"/>
      <c r="C57" s="63"/>
      <c r="D57" s="73"/>
      <c r="E57" s="72">
        <v>0.23</v>
      </c>
      <c r="F57" s="76">
        <v>47322</v>
      </c>
      <c r="G57" s="79">
        <v>47328</v>
      </c>
      <c r="H57" s="81">
        <f t="shared" si="0"/>
        <v>-0.23</v>
      </c>
    </row>
    <row r="58" spans="1:8" ht="13.8" thickBot="1">
      <c r="A58" s="69" t="s">
        <v>103</v>
      </c>
      <c r="B58" s="74"/>
      <c r="C58" s="66"/>
      <c r="D58" s="75"/>
      <c r="E58" s="74">
        <v>61.17</v>
      </c>
      <c r="F58" s="77">
        <v>45473</v>
      </c>
      <c r="G58" s="80">
        <v>47328</v>
      </c>
      <c r="H58" s="82">
        <f t="shared" si="0"/>
        <v>-61.17</v>
      </c>
    </row>
    <row r="60" spans="1:8" ht="14.4" thickBot="1">
      <c r="A60" s="84" t="s">
        <v>104</v>
      </c>
      <c r="B60" s="85"/>
      <c r="C60" s="86"/>
      <c r="D60" s="87"/>
      <c r="E60" s="87"/>
      <c r="F60" s="87"/>
    </row>
    <row r="61" spans="1:8">
      <c r="A61" s="100" t="s">
        <v>72</v>
      </c>
      <c r="B61" s="101" t="s">
        <v>105</v>
      </c>
      <c r="C61" s="102" t="s">
        <v>106</v>
      </c>
      <c r="D61" s="100" t="s">
        <v>74</v>
      </c>
      <c r="E61" s="101" t="s">
        <v>105</v>
      </c>
      <c r="F61" s="102" t="s">
        <v>106</v>
      </c>
    </row>
    <row r="62" spans="1:8">
      <c r="A62" s="103"/>
      <c r="B62" s="98"/>
      <c r="C62" s="104"/>
      <c r="D62" s="112" t="s">
        <v>107</v>
      </c>
      <c r="E62" s="113">
        <v>4.0199999999999996</v>
      </c>
      <c r="F62" s="114">
        <v>270676.37</v>
      </c>
    </row>
    <row r="63" spans="1:8">
      <c r="A63" s="103"/>
      <c r="B63" s="98"/>
      <c r="C63" s="104"/>
      <c r="D63" s="112" t="s">
        <v>108</v>
      </c>
      <c r="E63" s="113">
        <v>10.72</v>
      </c>
      <c r="F63" s="114">
        <v>722048.76</v>
      </c>
    </row>
    <row r="64" spans="1:8">
      <c r="A64" s="103"/>
      <c r="B64" s="98"/>
      <c r="C64" s="104"/>
      <c r="D64" s="112" t="s">
        <v>109</v>
      </c>
      <c r="E64" s="113">
        <v>9.83</v>
      </c>
      <c r="F64" s="114">
        <v>661816.76</v>
      </c>
    </row>
    <row r="65" spans="1:6">
      <c r="A65" s="105"/>
      <c r="B65" s="99"/>
      <c r="C65" s="106"/>
      <c r="D65" s="115" t="s">
        <v>110</v>
      </c>
      <c r="E65" s="116">
        <v>8.84</v>
      </c>
      <c r="F65" s="117">
        <v>595635.07999999996</v>
      </c>
    </row>
    <row r="66" spans="1:6">
      <c r="A66" s="107"/>
      <c r="B66" s="65"/>
      <c r="C66" s="108"/>
      <c r="D66" s="118" t="s">
        <v>111</v>
      </c>
      <c r="E66" s="119">
        <v>6.88</v>
      </c>
      <c r="F66" s="120">
        <v>463271.73</v>
      </c>
    </row>
    <row r="67" spans="1:6">
      <c r="A67" s="107"/>
      <c r="B67" s="65"/>
      <c r="C67" s="108"/>
      <c r="D67" s="508" t="s">
        <v>112</v>
      </c>
      <c r="E67" s="509">
        <v>0.26</v>
      </c>
      <c r="F67" s="510">
        <v>17605</v>
      </c>
    </row>
    <row r="68" spans="1:6">
      <c r="A68" s="107"/>
      <c r="B68" s="65"/>
      <c r="C68" s="108"/>
      <c r="D68" s="508" t="s">
        <v>113</v>
      </c>
      <c r="E68" s="509">
        <v>9</v>
      </c>
      <c r="F68" s="510">
        <v>606207.56999999995</v>
      </c>
    </row>
    <row r="69" spans="1:6">
      <c r="A69" s="107"/>
      <c r="B69" s="65"/>
      <c r="C69" s="108"/>
      <c r="D69" s="508" t="s">
        <v>114</v>
      </c>
      <c r="E69" s="509">
        <v>7</v>
      </c>
      <c r="F69" s="510">
        <v>471496.93</v>
      </c>
    </row>
    <row r="70" spans="1:6">
      <c r="A70" s="107"/>
      <c r="B70" s="65"/>
      <c r="C70" s="108"/>
      <c r="D70" s="508" t="s">
        <v>115</v>
      </c>
      <c r="E70" s="509">
        <v>7</v>
      </c>
      <c r="F70" s="510">
        <v>471496.93</v>
      </c>
    </row>
    <row r="71" spans="1:6">
      <c r="A71" s="107"/>
      <c r="B71" s="65"/>
      <c r="C71" s="108"/>
      <c r="D71" s="508" t="s">
        <v>116</v>
      </c>
      <c r="E71" s="509">
        <v>7</v>
      </c>
      <c r="F71" s="510">
        <v>471496.93</v>
      </c>
    </row>
    <row r="72" spans="1:6">
      <c r="A72" s="107"/>
      <c r="B72" s="65"/>
      <c r="C72" s="108"/>
      <c r="D72" s="508" t="s">
        <v>117</v>
      </c>
      <c r="E72" s="509">
        <v>6</v>
      </c>
      <c r="F72" s="510">
        <v>404131.92</v>
      </c>
    </row>
    <row r="73" spans="1:6">
      <c r="A73" s="109"/>
      <c r="B73" s="65"/>
      <c r="C73" s="108"/>
      <c r="D73" s="508" t="s">
        <v>118</v>
      </c>
      <c r="E73" s="509">
        <v>6</v>
      </c>
      <c r="F73" s="510">
        <v>404131.92</v>
      </c>
    </row>
    <row r="74" spans="1:6">
      <c r="A74" s="109"/>
      <c r="B74" s="65"/>
      <c r="C74" s="108"/>
      <c r="D74" s="508" t="s">
        <v>119</v>
      </c>
      <c r="E74" s="509">
        <v>5</v>
      </c>
      <c r="F74" s="510">
        <v>336776.59</v>
      </c>
    </row>
    <row r="75" spans="1:6">
      <c r="A75" s="109"/>
      <c r="B75" s="65"/>
      <c r="C75" s="108"/>
      <c r="D75" s="62" t="s">
        <v>120</v>
      </c>
      <c r="E75" s="65">
        <v>5</v>
      </c>
      <c r="F75" s="108">
        <v>336776.59</v>
      </c>
    </row>
    <row r="76" spans="1:6">
      <c r="A76" s="109"/>
      <c r="B76" s="65"/>
      <c r="C76" s="108"/>
      <c r="D76" s="62" t="s">
        <v>121</v>
      </c>
      <c r="E76" s="65">
        <v>4</v>
      </c>
      <c r="F76" s="108">
        <v>269421.27</v>
      </c>
    </row>
    <row r="77" spans="1:6">
      <c r="A77" s="109"/>
      <c r="B77" s="65"/>
      <c r="C77" s="108"/>
      <c r="D77" s="62" t="s">
        <v>122</v>
      </c>
      <c r="E77" s="65">
        <v>4</v>
      </c>
      <c r="F77" s="108">
        <v>269421.27</v>
      </c>
    </row>
    <row r="78" spans="1:6">
      <c r="A78" s="109"/>
      <c r="B78" s="65"/>
      <c r="C78" s="108"/>
      <c r="D78" s="62" t="s">
        <v>123</v>
      </c>
      <c r="E78" s="65">
        <v>3</v>
      </c>
      <c r="F78" s="108">
        <v>202065.95</v>
      </c>
    </row>
    <row r="79" spans="1:6">
      <c r="A79" s="109"/>
      <c r="B79" s="65"/>
      <c r="C79" s="108"/>
      <c r="D79" s="62" t="s">
        <v>124</v>
      </c>
      <c r="E79" s="65">
        <v>3</v>
      </c>
      <c r="F79" s="108">
        <v>202065.95</v>
      </c>
    </row>
    <row r="80" spans="1:6">
      <c r="A80" s="109"/>
      <c r="B80" s="65"/>
      <c r="C80" s="108"/>
      <c r="D80" s="62" t="s">
        <v>125</v>
      </c>
      <c r="E80" s="65">
        <v>3</v>
      </c>
      <c r="F80" s="108">
        <v>202065.95</v>
      </c>
    </row>
    <row r="81" spans="1:6">
      <c r="A81" s="109"/>
      <c r="B81" s="65"/>
      <c r="C81" s="108"/>
      <c r="D81" s="62" t="s">
        <v>126</v>
      </c>
      <c r="E81" s="65">
        <v>3</v>
      </c>
      <c r="F81" s="108">
        <v>202065.95</v>
      </c>
    </row>
    <row r="82" spans="1:6">
      <c r="A82" s="109"/>
      <c r="B82" s="65"/>
      <c r="C82" s="108"/>
      <c r="D82" s="62" t="s">
        <v>127</v>
      </c>
      <c r="E82" s="65">
        <v>2.4500000000000002</v>
      </c>
      <c r="F82" s="108">
        <v>165186.48000000001</v>
      </c>
    </row>
    <row r="83" spans="1:6">
      <c r="A83" s="109"/>
      <c r="B83" s="65"/>
      <c r="C83" s="108"/>
      <c r="D83" s="62" t="s">
        <v>128</v>
      </c>
      <c r="E83" s="65">
        <v>-15</v>
      </c>
      <c r="F83" s="108">
        <v>-1010330.13</v>
      </c>
    </row>
    <row r="84" spans="1:6">
      <c r="A84" s="109"/>
      <c r="B84" s="65"/>
      <c r="C84" s="108"/>
      <c r="D84" s="109"/>
      <c r="E84" s="65"/>
      <c r="F84" s="108"/>
    </row>
    <row r="85" spans="1:6" ht="13.8" thickBot="1">
      <c r="A85" s="74" t="s">
        <v>129</v>
      </c>
      <c r="B85" s="110">
        <v>100</v>
      </c>
      <c r="C85" s="111"/>
      <c r="D85" s="74" t="s">
        <v>129</v>
      </c>
      <c r="E85" s="110">
        <v>100</v>
      </c>
      <c r="F85" s="111">
        <v>6735531.7699999996</v>
      </c>
    </row>
    <row r="86" spans="1:6" ht="15.6">
      <c r="A86" s="56" t="s">
        <v>130</v>
      </c>
    </row>
  </sheetData>
  <mergeCells count="2">
    <mergeCell ref="B44:D44"/>
    <mergeCell ref="E44:G4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2A7B-7346-4D1B-95F9-E51F20D4B3D4}">
  <sheetPr>
    <tabColor theme="6" tint="0.79998168889431442"/>
  </sheetPr>
  <dimension ref="A1:R57"/>
  <sheetViews>
    <sheetView topLeftCell="A16" workbookViewId="0">
      <selection activeCell="E4" sqref="E4"/>
    </sheetView>
  </sheetViews>
  <sheetFormatPr defaultColWidth="8.69921875" defaultRowHeight="13.2"/>
  <cols>
    <col min="1" max="1" width="33.5" style="6" customWidth="1"/>
    <col min="2" max="2" width="17.09765625" style="6" customWidth="1"/>
    <col min="3" max="3" width="16.5" style="6" customWidth="1"/>
    <col min="4" max="4" width="18.5" style="6" customWidth="1"/>
    <col min="5" max="5" width="16.8984375" style="6" customWidth="1"/>
    <col min="6" max="6" width="15.69921875" style="6" customWidth="1"/>
    <col min="7" max="7" width="11.19921875" style="6" customWidth="1"/>
    <col min="8" max="8" width="13.59765625" style="6" customWidth="1"/>
    <col min="9" max="9" width="16.69921875" style="6" bestFit="1" customWidth="1"/>
    <col min="10" max="10" width="14.69921875" style="6" customWidth="1"/>
    <col min="11" max="11" width="16.59765625" style="6" customWidth="1"/>
    <col min="12" max="12" width="16" style="6" customWidth="1"/>
    <col min="13" max="13" width="18.19921875" style="6" customWidth="1"/>
    <col min="14" max="16384" width="8.69921875" style="6"/>
  </cols>
  <sheetData>
    <row r="1" spans="1:18">
      <c r="A1" s="47" t="s">
        <v>45</v>
      </c>
      <c r="B1" s="51"/>
      <c r="C1" s="51"/>
      <c r="D1" s="13"/>
      <c r="E1" s="48"/>
      <c r="G1" s="54"/>
      <c r="H1" s="54"/>
    </row>
    <row r="2" spans="1:18">
      <c r="A2" s="16"/>
      <c r="B2" s="46" t="s">
        <v>47</v>
      </c>
      <c r="C2" s="46" t="s">
        <v>48</v>
      </c>
      <c r="D2" s="17" t="s">
        <v>49</v>
      </c>
      <c r="E2" s="46" t="s">
        <v>50</v>
      </c>
      <c r="G2" s="54"/>
      <c r="H2" s="54"/>
    </row>
    <row r="3" spans="1:18" ht="4.5" customHeight="1">
      <c r="A3" s="1"/>
      <c r="B3" s="52"/>
      <c r="C3" s="52"/>
      <c r="D3" s="49"/>
      <c r="E3" s="49"/>
      <c r="G3" s="54"/>
      <c r="H3" s="54"/>
    </row>
    <row r="4" spans="1:18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>
      <c r="A5" s="1"/>
      <c r="B5" s="52"/>
      <c r="C5" s="52"/>
      <c r="D5" s="123"/>
      <c r="G5" s="54"/>
      <c r="H5" s="54"/>
      <c r="Q5" s="55"/>
      <c r="R5" s="56"/>
    </row>
    <row r="6" spans="1:18" ht="13.8" thickBot="1">
      <c r="A6" s="1" t="s">
        <v>131</v>
      </c>
      <c r="B6" s="52"/>
      <c r="C6" s="52"/>
      <c r="D6" s="123"/>
      <c r="G6" s="54"/>
      <c r="H6" s="54"/>
      <c r="Q6" s="55"/>
      <c r="R6" s="56"/>
    </row>
    <row r="7" spans="1:18">
      <c r="A7" s="125" t="s">
        <v>52</v>
      </c>
      <c r="B7" s="58" t="s">
        <v>53</v>
      </c>
      <c r="C7" s="59" t="s">
        <v>26</v>
      </c>
    </row>
    <row r="8" spans="1:18">
      <c r="A8" s="124" t="s">
        <v>54</v>
      </c>
      <c r="B8" s="127">
        <f>'1. IQVIA '!F85</f>
        <v>6735531.7699999996</v>
      </c>
      <c r="C8" s="129"/>
    </row>
    <row r="9" spans="1:18">
      <c r="A9" s="131" t="s">
        <v>24</v>
      </c>
      <c r="B9" s="132">
        <f>B14+B19+B24+B29</f>
        <v>5896792.5199999996</v>
      </c>
      <c r="C9" s="133">
        <f>B9/B8</f>
        <v>0.87547542218778662</v>
      </c>
    </row>
    <row r="10" spans="1:18" ht="13.8" thickBot="1">
      <c r="A10" s="126" t="s">
        <v>25</v>
      </c>
      <c r="B10" s="128">
        <f>B8-B9</f>
        <v>838739.25</v>
      </c>
      <c r="C10" s="130">
        <f>B10/B8</f>
        <v>0.12452457781221334</v>
      </c>
      <c r="E10" s="167"/>
    </row>
    <row r="12" spans="1:18">
      <c r="A12" s="1" t="s">
        <v>132</v>
      </c>
    </row>
    <row r="13" spans="1:18" s="149" customFormat="1">
      <c r="A13" s="153"/>
      <c r="B13" s="154" t="s">
        <v>56</v>
      </c>
      <c r="C13" s="154" t="s">
        <v>57</v>
      </c>
      <c r="D13" s="155"/>
      <c r="F13" s="156"/>
      <c r="G13" s="157"/>
      <c r="H13" s="156"/>
      <c r="I13" s="158"/>
      <c r="Q13" s="150"/>
      <c r="R13" s="150"/>
    </row>
    <row r="14" spans="1:18" s="149" customFormat="1">
      <c r="A14" s="153">
        <v>2024</v>
      </c>
      <c r="B14" s="159">
        <f>SUM(A16:L16)</f>
        <v>1654541.8900000001</v>
      </c>
      <c r="C14" s="160">
        <f>SUM(A17:L17)</f>
        <v>406105797</v>
      </c>
      <c r="I14" s="158"/>
      <c r="Q14" s="150"/>
      <c r="R14" s="150"/>
    </row>
    <row r="15" spans="1:18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168" customFormat="1">
      <c r="A16" s="171">
        <f>SUMIFS($C$36:$C$57,$F$36:$F$57,2024,$G$36:$G$57,1,$J$36:$J$57,"Y")</f>
        <v>0</v>
      </c>
      <c r="B16" s="171">
        <f>SUMIFS($C$36:$C$57,$F$36:$F$57,2024,$G$36:$G$57,2,$J$36:$J$57,"Y")</f>
        <v>0</v>
      </c>
      <c r="C16" s="171">
        <f>SUMIFS($C$36:$C$57,$F$36:$F$57,2024,$G$36:$G$57,3,$J$36:$J$57,"Y")</f>
        <v>0</v>
      </c>
      <c r="D16" s="171">
        <f>SUMIFS($C$36:$C$57,$F$36:$F$57,2024,$G$36:$G$57,4,$J$36:$J$57,"Y")</f>
        <v>0</v>
      </c>
      <c r="E16" s="171">
        <f>SUMIFS($C$36:$C$57,$F$36:$F$57,2024,$G$36:$G$57,5,$J$36:$J$57,"Y")</f>
        <v>0</v>
      </c>
      <c r="F16" s="171">
        <f>SUMIFS($C$36:$C$57,$F$36:$F$57,2024,$G$36:$G$57,6,$J$36:$J$57,"Y")</f>
        <v>0</v>
      </c>
      <c r="G16" s="171">
        <f>SUMIFS($C$36:$C$57,$F$36:$F$57,2024,$G$36:$G$57,7,$J$36:$J$57,"Y")</f>
        <v>0</v>
      </c>
      <c r="H16" s="171">
        <f>SUMIFS($C$36:$C$57,$F$36:$F$57,2024,$G$36:$G$57,8,$J$36:$J$57,"Y")</f>
        <v>270676.37</v>
      </c>
      <c r="I16" s="171">
        <f>SUMIFS($C$36:$C$57,$F$36:$F$57,2024,$G$36:$G$57,9,$J$36:$J$57,"Y")</f>
        <v>0</v>
      </c>
      <c r="J16" s="171">
        <f>SUMIFS($C$36:$C$57,$F$36:$F$57,2024,$G$36:$G$57,10,$J$36:$J$57,"Y")</f>
        <v>722048.76</v>
      </c>
      <c r="K16" s="171">
        <f>SUMIFS($C$36:$C$57,$F$36:$F$57,2024,$G$36:$G$57,11,$J$36:$J$57,"Y")</f>
        <v>0</v>
      </c>
      <c r="L16" s="171">
        <f>SUMIFS($C$36:$C$57,$F$36:$F$57,2024,$G$36:$G$57,12,$J$36:$J$57,"Y")</f>
        <v>661816.76</v>
      </c>
    </row>
    <row r="17" spans="1:18" s="168" customFormat="1">
      <c r="A17" s="170">
        <f>SUMIFS($I$36:$I$57,$F$36:$F$57,2024,$G$36:$G$57,1,$J$36:$J$57,"Y")</f>
        <v>0</v>
      </c>
      <c r="B17" s="170">
        <f>SUMIFS($I$36:$I$57,$F$36:$F$57,2024,$G$36:$G$57,2,$J$36:$J$57,"Y")</f>
        <v>0</v>
      </c>
      <c r="C17" s="170">
        <f>SUMIFS($I$36:$I$57,$F$36:$F$57,2024,$G$36:$G$57,3,$J$36:$J$57,"Y")</f>
        <v>0</v>
      </c>
      <c r="D17" s="170">
        <f>SUMIFS($I$36:$I$57,$F$36:$F$57,2024,$G$36:$G$57,4,$J$36:$J$57,"Y")</f>
        <v>0</v>
      </c>
      <c r="E17" s="170">
        <f>SUMIFS($I$36:$I$57,$F$36:$F$57,2024,$G$36:$G$57,5,$J$36:$J$57,"Y")</f>
        <v>0</v>
      </c>
      <c r="F17" s="170">
        <f>SUMIFS($I$36:$I$57,$F$36:$F$57,2024,$G$36:$G$57,6,$J$36:$J$57,"Y")</f>
        <v>0</v>
      </c>
      <c r="G17" s="170">
        <f>SUMIFS($I$36:$I$57,$F$36:$F$57,2024,$G$36:$G$57,7,$J$36:$J$57,"Y")</f>
        <v>0</v>
      </c>
      <c r="H17" s="170">
        <f>SUMIFS($I$36:$I$57,$F$36:$F$57,2024,$G$36:$G$57,8,$J$36:$J$57,"Y")</f>
        <v>406014555</v>
      </c>
      <c r="I17" s="170">
        <f>SUMIFS($I$36:$I$57,$F$36:$F$57,2024,$G$36:$G$57,9,$J$36:$J$57,"Y")</f>
        <v>0</v>
      </c>
      <c r="J17" s="170">
        <f>SUMIFS($I$36:$I$57,$F$36:$F$57,2024,$G$36:$G$57,10,$J$36:$J$57,"Y")</f>
        <v>45585</v>
      </c>
      <c r="K17" s="170">
        <f>SUMIFS($I$36:$I$57,$F$36:$F$57,2024,$G$36:$G$57,11,$J$36:$J$57,"Y")</f>
        <v>0</v>
      </c>
      <c r="L17" s="170">
        <f>SUMIFS($I$36:$I$57,$F$36:$F$57,2024,$G$36:$G$57,12,$J$36:$J$57,"Y")</f>
        <v>45657</v>
      </c>
      <c r="Q17" s="169"/>
      <c r="R17" s="169"/>
    </row>
    <row r="18" spans="1:18" ht="5.4" customHeight="1">
      <c r="I18" s="54"/>
      <c r="Q18" s="55"/>
      <c r="R18" s="56"/>
    </row>
    <row r="19" spans="1:18" s="149" customFormat="1">
      <c r="A19" s="153">
        <v>2025</v>
      </c>
      <c r="B19" s="159">
        <f>SUM(A21:L21)</f>
        <v>2625713.27</v>
      </c>
      <c r="C19" s="160">
        <f>SUM(A22:L22)</f>
        <v>275739</v>
      </c>
      <c r="I19" s="158"/>
      <c r="Q19" s="150"/>
      <c r="R19" s="150"/>
    </row>
    <row r="20" spans="1:18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>
      <c r="A21" s="171">
        <f>SUMIFS($C$36:$C$57,$F$36:$F$57,2025,$G$36:$G$57,1,$J$36:$J$57,"Y")</f>
        <v>0</v>
      </c>
      <c r="B21" s="171">
        <f>SUMIFS($C$36:$C$57,$F$36:$F$57,2025,$G$36:$G$57,2,$J$36:$J$57,"Y")</f>
        <v>0</v>
      </c>
      <c r="C21" s="171">
        <f>SUMIFS($C$36:$C$57,$F$36:$F$57,2025,$G$36:$G$57,3,$J$36:$J$57,"Y")</f>
        <v>0</v>
      </c>
      <c r="D21" s="171">
        <f>SUMIFS($C$36:$C$57,$F$36:$F$57,2025,$G$36:$G$57,4,$J$36:$J$57,"Y")</f>
        <v>595635.07999999996</v>
      </c>
      <c r="E21" s="171">
        <f>SUMIFS($C$36:$C$57,$F$36:$F$57,2025,$G$36:$G$57,5,$J$36:$J$57,"Y")</f>
        <v>0</v>
      </c>
      <c r="F21" s="171">
        <f>SUMIFS($C$36:$C$57,$F$36:$F$57,2025,$G$36:$G$57,6,$J$36:$J$57,"Y")</f>
        <v>0</v>
      </c>
      <c r="G21" s="171">
        <f>SUMIFS($C$36:$C$57,$F$36:$F$57,2025,$G$36:$G$57,7,$J$36:$J$57,"Y")</f>
        <v>0</v>
      </c>
      <c r="H21" s="171">
        <f>SUMIFS($C$36:$C$57,$F$36:$F$57,2025,$G$36:$G$57,8,$J$36:$J$57,"Y")</f>
        <v>463271.73</v>
      </c>
      <c r="I21" s="171">
        <f>SUMIFS($C$36:$C$57,$F$36:$F$57,2025,$G$36:$G$57,9,$J$36:$J$57,"Y")</f>
        <v>0</v>
      </c>
      <c r="J21" s="171">
        <f>SUMIFS($C$36:$C$57,$F$36:$F$57,2025,$G$36:$G$57,10,$J$36:$J$57,"Y")</f>
        <v>0</v>
      </c>
      <c r="K21" s="171">
        <f>SUMIFS($C$36:$C$57,$F$36:$F$57,2025,$G$36:$G$57,11,$J$36:$J$57,"Y")</f>
        <v>17605</v>
      </c>
      <c r="L21" s="171">
        <f>SUMIFS($C$36:$C$57,$F$36:$F$57,2025,$G$36:$G$57,12,$J$36:$J$57,"Y")</f>
        <v>1549201.46</v>
      </c>
      <c r="Q21" s="55"/>
      <c r="R21" s="56"/>
    </row>
    <row r="22" spans="1:18">
      <c r="A22" s="170">
        <f>SUMIFS($I$36:$I$57,$F$36:$F$57,2025,$G$36:$G$57,1,$J$36:$J$57,"Y")</f>
        <v>0</v>
      </c>
      <c r="B22" s="170">
        <f>SUMIFS($I$36:$I$57,$F$36:$F$57,2025,$G$36:$G$57,2,$J$36:$J$57,"Y")</f>
        <v>0</v>
      </c>
      <c r="C22" s="170">
        <f>SUMIFS($I$36:$I$57,$F$36:$F$57,2025,$G$36:$G$57,3,$J$36:$J$57,"Y")</f>
        <v>0</v>
      </c>
      <c r="D22" s="170">
        <f>SUMIFS($I$36:$I$57,$F$36:$F$57,2025,$G$36:$G$57,4,$J$36:$J$57,"Y")</f>
        <v>45768</v>
      </c>
      <c r="E22" s="170">
        <f>SUMIFS($I$36:$I$57,$F$36:$F$57,2025,$G$36:$G$57,5,$J$36:$J$57,"Y")</f>
        <v>0</v>
      </c>
      <c r="F22" s="170">
        <f>SUMIFS($I$36:$I$57,$F$36:$F$57,2025,$G$36:$G$57,6,$J$36:$J$57,"Y")</f>
        <v>0</v>
      </c>
      <c r="G22" s="170">
        <f>SUMIFS($I$36:$I$57,$F$36:$F$57,2025,$G$36:$G$57,7,$J$36:$J$57,"Y")</f>
        <v>0</v>
      </c>
      <c r="H22" s="170">
        <f>SUMIFS($I$36:$I$57,$F$36:$F$57,2025,$G$36:$G$57,8,$J$36:$J$57,"Y")</f>
        <v>45891</v>
      </c>
      <c r="I22" s="170">
        <f>SUMIFS($I$36:$I$57,$F$36:$F$57,2025,$G$36:$G$57,9,$J$36:$J$57,"Y")</f>
        <v>0</v>
      </c>
      <c r="J22" s="170">
        <f>SUMIFS($I$36:$I$57,$F$36:$F$57,2025,$G$36:$G$57,10,$J$36:$J$57,"Y")</f>
        <v>0</v>
      </c>
      <c r="K22" s="170">
        <f>SUMIFS($I$36:$I$57,$F$36:$F$57,2025,$G$36:$G$57,11,$J$36:$J$57,"Y")</f>
        <v>45999</v>
      </c>
      <c r="L22" s="170">
        <f>SUMIFS($I$36:$I$57,$F$36:$F$57,2025,$G$36:$G$57,12,$J$36:$J$57,"Y")</f>
        <v>138081</v>
      </c>
      <c r="Q22" s="55"/>
      <c r="R22" s="56"/>
    </row>
    <row r="23" spans="1:18" ht="5.4" customHeight="1">
      <c r="I23" s="54"/>
      <c r="Q23" s="55"/>
      <c r="R23" s="56"/>
    </row>
    <row r="24" spans="1:18" s="149" customFormat="1">
      <c r="A24" s="153">
        <v>2026</v>
      </c>
      <c r="B24" s="159">
        <f>SUM(A26:L26)</f>
        <v>1616537.3599999999</v>
      </c>
      <c r="C24" s="160">
        <f>SUM(A27:L27)</f>
        <v>184578</v>
      </c>
      <c r="I24" s="158"/>
      <c r="Q24" s="150"/>
      <c r="R24" s="150"/>
    </row>
    <row r="25" spans="1:18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>
      <c r="A26" s="171">
        <f>SUMIFS($C$36:$C$57,$F$36:$F$57,2026,$G$36:$G$57,1,$J$36:$J$57,"Y")</f>
        <v>0</v>
      </c>
      <c r="B26" s="171">
        <f>SUMIFS($C$36:$C$57,$F$36:$F$57,2026,$G$36:$G$57,2,$J$36:$J$57,"Y")</f>
        <v>471496.93</v>
      </c>
      <c r="C26" s="171">
        <f>SUMIFS($C$36:$C$57,$F$36:$F$57,2026,$G$36:$G$57,3,$J$36:$J$57,"Y")</f>
        <v>404131.92</v>
      </c>
      <c r="D26" s="171">
        <f>SUMIFS($C$36:$C$57,$F$36:$F$57,2026,$G$36:$G$57,4,$J$36:$J$57,"Y")</f>
        <v>0</v>
      </c>
      <c r="E26" s="171">
        <f>SUMIFS($C$36:$C$57,$F$36:$F$57,2026,$G$36:$G$57,5,$J$36:$J$57,"Y")</f>
        <v>0</v>
      </c>
      <c r="F26" s="171">
        <f>SUMIFS($C$36:$C$57,$F$36:$F$57,2026,$G$36:$G$57,6,$J$36:$J$57,"Y")</f>
        <v>740908.51</v>
      </c>
      <c r="G26" s="171">
        <f>SUMIFS($C$36:$C$57,$F$36:$F$57,2026,$G$36:$G$57,7,$J$36:$J$57,"Y")</f>
        <v>0</v>
      </c>
      <c r="H26" s="171">
        <f>SUMIFS($C$36:$C$57,$F$36:$F$57,2026,$G$36:$G$57,8,$J$36:$J$57,"Y")</f>
        <v>0</v>
      </c>
      <c r="I26" s="171">
        <f>SUMIFS($C$36:$C$57,$F$36:$F$57,2026,$G$36:$G$57,9,$J$36:$J$57,"Y")</f>
        <v>0</v>
      </c>
      <c r="J26" s="171">
        <f>SUMIFS($C$36:$C$57,$F$36:$F$57,2026,$G$36:$G$57,10,$J$36:$J$57,"Y")</f>
        <v>0</v>
      </c>
      <c r="K26" s="171">
        <f>SUMIFS($C$36:$C$57,$F$36:$F$57,2026,$G$36:$G$57,11,$J$36:$J$57,"Y")</f>
        <v>0</v>
      </c>
      <c r="L26" s="171">
        <f>SUMIFS($C$36:$C$57,$F$36:$F$57,2026,$G$36:$G$57,12,$J$36:$J$57,"Y")</f>
        <v>0</v>
      </c>
      <c r="Q26" s="55"/>
      <c r="R26" s="56"/>
    </row>
    <row r="27" spans="1:18">
      <c r="A27" s="170">
        <f>SUMIFS($I$36:$I$57,$F$36:$F$57,2026,$G$36:$G$57,1,$J$36:$J$57,"Y")</f>
        <v>0</v>
      </c>
      <c r="B27" s="170">
        <f>SUMIFS($I$36:$I$57,$F$36:$F$57,2026,$G$36:$G$57,2,$J$36:$J$57,"Y")</f>
        <v>46081</v>
      </c>
      <c r="C27" s="170">
        <f>SUMIFS($I$36:$I$57,$F$36:$F$57,2026,$G$36:$G$57,3,$J$36:$J$57,"Y")</f>
        <v>46096</v>
      </c>
      <c r="D27" s="170">
        <f>SUMIFS($I$36:$I$57,$F$36:$F$57,2026,$G$36:$G$57,4,$J$36:$J$57,"Y")</f>
        <v>0</v>
      </c>
      <c r="E27" s="170">
        <f>SUMIFS($I$36:$I$57,$F$36:$F$57,2026,$G$36:$G$57,5,$J$36:$J$57,"Y")</f>
        <v>0</v>
      </c>
      <c r="F27" s="170">
        <f>SUMIFS($I$36:$I$57,$F$36:$F$57,2026,$G$36:$G$57,6,$J$36:$J$57,"Y")</f>
        <v>92401</v>
      </c>
      <c r="G27" s="170">
        <f>SUMIFS($I$36:$I$57,$F$36:$F$57,2026,$G$36:$G$57,7,$J$36:$J$57,"Y")</f>
        <v>0</v>
      </c>
      <c r="H27" s="170">
        <f>SUMIFS($I$36:$I$57,$F$36:$F$57,2026,$G$36:$G$57,8,$J$36:$J$57,"Y")</f>
        <v>0</v>
      </c>
      <c r="I27" s="170">
        <f>SUMIFS($I$36:$I$57,$F$36:$F$57,2026,$G$36:$G$57,9,$J$36:$J$57,"Y")</f>
        <v>0</v>
      </c>
      <c r="J27" s="170">
        <f>SUMIFS($I$36:$I$57,$F$36:$F$57,2026,$G$36:$G$57,10,$J$36:$J$57,"Y")</f>
        <v>0</v>
      </c>
      <c r="K27" s="170">
        <f>SUMIFS($I$36:$I$57,$F$36:$F$57,2026,$G$36:$G$57,11,$J$36:$J$57,"Y")</f>
        <v>0</v>
      </c>
      <c r="L27" s="170">
        <f>SUMIFS($I$36:$I$57,$F$36:$F$57,2026,$G$36:$G$57,12,$J$36:$J$57,"Y")</f>
        <v>0</v>
      </c>
    </row>
    <row r="28" spans="1:18" s="52" customFormat="1" ht="5.4" customHeight="1">
      <c r="A28" s="6"/>
      <c r="B28" s="6"/>
      <c r="C28" s="6"/>
      <c r="D28" s="6"/>
      <c r="E28" s="6"/>
      <c r="F28" s="6"/>
      <c r="G28" s="6"/>
      <c r="H28" s="6"/>
      <c r="I28" s="54"/>
      <c r="J28" s="6"/>
      <c r="K28" s="6"/>
      <c r="L28" s="6"/>
    </row>
    <row r="29" spans="1:18" s="149" customFormat="1">
      <c r="A29" s="153">
        <v>2027</v>
      </c>
      <c r="B29" s="159">
        <f>SUM(A31:L31)</f>
        <v>0</v>
      </c>
      <c r="C29" s="160">
        <f>SUM(A32:L32)</f>
        <v>0</v>
      </c>
      <c r="I29" s="158"/>
    </row>
    <row r="30" spans="1:18" ht="13.8">
      <c r="A30" s="136" t="s">
        <v>58</v>
      </c>
      <c r="B30" s="136" t="s">
        <v>59</v>
      </c>
      <c r="C30" s="136" t="s">
        <v>60</v>
      </c>
      <c r="D30" s="136" t="s">
        <v>61</v>
      </c>
      <c r="E30" s="136" t="s">
        <v>62</v>
      </c>
      <c r="F30" s="136" t="s">
        <v>63</v>
      </c>
      <c r="G30" s="136" t="s">
        <v>64</v>
      </c>
      <c r="H30" s="136" t="s">
        <v>65</v>
      </c>
      <c r="I30" s="136" t="s">
        <v>66</v>
      </c>
      <c r="J30" s="136" t="s">
        <v>67</v>
      </c>
      <c r="K30" s="136" t="s">
        <v>68</v>
      </c>
      <c r="L30" s="136" t="s">
        <v>69</v>
      </c>
      <c r="Q30" s="55"/>
      <c r="R30" s="56"/>
    </row>
    <row r="31" spans="1:18">
      <c r="A31" s="171">
        <f>SUMIFS($C$36:$C$57,$F$36:$F$57,2027,$G$36:$G$57,1,$J$36:$J$57,"Y")</f>
        <v>0</v>
      </c>
      <c r="B31" s="171">
        <f>SUMIFS($C$36:$C$57,$F$36:$F$57,2027,$G$36:$G$57,2,$J$36:$J$57,"Y")</f>
        <v>0</v>
      </c>
      <c r="C31" s="171">
        <f>SUMIFS($C$36:$C$57,$F$36:$F$57,2027,$G$36:$G$57,3,$J$36:$J$57,"Y")</f>
        <v>0</v>
      </c>
      <c r="D31" s="171">
        <f>SUMIFS($C$36:$C$57,$F$36:$F$57,2027,$G$36:$G$57,4,$J$36:$J$57,"Y")</f>
        <v>0</v>
      </c>
      <c r="E31" s="171">
        <f>SUMIFS($C$36:$C$57,$F$36:$F$57,2027,$G$36:$G$57,5,$J$36:$J$57,"Y")</f>
        <v>0</v>
      </c>
      <c r="F31" s="171">
        <f>SUMIFS($C$36:$C$57,$F$36:$F$57,2027,$G$36:$G$57,6,$J$36:$J$57,"Y")</f>
        <v>0</v>
      </c>
      <c r="G31" s="171">
        <f>SUMIFS($C$36:$C$57,$F$36:$F$57,2027,$G$36:$G$57,7,$J$36:$J$57,"Y")</f>
        <v>0</v>
      </c>
      <c r="H31" s="171">
        <f>SUMIFS($C$36:$C$57,$F$36:$F$57,2027,$G$36:$G$57,8,$J$36:$J$57,"Y")</f>
        <v>0</v>
      </c>
      <c r="I31" s="171">
        <f>SUMIFS($C$36:$C$57,$F$36:$F$57,2027,$G$36:$G$57,9,$J$36:$J$57,"Y")</f>
        <v>0</v>
      </c>
      <c r="J31" s="171">
        <f>SUMIFS($C$36:$C$57,$F$36:$F$57,2027,$G$36:$G$57,10,$J$36:$J$57,"Y")</f>
        <v>0</v>
      </c>
      <c r="K31" s="171">
        <f>SUMIFS($C$36:$C$57,$F$36:$F$57,2027,$G$36:$G$57,11,$J$36:$J$57,"Y")</f>
        <v>0</v>
      </c>
      <c r="L31" s="171">
        <f>SUMIFS($C$36:$C$57,$F$36:$F$57,2027,$G$36:$G$57,12,$J$36:$J$57,"Y")</f>
        <v>0</v>
      </c>
    </row>
    <row r="32" spans="1:18">
      <c r="A32" s="170">
        <f>SUMIFS($I$36:$I$57,$F$36:$F$57,2027,$G$36:$G$57,1,$J$36:$J$57,"Y")</f>
        <v>0</v>
      </c>
      <c r="B32" s="170">
        <f>SUMIFS($I$36:$I$57,$F$36:$F$57,2027,$G$36:$G$57,2,$J$36:$J$57,"Y")</f>
        <v>0</v>
      </c>
      <c r="C32" s="170">
        <f>SUMIFS($I$36:$I$57,$F$36:$F$57,2027,$G$36:$G$57,3,$J$36:$J$57,"Y")</f>
        <v>0</v>
      </c>
      <c r="D32" s="170">
        <f>SUMIFS($I$36:$I$57,$F$36:$F$57,2027,$G$36:$G$57,4,$J$36:$J$57,"Y")</f>
        <v>0</v>
      </c>
      <c r="E32" s="170">
        <f>SUMIFS($I$36:$I$57,$F$36:$F$57,2027,$G$36:$G$57,5,$J$36:$J$57,"Y")</f>
        <v>0</v>
      </c>
      <c r="F32" s="170">
        <f>SUMIFS($I$36:$I$57,$F$36:$F$57,2027,$G$36:$G$57,6,$J$36:$J$57,"Y")</f>
        <v>0</v>
      </c>
      <c r="G32" s="170">
        <f>SUMIFS($I$36:$I$57,$F$36:$F$57,2027,$G$36:$G$57,7,$J$36:$J$57,"Y")</f>
        <v>0</v>
      </c>
      <c r="H32" s="170">
        <f>SUMIFS($I$36:$I$57,$F$36:$F$57,2027,$G$36:$G$57,8,$J$36:$J$57,"Y")</f>
        <v>0</v>
      </c>
      <c r="I32" s="170">
        <f>SUMIFS($I$36:$I$57,$F$36:$F$57,2027,$G$36:$G$57,9,$J$36:$J$57,"Y")</f>
        <v>0</v>
      </c>
      <c r="J32" s="170">
        <f>SUMIFS($I$36:$I$57,$F$36:$F$57,2027,$G$36:$G$57,10,$J$36:$J$57,"Y")</f>
        <v>0</v>
      </c>
      <c r="K32" s="170">
        <f>SUMIFS($I$36:$I$57,$F$36:$F$57,2027,$G$36:$G$57,11,$J$36:$J$57,"Y")</f>
        <v>0</v>
      </c>
      <c r="L32" s="170">
        <f>SUMIFS($I$36:$I$57,$F$36:$F$57,2027,$G$36:$G$57,12,$J$36:$J$57,"Y")</f>
        <v>0</v>
      </c>
    </row>
    <row r="34" spans="1:11">
      <c r="A34" s="1" t="s">
        <v>133</v>
      </c>
      <c r="I34" s="166"/>
    </row>
    <row r="35" spans="1:11" ht="15.6">
      <c r="A35" s="14" t="s">
        <v>134</v>
      </c>
      <c r="B35" s="14" t="s">
        <v>135</v>
      </c>
      <c r="C35" s="14" t="s">
        <v>136</v>
      </c>
      <c r="D35" s="14" t="s">
        <v>137</v>
      </c>
      <c r="E35" s="14" t="s">
        <v>138</v>
      </c>
      <c r="F35" s="14" t="s">
        <v>139</v>
      </c>
      <c r="G35" s="14" t="s">
        <v>140</v>
      </c>
      <c r="H35" s="14" t="s">
        <v>141</v>
      </c>
      <c r="I35" s="14" t="s">
        <v>142</v>
      </c>
      <c r="J35" s="14" t="s">
        <v>143</v>
      </c>
      <c r="K35" s="172" t="s">
        <v>144</v>
      </c>
    </row>
    <row r="36" spans="1:11" ht="15.6">
      <c r="A36" s="97" t="s">
        <v>107</v>
      </c>
      <c r="B36" s="163">
        <v>270676.37</v>
      </c>
      <c r="C36" s="218">
        <v>270676.37</v>
      </c>
      <c r="D36" s="209" t="s">
        <v>145</v>
      </c>
      <c r="E36" s="217">
        <v>45495</v>
      </c>
      <c r="F36" s="212">
        <v>2024</v>
      </c>
      <c r="G36" s="212">
        <v>8</v>
      </c>
      <c r="H36" s="217">
        <v>45512</v>
      </c>
      <c r="I36" s="219">
        <v>406014555</v>
      </c>
      <c r="J36" s="212" t="s">
        <v>146</v>
      </c>
      <c r="K36" s="220" t="s">
        <v>147</v>
      </c>
    </row>
    <row r="37" spans="1:11" ht="15.6">
      <c r="A37" s="97" t="s">
        <v>108</v>
      </c>
      <c r="B37" s="163">
        <v>722048.76</v>
      </c>
      <c r="C37" s="492">
        <v>722048.76</v>
      </c>
      <c r="D37" s="209" t="s">
        <v>148</v>
      </c>
      <c r="E37" s="217">
        <v>45562</v>
      </c>
      <c r="F37" s="5">
        <v>2024</v>
      </c>
      <c r="G37" s="5">
        <v>10</v>
      </c>
      <c r="H37" s="493">
        <v>45575</v>
      </c>
      <c r="I37" s="22">
        <f>G37+H37</f>
        <v>45585</v>
      </c>
      <c r="J37" s="212" t="s">
        <v>146</v>
      </c>
      <c r="K37" s="494" t="s">
        <v>149</v>
      </c>
    </row>
    <row r="38" spans="1:11" ht="15.6">
      <c r="A38" s="97" t="s">
        <v>109</v>
      </c>
      <c r="B38" s="163">
        <v>661816.76</v>
      </c>
      <c r="C38" s="495">
        <v>661816.76</v>
      </c>
      <c r="D38" s="496" t="s">
        <v>150</v>
      </c>
      <c r="E38" s="497">
        <v>45625</v>
      </c>
      <c r="F38" s="5">
        <v>2024</v>
      </c>
      <c r="G38" s="5">
        <v>12</v>
      </c>
      <c r="H38" s="493">
        <v>45645</v>
      </c>
      <c r="I38" s="22">
        <f t="shared" ref="I38:I57" si="0">G38+H38</f>
        <v>45657</v>
      </c>
      <c r="J38" s="212" t="s">
        <v>146</v>
      </c>
      <c r="K38" s="498" t="s">
        <v>151</v>
      </c>
    </row>
    <row r="39" spans="1:11" ht="15.6">
      <c r="A39" s="97" t="s">
        <v>110</v>
      </c>
      <c r="B39" s="163">
        <v>595635.07999999996</v>
      </c>
      <c r="C39" s="495">
        <v>595635.07999999996</v>
      </c>
      <c r="D39" s="499" t="s">
        <v>152</v>
      </c>
      <c r="E39" s="500">
        <v>45755</v>
      </c>
      <c r="F39" s="5">
        <v>2025</v>
      </c>
      <c r="G39" s="5">
        <v>4</v>
      </c>
      <c r="H39" s="493">
        <v>45764</v>
      </c>
      <c r="I39" s="22">
        <f t="shared" si="0"/>
        <v>45768</v>
      </c>
      <c r="J39" s="212" t="s">
        <v>146</v>
      </c>
      <c r="K39" s="498" t="s">
        <v>153</v>
      </c>
    </row>
    <row r="40" spans="1:11" ht="15.6">
      <c r="A40" s="97" t="s">
        <v>111</v>
      </c>
      <c r="B40" s="163">
        <v>463271.73</v>
      </c>
      <c r="C40" s="501">
        <v>463271.73</v>
      </c>
      <c r="D40" s="499" t="s">
        <v>154</v>
      </c>
      <c r="E40" s="500">
        <v>45852</v>
      </c>
      <c r="F40" s="5">
        <v>2025</v>
      </c>
      <c r="G40" s="5">
        <v>8</v>
      </c>
      <c r="H40" s="493">
        <v>45883</v>
      </c>
      <c r="I40" s="22">
        <f t="shared" si="0"/>
        <v>45891</v>
      </c>
      <c r="J40" s="212" t="s">
        <v>146</v>
      </c>
      <c r="K40" s="498" t="s">
        <v>155</v>
      </c>
    </row>
    <row r="41" spans="1:11" ht="15.6">
      <c r="A41" s="97" t="s">
        <v>112</v>
      </c>
      <c r="B41" s="163">
        <v>17605</v>
      </c>
      <c r="C41" s="501">
        <v>17605</v>
      </c>
      <c r="D41" s="502" t="s">
        <v>156</v>
      </c>
      <c r="E41" s="500">
        <v>45938</v>
      </c>
      <c r="F41" s="5">
        <v>2025</v>
      </c>
      <c r="G41" s="5">
        <v>11</v>
      </c>
      <c r="H41" s="498">
        <v>45988</v>
      </c>
      <c r="I41" s="22">
        <f t="shared" si="0"/>
        <v>45999</v>
      </c>
      <c r="J41" s="212" t="s">
        <v>146</v>
      </c>
      <c r="K41" s="500" t="s">
        <v>157</v>
      </c>
    </row>
    <row r="42" spans="1:11" ht="15.6">
      <c r="A42" s="97" t="s">
        <v>113</v>
      </c>
      <c r="B42" s="163">
        <v>606207.56999999995</v>
      </c>
      <c r="C42" s="501">
        <v>606207.56999999995</v>
      </c>
      <c r="D42" s="503" t="s">
        <v>158</v>
      </c>
      <c r="E42" s="500">
        <v>46001</v>
      </c>
      <c r="F42" s="5">
        <v>2025</v>
      </c>
      <c r="G42" s="5">
        <v>12</v>
      </c>
      <c r="H42" s="498">
        <v>46015</v>
      </c>
      <c r="I42" s="22">
        <f>G42+H42</f>
        <v>46027</v>
      </c>
      <c r="J42" s="212" t="s">
        <v>146</v>
      </c>
      <c r="K42" s="537" t="s">
        <v>159</v>
      </c>
    </row>
    <row r="43" spans="1:11" ht="15.6">
      <c r="A43" s="97" t="s">
        <v>114</v>
      </c>
      <c r="B43" s="163">
        <v>471496.93</v>
      </c>
      <c r="C43" s="501">
        <v>471496.96000000002</v>
      </c>
      <c r="D43" s="503" t="s">
        <v>158</v>
      </c>
      <c r="E43" s="500">
        <v>46001</v>
      </c>
      <c r="F43" s="5">
        <v>2025</v>
      </c>
      <c r="G43" s="5">
        <v>12</v>
      </c>
      <c r="H43" s="498">
        <v>46015</v>
      </c>
      <c r="I43" s="22">
        <f t="shared" si="0"/>
        <v>46027</v>
      </c>
      <c r="J43" s="212" t="s">
        <v>146</v>
      </c>
      <c r="K43" s="537" t="s">
        <v>159</v>
      </c>
    </row>
    <row r="44" spans="1:11" ht="15.6">
      <c r="A44" s="97" t="s">
        <v>115</v>
      </c>
      <c r="B44" s="163">
        <v>471496.93</v>
      </c>
      <c r="C44" s="162">
        <v>471496.93</v>
      </c>
      <c r="D44" s="5" t="s">
        <v>160</v>
      </c>
      <c r="E44" s="473">
        <v>46042</v>
      </c>
      <c r="F44" s="5">
        <v>2026</v>
      </c>
      <c r="G44" s="5">
        <v>2</v>
      </c>
      <c r="H44" s="498">
        <v>46079</v>
      </c>
      <c r="I44" s="22">
        <f t="shared" si="0"/>
        <v>46081</v>
      </c>
      <c r="J44" s="5" t="s">
        <v>146</v>
      </c>
      <c r="K44" s="538" t="s">
        <v>161</v>
      </c>
    </row>
    <row r="45" spans="1:11" ht="15.6">
      <c r="A45" s="97" t="s">
        <v>116</v>
      </c>
      <c r="B45" s="163">
        <v>471496.93</v>
      </c>
      <c r="C45" s="162">
        <v>471496.93</v>
      </c>
      <c r="D45" s="54" t="s">
        <v>162</v>
      </c>
      <c r="E45" s="547">
        <v>45970</v>
      </c>
      <c r="F45" s="5">
        <v>2025</v>
      </c>
      <c r="G45" s="5">
        <v>12</v>
      </c>
      <c r="H45" s="471">
        <v>46015</v>
      </c>
      <c r="I45" s="22">
        <f t="shared" si="0"/>
        <v>46027</v>
      </c>
      <c r="J45" s="5" t="s">
        <v>146</v>
      </c>
      <c r="K45" s="539" t="s">
        <v>163</v>
      </c>
    </row>
    <row r="46" spans="1:11" ht="15.6">
      <c r="A46" s="97" t="s">
        <v>117</v>
      </c>
      <c r="B46" s="163">
        <v>404131.92</v>
      </c>
      <c r="C46" s="162">
        <v>404131.92</v>
      </c>
      <c r="D46" s="54" t="s">
        <v>164</v>
      </c>
      <c r="E46" s="473">
        <v>46063</v>
      </c>
      <c r="F46" s="5">
        <v>2026</v>
      </c>
      <c r="G46" s="5">
        <v>3</v>
      </c>
      <c r="H46" s="471">
        <v>46093</v>
      </c>
      <c r="I46" s="22">
        <f t="shared" si="0"/>
        <v>46096</v>
      </c>
      <c r="J46" s="5" t="s">
        <v>146</v>
      </c>
      <c r="K46" s="536" t="s">
        <v>165</v>
      </c>
    </row>
    <row r="47" spans="1:11" ht="15.6">
      <c r="A47" s="97" t="s">
        <v>118</v>
      </c>
      <c r="B47" s="163">
        <v>404131.92</v>
      </c>
      <c r="C47" s="162">
        <v>404131.92</v>
      </c>
      <c r="D47" s="5" t="s">
        <v>166</v>
      </c>
      <c r="E47" s="473">
        <v>46155</v>
      </c>
      <c r="F47" s="5">
        <v>2026</v>
      </c>
      <c r="G47" s="5">
        <v>6</v>
      </c>
      <c r="H47" s="471">
        <v>46177</v>
      </c>
      <c r="I47" s="22">
        <f t="shared" si="0"/>
        <v>46183</v>
      </c>
      <c r="J47" s="5" t="s">
        <v>167</v>
      </c>
      <c r="K47" s="536" t="s">
        <v>168</v>
      </c>
    </row>
    <row r="48" spans="1:11">
      <c r="A48" s="97" t="s">
        <v>119</v>
      </c>
      <c r="B48" s="163">
        <v>336776.59</v>
      </c>
      <c r="C48" s="162">
        <v>336776.59</v>
      </c>
      <c r="D48" s="5" t="s">
        <v>169</v>
      </c>
      <c r="E48" s="473">
        <v>46183</v>
      </c>
      <c r="F48" s="5">
        <v>2026</v>
      </c>
      <c r="G48" s="5">
        <v>6</v>
      </c>
      <c r="H48" s="471">
        <v>46212</v>
      </c>
      <c r="I48" s="22">
        <f t="shared" si="0"/>
        <v>46218</v>
      </c>
      <c r="J48" s="5" t="s">
        <v>167</v>
      </c>
      <c r="K48" s="23" t="s">
        <v>170</v>
      </c>
    </row>
    <row r="49" spans="1:11">
      <c r="A49" s="97" t="s">
        <v>120</v>
      </c>
      <c r="B49" s="163">
        <v>336776.59</v>
      </c>
      <c r="C49" s="162"/>
      <c r="D49" s="4"/>
      <c r="E49" s="4"/>
      <c r="F49" s="4"/>
      <c r="G49" s="4"/>
      <c r="H49" s="161"/>
      <c r="I49" s="22">
        <f t="shared" si="0"/>
        <v>0</v>
      </c>
      <c r="J49" s="5"/>
      <c r="K49" s="23"/>
    </row>
    <row r="50" spans="1:11">
      <c r="A50" s="97" t="s">
        <v>121</v>
      </c>
      <c r="B50" s="163">
        <v>269421.27</v>
      </c>
      <c r="C50" s="162"/>
      <c r="D50" s="4"/>
      <c r="E50" s="4"/>
      <c r="F50" s="4"/>
      <c r="G50" s="4"/>
      <c r="H50" s="161"/>
      <c r="I50" s="22">
        <f t="shared" si="0"/>
        <v>0</v>
      </c>
      <c r="J50" s="5"/>
      <c r="K50" s="23"/>
    </row>
    <row r="51" spans="1:11">
      <c r="A51" s="97" t="s">
        <v>122</v>
      </c>
      <c r="B51" s="163">
        <v>269421.27</v>
      </c>
      <c r="C51" s="162"/>
      <c r="D51" s="4"/>
      <c r="E51" s="4"/>
      <c r="F51" s="4"/>
      <c r="G51" s="4"/>
      <c r="H51" s="161"/>
      <c r="I51" s="22">
        <f t="shared" si="0"/>
        <v>0</v>
      </c>
      <c r="J51" s="5"/>
      <c r="K51" s="23"/>
    </row>
    <row r="52" spans="1:11">
      <c r="A52" s="97" t="s">
        <v>123</v>
      </c>
      <c r="B52" s="163">
        <v>202065.95</v>
      </c>
      <c r="C52" s="162"/>
      <c r="D52" s="4"/>
      <c r="E52" s="4"/>
      <c r="F52" s="4"/>
      <c r="G52" s="4"/>
      <c r="H52" s="161"/>
      <c r="I52" s="22">
        <f t="shared" si="0"/>
        <v>0</v>
      </c>
      <c r="J52" s="5"/>
      <c r="K52" s="23"/>
    </row>
    <row r="53" spans="1:11">
      <c r="A53" s="97" t="s">
        <v>124</v>
      </c>
      <c r="B53" s="163">
        <v>202065.95</v>
      </c>
      <c r="C53" s="162"/>
      <c r="D53" s="4"/>
      <c r="E53" s="4"/>
      <c r="F53" s="4"/>
      <c r="G53" s="4"/>
      <c r="H53" s="161"/>
      <c r="I53" s="22">
        <f t="shared" si="0"/>
        <v>0</v>
      </c>
      <c r="J53" s="5"/>
      <c r="K53" s="23"/>
    </row>
    <row r="54" spans="1:11">
      <c r="A54" s="97" t="s">
        <v>125</v>
      </c>
      <c r="B54" s="163">
        <v>202065.95</v>
      </c>
      <c r="C54" s="162"/>
      <c r="D54" s="4"/>
      <c r="E54" s="4"/>
      <c r="F54" s="4"/>
      <c r="G54" s="4"/>
      <c r="H54" s="161"/>
      <c r="I54" s="22">
        <f t="shared" si="0"/>
        <v>0</v>
      </c>
      <c r="J54" s="5"/>
      <c r="K54" s="23"/>
    </row>
    <row r="55" spans="1:11">
      <c r="A55" s="97" t="s">
        <v>126</v>
      </c>
      <c r="B55" s="163">
        <v>202065.95</v>
      </c>
      <c r="C55" s="162"/>
      <c r="D55" s="4"/>
      <c r="E55" s="4"/>
      <c r="F55" s="4"/>
      <c r="G55" s="4"/>
      <c r="H55" s="161"/>
      <c r="I55" s="22">
        <f t="shared" si="0"/>
        <v>0</v>
      </c>
      <c r="J55" s="5"/>
      <c r="K55" s="23"/>
    </row>
    <row r="56" spans="1:11">
      <c r="A56" s="97" t="s">
        <v>127</v>
      </c>
      <c r="B56" s="163">
        <v>165186.48000000001</v>
      </c>
      <c r="C56" s="162"/>
      <c r="D56" s="4"/>
      <c r="E56" s="4"/>
      <c r="F56" s="4"/>
      <c r="G56" s="4"/>
      <c r="H56" s="161"/>
      <c r="I56" s="22">
        <f t="shared" si="0"/>
        <v>0</v>
      </c>
      <c r="J56" s="5"/>
      <c r="K56" s="23"/>
    </row>
    <row r="57" spans="1:11">
      <c r="A57" s="164" t="s">
        <v>128</v>
      </c>
      <c r="B57" s="165">
        <v>-1010330.13</v>
      </c>
      <c r="C57" s="162"/>
      <c r="D57" s="4"/>
      <c r="E57" s="4"/>
      <c r="F57" s="4"/>
      <c r="G57" s="4"/>
      <c r="H57" s="161"/>
      <c r="I57" s="22">
        <f t="shared" si="0"/>
        <v>0</v>
      </c>
      <c r="J57" s="5"/>
      <c r="K57" s="23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BCE0-C373-48F7-B341-4ADF5F067643}">
  <sheetPr>
    <tabColor theme="6" tint="0.79998168889431442"/>
  </sheetPr>
  <dimension ref="A1:W86"/>
  <sheetViews>
    <sheetView zoomScale="80" zoomScaleNormal="80" workbookViewId="0">
      <selection activeCell="B74" sqref="B74"/>
    </sheetView>
  </sheetViews>
  <sheetFormatPr defaultRowHeight="17.399999999999999"/>
  <cols>
    <col min="1" max="1" width="16.8984375" customWidth="1"/>
    <col min="2" max="2" width="19.19921875" customWidth="1"/>
    <col min="3" max="3" width="18" customWidth="1"/>
    <col min="4" max="4" width="15.59765625" customWidth="1"/>
    <col min="5" max="5" width="15" customWidth="1"/>
    <col min="6" max="6" width="16" customWidth="1"/>
    <col min="7" max="7" width="16.69921875" customWidth="1"/>
    <col min="8" max="8" width="15.3984375" customWidth="1"/>
    <col min="9" max="9" width="17.19921875" customWidth="1"/>
    <col min="10" max="10" width="14.69921875" customWidth="1"/>
    <col min="11" max="12" width="11.69921875" bestFit="1" customWidth="1"/>
    <col min="13" max="15" width="13.19921875" bestFit="1" customWidth="1"/>
    <col min="16" max="16" width="12.8984375" customWidth="1"/>
    <col min="17" max="17" width="9.69921875" bestFit="1" customWidth="1"/>
    <col min="20" max="20" width="11.3984375" bestFit="1" customWidth="1"/>
    <col min="21" max="21" width="14.59765625" bestFit="1" customWidth="1"/>
    <col min="23" max="23" width="9.69921875" customWidth="1"/>
  </cols>
  <sheetData>
    <row r="1" spans="1:18" s="6" customFormat="1" ht="13.2">
      <c r="A1" s="47" t="s">
        <v>45</v>
      </c>
      <c r="B1" s="51"/>
      <c r="C1" s="51"/>
      <c r="D1" s="13"/>
      <c r="E1" s="48"/>
      <c r="G1" s="54"/>
      <c r="H1" s="54"/>
    </row>
    <row r="2" spans="1:18" s="6" customFormat="1" ht="13.2">
      <c r="A2" s="16"/>
      <c r="B2" s="46" t="s">
        <v>47</v>
      </c>
      <c r="C2" s="46" t="s">
        <v>48</v>
      </c>
      <c r="D2" s="17" t="s">
        <v>49</v>
      </c>
      <c r="E2" s="46" t="s">
        <v>50</v>
      </c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 s="6" customFormat="1" ht="13.2">
      <c r="A5" s="1"/>
      <c r="B5" s="52"/>
      <c r="C5" s="52"/>
      <c r="D5" s="123"/>
      <c r="G5" s="54"/>
      <c r="H5" s="54"/>
      <c r="Q5" s="55"/>
      <c r="R5" s="56"/>
    </row>
    <row r="6" spans="1:18" s="6" customFormat="1" ht="13.8" thickBot="1">
      <c r="A6" s="1" t="s">
        <v>171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53</v>
      </c>
      <c r="C7" s="59" t="s">
        <v>26</v>
      </c>
    </row>
    <row r="8" spans="1:18" s="6" customFormat="1" ht="13.2">
      <c r="A8" s="124" t="s">
        <v>54</v>
      </c>
      <c r="B8" s="127">
        <v>9199888.6999999993</v>
      </c>
      <c r="C8" s="129"/>
    </row>
    <row r="9" spans="1:18" s="6" customFormat="1" ht="13.2">
      <c r="A9" s="103" t="s">
        <v>172</v>
      </c>
      <c r="B9" s="127"/>
      <c r="C9" s="129"/>
      <c r="D9" s="173" t="s">
        <v>173</v>
      </c>
    </row>
    <row r="10" spans="1:18" s="6" customFormat="1" ht="13.2">
      <c r="A10" s="131" t="s">
        <v>24</v>
      </c>
      <c r="B10" s="132">
        <f>B36+B41+B46+B51</f>
        <v>1491199.69</v>
      </c>
      <c r="C10" s="133">
        <f>B10/B8</f>
        <v>0.16208888374921318</v>
      </c>
    </row>
    <row r="11" spans="1:18" s="6" customFormat="1" ht="13.8" thickBot="1">
      <c r="A11" s="126" t="s">
        <v>25</v>
      </c>
      <c r="B11" s="128">
        <f>B8-B10</f>
        <v>7708689.0099999998</v>
      </c>
      <c r="C11" s="130">
        <f>B11/B8</f>
        <v>0.83791111625078685</v>
      </c>
      <c r="E11" s="167"/>
    </row>
    <row r="13" spans="1:18" s="6" customFormat="1" ht="13.2">
      <c r="A13" s="1" t="s">
        <v>174</v>
      </c>
    </row>
    <row r="14" spans="1:18" s="149" customFormat="1" ht="13.2">
      <c r="A14" s="153"/>
      <c r="B14" s="154" t="s">
        <v>56</v>
      </c>
      <c r="C14" s="154" t="s">
        <v>57</v>
      </c>
      <c r="D14" s="155"/>
      <c r="F14" s="156"/>
      <c r="G14" s="157"/>
      <c r="H14" s="156"/>
      <c r="I14" s="158"/>
      <c r="Q14" s="150"/>
      <c r="R14" s="150"/>
    </row>
    <row r="15" spans="1:18" s="149" customFormat="1" ht="13.2">
      <c r="A15" s="153">
        <v>2024</v>
      </c>
      <c r="B15" s="159">
        <f>SUM(A17:L17)</f>
        <v>1415379.01</v>
      </c>
      <c r="C15" s="160">
        <f>SUM(A18:L18)</f>
        <v>246150000.00000003</v>
      </c>
      <c r="I15" s="158"/>
      <c r="Q15" s="150"/>
      <c r="R15" s="150"/>
    </row>
    <row r="16" spans="1:18" s="6" customFormat="1" ht="13.8">
      <c r="A16" s="136" t="s">
        <v>58</v>
      </c>
      <c r="B16" s="136" t="s">
        <v>59</v>
      </c>
      <c r="C16" s="136" t="s">
        <v>60</v>
      </c>
      <c r="D16" s="136" t="s">
        <v>61</v>
      </c>
      <c r="E16" s="136" t="s">
        <v>62</v>
      </c>
      <c r="F16" s="136" t="s">
        <v>63</v>
      </c>
      <c r="G16" s="136" t="s">
        <v>64</v>
      </c>
      <c r="H16" s="136" t="s">
        <v>65</v>
      </c>
      <c r="I16" s="136" t="s">
        <v>66</v>
      </c>
      <c r="J16" s="136" t="s">
        <v>67</v>
      </c>
      <c r="K16" s="136" t="s">
        <v>68</v>
      </c>
      <c r="L16" s="136" t="s">
        <v>69</v>
      </c>
      <c r="Q16" s="55"/>
      <c r="R16" s="56"/>
    </row>
    <row r="17" spans="1:18" s="168" customFormat="1" ht="13.2">
      <c r="A17" s="171">
        <f>SUMIFS($P$41:$P$60,$R$41:$R$60,2024,$S$41:$S$60,1,$V$41:$V$60,"Y")</f>
        <v>0</v>
      </c>
      <c r="B17" s="171">
        <f>SUMIFS($P$41:$P$60,$R$41:$R$60,2024,$S$41:$S$60,2,$V$41:$V$60,"Y")</f>
        <v>0</v>
      </c>
      <c r="C17" s="171">
        <f>SUMIFS($P$41:$P$60,$R$41:$R$60,2024,$S$41:$S$60,3,$V$41:$V$60,"Y")</f>
        <v>0</v>
      </c>
      <c r="D17" s="171">
        <f>SUMIFS($P$41:$P$60,$R$41:$R$60,2024,$S$41:$S$60,4,$V$41:$V$60,"Y")</f>
        <v>0</v>
      </c>
      <c r="E17" s="171">
        <f>SUMIFS($P$41:$P$60,$R$41:$R$60,2024,$S$41:$S$60,5,$V$41:$V$60,"Y")</f>
        <v>0</v>
      </c>
      <c r="F17" s="171">
        <f>SUMIFS($P$41:$P$60,$R$41:$R$60,2024,$S$41:$S$60,6,$V$41:$V$60,"Y")</f>
        <v>0</v>
      </c>
      <c r="G17" s="171">
        <f>SUMIFS($P$41:$P$60,$R$41:$R$60,2024,$S$41:$S$60,7,$V$41:$V$60,"Y")</f>
        <v>0</v>
      </c>
      <c r="H17" s="171">
        <f>SUMIFS($P$41:$P$60,$R$41:$R$60,2024,$S$41:$S$60,8,$V$41:$V$60,"Y")</f>
        <v>26480.58</v>
      </c>
      <c r="I17" s="171">
        <f>SUMIFS($P$41:$P$60,$R$41:$R$60,2024,$S$41:$S$60,9,$V$41:$V$60,"Y")</f>
        <v>0</v>
      </c>
      <c r="J17" s="171">
        <f>SUMIFS($P$41:$P$60,$R$41:$R$60,2024,$S$41:$S$60,10,$V$41:$V$60,"Y")</f>
        <v>1386271.97</v>
      </c>
      <c r="K17" s="171">
        <f>SUMIFS($P$41:$P$60,$R$41:$R$60,2024,$S$41:$S$60,11,$V$41:$V$60,"Y")</f>
        <v>0</v>
      </c>
      <c r="L17" s="171">
        <f>SUMIFS($P$41:$P$60,$R$41:$R$60,2024,$S$41:$S$60,12,$V$41:$V$60,"Y")</f>
        <v>2626.46</v>
      </c>
    </row>
    <row r="18" spans="1:18" s="168" customFormat="1" ht="13.2">
      <c r="A18" s="170">
        <f>SUMIFS($U$41:$U$60,$R$41:$R$60,2024,$S$41:$S$60,1,$V$41:$V$60,"Y")</f>
        <v>0</v>
      </c>
      <c r="B18" s="170">
        <f>SUMIFS($U$41:$U$60,$R$41:$R$60,2024,$S$41:$S$60,2,$V$41:$V$60,"Y")</f>
        <v>0</v>
      </c>
      <c r="C18" s="170">
        <f>SUMIFS($U$41:$U$60,$R$41:$R$60,2024,$S$41:$S$60,3,$V$41:$V$60,"Y")</f>
        <v>0</v>
      </c>
      <c r="D18" s="170">
        <f>SUMIFS($U$41:$U$60,$R$41:$R$60,2024,$S$41:$S$60,4,$V$41:$V$60,"Y")</f>
        <v>0</v>
      </c>
      <c r="E18" s="170">
        <f>SUMIFS($U$41:$U$60,$R$41:$R$60,2024,$S$41:$S$60,5,$V$41:$V$60,"Y")</f>
        <v>0</v>
      </c>
      <c r="F18" s="170">
        <f>SUMIFS($U$41:$U$60,$R$41:$R$60,2024,$S$41:$S$60,6,$V$41:$V$60,"Y")</f>
        <v>0</v>
      </c>
      <c r="G18" s="170">
        <f>SUMIFS($U$41:$U$60,$R$41:$R$60,2024,$S$41:$S$60,7,$V$41:$V$60,"Y")</f>
        <v>0</v>
      </c>
      <c r="H18" s="170">
        <f>SUMIFS($U$41:$U$60,$R$41:$R$60,2024,$S$41:$S$60,8,$V$41:$V$60,"Y")</f>
        <v>39720870</v>
      </c>
      <c r="I18" s="170">
        <f>SUMIFS($U$41:$U$60,$R$41:$R$60,2024,$S$41:$S$60,9,$V$41:$V$60,"Y")</f>
        <v>0</v>
      </c>
      <c r="J18" s="170">
        <f>SUMIFS($U$41:$U$60,$R$41:$R$60,2024,$S$41:$S$60,10,$V$41:$V$60,"Y")</f>
        <v>206429130.00000003</v>
      </c>
      <c r="K18" s="170">
        <f>SUMIFS($U$41:$U$60,$R$41:$R$60,2024,$S$41:$S$60,11,$V$41:$V$60,"Y")</f>
        <v>0</v>
      </c>
      <c r="L18" s="170">
        <f>SUMIFS($U$41:$U$60,$R$41:$R$60,2024,$S$41:$S$60,12,$V$41:$V$60,"Y")</f>
        <v>0</v>
      </c>
      <c r="Q18" s="169"/>
      <c r="R18" s="169"/>
    </row>
    <row r="19" spans="1:18" s="6" customFormat="1" ht="5.4" customHeight="1">
      <c r="I19" s="54"/>
      <c r="Q19" s="55"/>
      <c r="R19" s="56"/>
    </row>
    <row r="20" spans="1:18" s="149" customFormat="1" ht="13.2">
      <c r="A20" s="153">
        <v>2025</v>
      </c>
      <c r="B20" s="159">
        <f>SUM(A22:L22)</f>
        <v>1276532.58</v>
      </c>
      <c r="C20" s="160">
        <f>SUM(A23:L23)</f>
        <v>0</v>
      </c>
      <c r="I20" s="158"/>
      <c r="Q20" s="150"/>
      <c r="R20" s="150"/>
    </row>
    <row r="21" spans="1:18" s="6" customFormat="1" ht="13.8">
      <c r="A21" s="136" t="s">
        <v>58</v>
      </c>
      <c r="B21" s="136" t="s">
        <v>59</v>
      </c>
      <c r="C21" s="136" t="s">
        <v>60</v>
      </c>
      <c r="D21" s="136" t="s">
        <v>61</v>
      </c>
      <c r="E21" s="136" t="s">
        <v>62</v>
      </c>
      <c r="F21" s="136" t="s">
        <v>63</v>
      </c>
      <c r="G21" s="136" t="s">
        <v>64</v>
      </c>
      <c r="H21" s="136" t="s">
        <v>65</v>
      </c>
      <c r="I21" s="136" t="s">
        <v>66</v>
      </c>
      <c r="J21" s="136" t="s">
        <v>67</v>
      </c>
      <c r="K21" s="136" t="s">
        <v>68</v>
      </c>
      <c r="L21" s="136" t="s">
        <v>69</v>
      </c>
      <c r="Q21" s="55"/>
      <c r="R21" s="56"/>
    </row>
    <row r="22" spans="1:18" s="6" customFormat="1" ht="13.2">
      <c r="A22" s="171">
        <f>SUMIFS($P$41:$P$60,$R$41:$R$60,2025,$S$41:$S$60,1,$V$41:$V$60,"Y")</f>
        <v>2603.63</v>
      </c>
      <c r="B22" s="171">
        <f>SUMIFS($P$41:$P$60,$R$41:$R$60,2025,$S$41:$S$60,2,$V$41:$V$60,"Y")</f>
        <v>3495.17</v>
      </c>
      <c r="C22" s="171">
        <f>SUMIFS($P$41:$P$60,$R$41:$R$60,2025,$S$41:$S$60,3,$V$41:$V$60,"Y")</f>
        <v>28596.55</v>
      </c>
      <c r="D22" s="171">
        <f>SUMIFS($P$41:$P$60,$R$41:$R$60,2025,$S$41:$S$60,4,$V$41:$V$60,"Y")</f>
        <v>6399.93</v>
      </c>
      <c r="E22" s="171">
        <f>SUMIFS($P$41:$P$60,$R$41:$R$60,2025,$S$41:$S$60,5,$V$41:$V$60,"Y")</f>
        <v>22753.1</v>
      </c>
      <c r="F22" s="171">
        <f>SUMIFS($P$41:$P$60,$R$41:$R$60,2025,$S$41:$S$60,6,$V$41:$V$60,"Y")</f>
        <v>31921.13</v>
      </c>
      <c r="G22" s="171">
        <f>SUMIFS($P$41:$P$92,$R$41:$R$92,2025,$S$41:$S$92,7,$V$41:$V$92,"Y")</f>
        <v>280003.73</v>
      </c>
      <c r="H22" s="171">
        <f>SUMIFS($P$41:$P$92,$R$41:$R$92,2025,$S$41:$S$92,8,$V$41:$V$92,"Y")</f>
        <v>86582.700000000012</v>
      </c>
      <c r="I22" s="171">
        <f>SUMIFS($P$41:$P$60,$R$41:$R$60,2025,$S$41:$S$60,9,$V$41:$V$60,"Y")</f>
        <v>0</v>
      </c>
      <c r="J22" s="171">
        <f>SUMIFS($P$41:$P$60,$R$41:$R$60,2025,$S$41:$S$60,10,$V$41:$V$60,"Y")</f>
        <v>0</v>
      </c>
      <c r="K22" s="171">
        <f>SUMIFS($P$41:$P$60,$R$41:$R$60,2025,$S$41:$S$60,11,$V$41:$V$60,"Y")</f>
        <v>253009.14</v>
      </c>
      <c r="L22" s="171">
        <f>SUMIFS($P$41:$P$92,$R$41:$R$92,2025,$S$41:$S$92,12,$V$41:$V$92,"Y")</f>
        <v>561167.5</v>
      </c>
      <c r="Q22" s="55"/>
      <c r="R22" s="56"/>
    </row>
    <row r="23" spans="1:18" s="6" customFormat="1" ht="13.2">
      <c r="A23" s="170">
        <f>SUMIFS($U$41:$U$60,$R$41:$R$60,2025,$S$41:$S$60,1,$V$41:$V$60,"Y")</f>
        <v>0</v>
      </c>
      <c r="B23" s="170">
        <f>SUMIFS($U$41:$U$60,$R$41:$R$60,2025,$S$41:$S$60,2,$V$41:$V$60,"Y")</f>
        <v>0</v>
      </c>
      <c r="C23" s="170">
        <f>SUMIFS($U$41:$U$60,$R$41:$R$60,2025,$S$41:$S$60,3,$V$41:$V$60,"Y")</f>
        <v>0</v>
      </c>
      <c r="D23" s="170">
        <f>SUMIFS($U$41:$U$60,$R$41:$R$60,2025,$S$41:$S$60,4,$V$41:$V$60,"Y")</f>
        <v>0</v>
      </c>
      <c r="E23" s="170">
        <f>SUMIFS($U$41:$U$60,$R$41:$R$60,2025,$S$41:$S$60,5,$V$41:$V$60,"Y")</f>
        <v>0</v>
      </c>
      <c r="F23" s="170">
        <f>SUMIFS($U$41:$U$60,$R$41:$R$60,2025,$S$41:$S$60,6,$V$41:$V$60,"Y")</f>
        <v>0</v>
      </c>
      <c r="G23" s="170">
        <f>SUMIFS($U$41:$U$60,$R$41:$R$60,2025,$S$41:$S$60,7,$V$41:$V$60,"Y")</f>
        <v>0</v>
      </c>
      <c r="H23" s="170">
        <f>SUMIFS($U$41:$U$60,$R$41:$R$60,2025,$S$41:$S$60,8,$V$41:$V$60,"Y")</f>
        <v>0</v>
      </c>
      <c r="I23" s="170">
        <f>SUMIFS($U$41:$U$60,$R$41:$R$60,2025,$S$41:$S$60,9,$V$41:$V$60,"Y")</f>
        <v>0</v>
      </c>
      <c r="J23" s="170">
        <f>SUMIFS($U$41:$U$60,$R$41:$R$60,2025,$S$41:$S$60,10,$V$41:$V$60,"Y")</f>
        <v>0</v>
      </c>
      <c r="K23" s="170">
        <f>SUMIFS($U$41:$U$60,$R$41:$R$60,2025,$S$41:$S$60,11,$V$41:$V$60,"Y")</f>
        <v>0</v>
      </c>
      <c r="L23" s="170">
        <f>SUMIFS($U$41:$U$60,$R$41:$R$60,2025,$S$41:$S$60,12,$V$41:$V$60,"Y")</f>
        <v>0</v>
      </c>
      <c r="Q23" s="55"/>
      <c r="R23" s="56"/>
    </row>
    <row r="24" spans="1:18" s="6" customFormat="1" ht="5.4" customHeight="1">
      <c r="I24" s="54"/>
      <c r="Q24" s="55"/>
      <c r="R24" s="56"/>
    </row>
    <row r="25" spans="1:18" s="149" customFormat="1" ht="13.2">
      <c r="A25" s="153">
        <v>2026</v>
      </c>
      <c r="B25" s="159">
        <f>SUM(A27:L27)</f>
        <v>1254386.08</v>
      </c>
      <c r="C25" s="160">
        <f>SUM(A28:L28)</f>
        <v>0</v>
      </c>
      <c r="I25" s="158"/>
      <c r="Q25" s="150"/>
      <c r="R25" s="150"/>
    </row>
    <row r="26" spans="1:18" s="6" customFormat="1" ht="13.8">
      <c r="A26" s="136" t="s">
        <v>58</v>
      </c>
      <c r="B26" s="136" t="s">
        <v>59</v>
      </c>
      <c r="C26" s="136" t="s">
        <v>60</v>
      </c>
      <c r="D26" s="136" t="s">
        <v>61</v>
      </c>
      <c r="E26" s="136" t="s">
        <v>62</v>
      </c>
      <c r="F26" s="136" t="s">
        <v>63</v>
      </c>
      <c r="G26" s="136" t="s">
        <v>64</v>
      </c>
      <c r="H26" s="136" t="s">
        <v>65</v>
      </c>
      <c r="I26" s="136" t="s">
        <v>66</v>
      </c>
      <c r="J26" s="136" t="s">
        <v>67</v>
      </c>
      <c r="K26" s="136" t="s">
        <v>68</v>
      </c>
      <c r="L26" s="136" t="s">
        <v>69</v>
      </c>
      <c r="Q26" s="55"/>
      <c r="R26" s="56"/>
    </row>
    <row r="27" spans="1:18" s="6" customFormat="1" ht="13.2">
      <c r="A27" s="171">
        <f>SUMIFS($P$41:$P$67,$R$41:$R$67,2026,$S$41:$S$67,1,$V$41:$V$67,"Y")</f>
        <v>429677.89</v>
      </c>
      <c r="B27" s="171">
        <f>SUMIFS($P$41:$P$67,$R$41:$R$67,2026,$S$41:$S$67,2,$V$41:$V$67,"Y")</f>
        <v>0</v>
      </c>
      <c r="C27" s="171">
        <f>SUMIFS($P$41:$P$67,$R$41:$R$67,2026,$S$41:$S$67,3,$V$41:$V$67,"Y")</f>
        <v>0</v>
      </c>
      <c r="D27" s="171">
        <f>SUMIFS($P$41:$P$86,$R$41:$R$86,2026,$S$41:$S$86,4,$V$41:$V$86,"Y")</f>
        <v>253068.95</v>
      </c>
      <c r="E27" s="171">
        <f>SUMIFS($P$41:$P$86,$R$41:$R$86,2026,$S$41:$S$86,5,$V$41:$V$86,"Y")</f>
        <v>112404.17</v>
      </c>
      <c r="F27" s="171">
        <f>SUMIFS($P$41:$P$86,$R$41:$R$86,2026,$S$41:$S$86,6,$V$41:$V$86,"Y")</f>
        <v>325157.14999999997</v>
      </c>
      <c r="G27" s="171">
        <f>SUMIFS($P$41:$P$86,$R$41:$R$86,2026,$S$41:$S$86,7,$V$41:$V$86,"Y")</f>
        <v>134077.91999999998</v>
      </c>
      <c r="H27" s="171">
        <f>SUMIFS($P$41:$P$86,$R$41:$R$86,2026,$S$41:$S$86,8,$V$41:$V$86,"Y")</f>
        <v>0</v>
      </c>
      <c r="I27" s="171">
        <f>SUMIFS($P$41:$P$86,$R$41:$R$86,2026,$S$41:$S$86,9,$V$41:$V$86,"Y")</f>
        <v>0</v>
      </c>
      <c r="J27" s="171">
        <f>SUMIFS($P$41:$P$86,$R$41:$R$86,2026,$S$41:$S$86,10,$V$41:$V$86,"Y")</f>
        <v>0</v>
      </c>
      <c r="K27" s="171">
        <f>SUMIFS($P$41:$P$70,$R$41:$R$70,2026,$S$41:$S$70,11,$V$41:$V$70,"Y")</f>
        <v>0</v>
      </c>
      <c r="L27" s="171">
        <f>SUMIFS($P$41:$P$70,$R$41:$R$70,2026,$S$41:$S$70,12,$V$41:$V$70,"Y")</f>
        <v>0</v>
      </c>
      <c r="Q27" s="55"/>
      <c r="R27" s="56"/>
    </row>
    <row r="28" spans="1:18" s="6" customFormat="1" ht="13.2">
      <c r="A28" s="170">
        <f>SUMIFS($U$41:$U$60,$R$41:$R$60,2026,$S$41:$S$60,1,$V$41:$V$60,"Y")</f>
        <v>0</v>
      </c>
      <c r="B28" s="170">
        <f>SUMIFS($U$41:$U$60,$R$41:$R$60,2026,$S$41:$S$60,2,$V$41:$V$60,"Y")</f>
        <v>0</v>
      </c>
      <c r="C28" s="170">
        <f>SUMIFS($U$41:$U$60,$R$41:$R$60,2026,$S$41:$S$60,3,$V$41:$V$60,"Y")</f>
        <v>0</v>
      </c>
      <c r="D28" s="170">
        <f>SUMIFS($U$41:$U$60,$R$41:$R$60,2026,$S$41:$S$60,4,$V$41:$V$60,"Y")</f>
        <v>0</v>
      </c>
      <c r="E28" s="170">
        <f>SUMIFS($U$41:$U$60,$R$41:$R$60,2026,$S$41:$S$60,5,$V$41:$V$60,"Y")</f>
        <v>0</v>
      </c>
      <c r="F28" s="170">
        <f>SUMIFS($U$41:$U$60,$R$41:$R$60,2026,$S$41:$S$60,6,$V$41:$V$60,"Y")</f>
        <v>0</v>
      </c>
      <c r="G28" s="170">
        <f>SUMIFS($U$41:$U$60,$R$41:$R$60,2026,$S$41:$S$60,7,$V$41:$V$60,"Y")</f>
        <v>0</v>
      </c>
      <c r="H28" s="170">
        <f>SUMIFS($U$41:$U$60,$R$41:$R$60,2026,$S$41:$S$60,8,$V$41:$V$60,"Y")</f>
        <v>0</v>
      </c>
      <c r="I28" s="170">
        <f>SUMIFS($U$41:$U$60,$R$41:$R$60,2026,$S$41:$S$60,9,$V$41:$V$60,"Y")</f>
        <v>0</v>
      </c>
      <c r="J28" s="170">
        <f>SUMIFS($U$41:$U$60,$R$41:$R$60,2026,$S$41:$S$60,10,$V$41:$V$60,"Y")</f>
        <v>0</v>
      </c>
      <c r="K28" s="170">
        <f>SUMIFS($U$41:$U$60,$R$41:$R$60,2026,$S$41:$S$60,11,$V$41:$V$60,"Y")</f>
        <v>0</v>
      </c>
      <c r="L28" s="170">
        <f>SUMIFS($U$41:$U$60,$R$41:$R$60,2026,$S$41:$S$60,12,$V$41:$V$60,"Y")</f>
        <v>0</v>
      </c>
    </row>
    <row r="29" spans="1:18" s="52" customFormat="1" ht="5.4" customHeight="1">
      <c r="A29" s="6"/>
      <c r="B29" s="6"/>
      <c r="C29" s="6"/>
      <c r="D29" s="6"/>
      <c r="E29" s="6"/>
      <c r="F29" s="6"/>
      <c r="G29" s="6"/>
      <c r="H29" s="6"/>
      <c r="I29" s="54"/>
      <c r="J29" s="6"/>
      <c r="K29" s="6"/>
      <c r="L29" s="6"/>
    </row>
    <row r="30" spans="1:18" s="149" customFormat="1" ht="13.2">
      <c r="A30" s="153">
        <v>2027</v>
      </c>
      <c r="B30" s="159">
        <f>SUM(A32:L32)</f>
        <v>0</v>
      </c>
      <c r="C30" s="160">
        <f>SUM(A33:L33)</f>
        <v>0</v>
      </c>
      <c r="I30" s="158"/>
    </row>
    <row r="31" spans="1:18" s="6" customFormat="1" ht="13.8">
      <c r="A31" s="136" t="s">
        <v>58</v>
      </c>
      <c r="B31" s="136" t="s">
        <v>59</v>
      </c>
      <c r="C31" s="136" t="s">
        <v>60</v>
      </c>
      <c r="D31" s="136" t="s">
        <v>61</v>
      </c>
      <c r="E31" s="136" t="s">
        <v>62</v>
      </c>
      <c r="F31" s="136" t="s">
        <v>63</v>
      </c>
      <c r="G31" s="136" t="s">
        <v>64</v>
      </c>
      <c r="H31" s="136" t="s">
        <v>65</v>
      </c>
      <c r="I31" s="136" t="s">
        <v>66</v>
      </c>
      <c r="J31" s="136" t="s">
        <v>67</v>
      </c>
      <c r="K31" s="136" t="s">
        <v>68</v>
      </c>
      <c r="L31" s="136" t="s">
        <v>69</v>
      </c>
      <c r="Q31" s="55"/>
      <c r="R31" s="56"/>
    </row>
    <row r="32" spans="1:18" s="6" customFormat="1" ht="13.2">
      <c r="A32" s="171">
        <f>SUMIFS($P$41:$P$60,$R$41:$R$60,2027,$S$41:$S$60,1,$V$41:$V$60,"Y")</f>
        <v>0</v>
      </c>
      <c r="B32" s="171">
        <f>SUMIFS($P$41:$P$60,$R$41:$R$60,2027,$S$41:$S$60,2,$V$41:$V$60,"Y")</f>
        <v>0</v>
      </c>
      <c r="C32" s="171">
        <f>SUMIFS($P$41:$P$60,$R$41:$R$60,2027,$S$41:$S$60,3,$V$41:$V$60,"Y")</f>
        <v>0</v>
      </c>
      <c r="D32" s="171">
        <f>SUMIFS($P$41:$P$60,$R$41:$R$60,2027,$S$41:$S$60,4,$V$41:$V$60,"Y")</f>
        <v>0</v>
      </c>
      <c r="E32" s="171">
        <f>SUMIFS($P$41:$P$60,$R$41:$R$60,2027,$S$41:$S$60,5,$V$41:$V$60,"Y")</f>
        <v>0</v>
      </c>
      <c r="F32" s="171">
        <f>SUMIFS($P$41:$P$60,$R$41:$R$60,2027,$S$41:$S$60,6,$V$41:$V$60,"Y")</f>
        <v>0</v>
      </c>
      <c r="G32" s="171">
        <f>SUMIFS($P$41:$P$60,$R$41:$R$60,2027,$S$41:$S$60,7,$V$41:$V$60,"Y")</f>
        <v>0</v>
      </c>
      <c r="H32" s="171">
        <f>SUMIFS($P$41:$P$60,$R$41:$R$60,2027,$S$41:$S$60,8,$V$41:$V$60,"Y")</f>
        <v>0</v>
      </c>
      <c r="I32" s="171">
        <f>SUMIFS($P$41:$P$60,$R$41:$R$60,2027,$S$41:$S$60,9,$V$41:$V$60,"Y")</f>
        <v>0</v>
      </c>
      <c r="J32" s="171">
        <f>SUMIFS($P$41:$P$60,$R$41:$R$60,2027,$S$41:$S$60,10,$V$41:$V$60,"Y")</f>
        <v>0</v>
      </c>
      <c r="K32" s="171">
        <f>SUMIFS($P$41:$P$60,$R$41:$R$60,2027,$S$41:$S$60,11,$V$41:$V$60,"Y")</f>
        <v>0</v>
      </c>
      <c r="L32" s="171">
        <f>SUMIFS($P$41:$P$60,$R$41:$R$60,2027,$S$41:$S$60,12,$V$41:$V$60,"Y")</f>
        <v>0</v>
      </c>
    </row>
    <row r="33" spans="1:23" s="6" customFormat="1" ht="13.2">
      <c r="A33" s="170">
        <f>SUMIFS($U$41:$U$60,$R$41:$R$60,2027,$S$41:$S$60,1,$V$41:$V$60,"Y")</f>
        <v>0</v>
      </c>
      <c r="B33" s="170">
        <f>SUMIFS($U$41:$U$60,$R$41:$R$60,2027,$S$41:$S$60,2,$V$41:$V$60,"Y")</f>
        <v>0</v>
      </c>
      <c r="C33" s="170">
        <f>SUMIFS($U$41:$U$60,$R$41:$R$60,2027,$S$41:$S$60,3,$V$41:$V$60,"Y")</f>
        <v>0</v>
      </c>
      <c r="D33" s="170">
        <f>SUMIFS($U$41:$U$60,$R$41:$R$60,2027,$S$41:$S$60,4,$V$41:$V$60,"Y")</f>
        <v>0</v>
      </c>
      <c r="E33" s="170">
        <f>SUMIFS($U$41:$U$60,$R$41:$R$60,2027,$S$41:$S$60,5,$V$41:$V$60,"Y")</f>
        <v>0</v>
      </c>
      <c r="F33" s="170">
        <f>SUMIFS($U$41:$U$60,$R$41:$R$60,2027,$S$41:$S$60,6,$V$41:$V$60,"Y")</f>
        <v>0</v>
      </c>
      <c r="G33" s="170">
        <f>SUMIFS($U$41:$U$60,$R$41:$R$60,2027,$S$41:$S$60,7,$V$41:$V$60,"Y")</f>
        <v>0</v>
      </c>
      <c r="H33" s="170">
        <f>SUMIFS($U$41:$U$60,$R$41:$R$60,2027,$S$41:$S$60,8,$V$41:$V$60,"Y")</f>
        <v>0</v>
      </c>
      <c r="I33" s="170">
        <f>SUMIFS($U$41:$U$60,$R$41:$R$60,2027,$S$41:$S$60,9,$V$41:$V$60,"Y")</f>
        <v>0</v>
      </c>
      <c r="J33" s="170">
        <f>SUMIFS($U$41:$U$60,$R$41:$R$60,2027,$S$41:$S$60,10,$V$41:$V$60,"Y")</f>
        <v>0</v>
      </c>
      <c r="K33" s="170">
        <f>SUMIFS($U$41:$U$60,$R$41:$R$60,2027,$S$41:$S$60,11,$V$41:$V$60,"Y")</f>
        <v>0</v>
      </c>
      <c r="L33" s="170">
        <f>SUMIFS($U$41:$U$60,$R$41:$R$60,2027,$S$41:$S$60,12,$V$41:$V$60,"Y")</f>
        <v>0</v>
      </c>
    </row>
    <row r="35" spans="1:23" s="6" customFormat="1" ht="13.2">
      <c r="A35" s="174" t="s">
        <v>175</v>
      </c>
    </row>
    <row r="36" spans="1:23" s="178" customFormat="1" ht="13.2">
      <c r="A36" s="179" t="s">
        <v>176</v>
      </c>
      <c r="B36" s="194">
        <f>1248213+24756.78+137619.42+26480.58</f>
        <v>1437069.78</v>
      </c>
      <c r="C36" s="195">
        <v>26740</v>
      </c>
      <c r="D36" s="196">
        <v>267560</v>
      </c>
      <c r="E36" s="196">
        <v>421115.32000000245</v>
      </c>
      <c r="F36" s="196">
        <v>498.59999999999997</v>
      </c>
      <c r="G36" s="196">
        <v>171</v>
      </c>
      <c r="H36" s="196">
        <v>5544</v>
      </c>
      <c r="I36" s="196">
        <v>24717</v>
      </c>
      <c r="J36" s="197" t="s">
        <v>177</v>
      </c>
      <c r="K36" s="195">
        <v>39.78</v>
      </c>
      <c r="L36" s="196">
        <v>556302</v>
      </c>
      <c r="M36" s="196">
        <v>62192</v>
      </c>
      <c r="N36" s="196">
        <v>3467289</v>
      </c>
      <c r="O36" s="198">
        <v>4367720</v>
      </c>
    </row>
    <row r="37" spans="1:23" s="6" customFormat="1" ht="13.2">
      <c r="A37" s="180" t="s">
        <v>178</v>
      </c>
      <c r="B37" s="199">
        <f>SUM(B41:B77)</f>
        <v>3946297.669999999</v>
      </c>
      <c r="C37" s="200">
        <f>SUM(C41:C60)</f>
        <v>0</v>
      </c>
      <c r="D37" s="200">
        <f t="shared" ref="D37:O37" si="0">SUM(D41:D60)</f>
        <v>0</v>
      </c>
      <c r="E37" s="200">
        <f t="shared" si="0"/>
        <v>0</v>
      </c>
      <c r="F37" s="200">
        <f t="shared" si="0"/>
        <v>0</v>
      </c>
      <c r="G37" s="200">
        <f t="shared" si="0"/>
        <v>0</v>
      </c>
      <c r="H37" s="200">
        <f t="shared" si="0"/>
        <v>0</v>
      </c>
      <c r="I37" s="200">
        <f t="shared" si="0"/>
        <v>0</v>
      </c>
      <c r="J37" s="200">
        <f t="shared" si="0"/>
        <v>0</v>
      </c>
      <c r="K37" s="200">
        <f t="shared" si="0"/>
        <v>0</v>
      </c>
      <c r="L37" s="200">
        <f t="shared" si="0"/>
        <v>0</v>
      </c>
      <c r="M37" s="200">
        <f t="shared" si="0"/>
        <v>0</v>
      </c>
      <c r="N37" s="200">
        <f t="shared" si="0"/>
        <v>0</v>
      </c>
      <c r="O37" s="200">
        <f t="shared" si="0"/>
        <v>0</v>
      </c>
      <c r="P37" s="175"/>
      <c r="Q37" s="175"/>
    </row>
    <row r="38" spans="1:23" s="6" customFormat="1" ht="13.2">
      <c r="A38" s="181" t="s">
        <v>179</v>
      </c>
      <c r="B38" s="185">
        <f>B36-B37</f>
        <v>-2509227.8899999987</v>
      </c>
      <c r="C38" s="182">
        <f t="shared" ref="C38:O38" si="1">C36-C37</f>
        <v>26740</v>
      </c>
      <c r="D38" s="182">
        <f t="shared" si="1"/>
        <v>267560</v>
      </c>
      <c r="E38" s="182">
        <f t="shared" si="1"/>
        <v>421115.32000000245</v>
      </c>
      <c r="F38" s="182">
        <f t="shared" si="1"/>
        <v>498.59999999999997</v>
      </c>
      <c r="G38" s="182">
        <f t="shared" si="1"/>
        <v>171</v>
      </c>
      <c r="H38" s="182">
        <f t="shared" si="1"/>
        <v>5544</v>
      </c>
      <c r="I38" s="182">
        <f t="shared" si="1"/>
        <v>24717</v>
      </c>
      <c r="J38" s="182" t="e">
        <f t="shared" si="1"/>
        <v>#VALUE!</v>
      </c>
      <c r="K38" s="182">
        <f t="shared" si="1"/>
        <v>39.78</v>
      </c>
      <c r="L38" s="182">
        <f t="shared" si="1"/>
        <v>556302</v>
      </c>
      <c r="M38" s="182">
        <f t="shared" si="1"/>
        <v>62192</v>
      </c>
      <c r="N38" s="182">
        <f t="shared" si="1"/>
        <v>3467289</v>
      </c>
      <c r="O38" s="182">
        <f t="shared" si="1"/>
        <v>4367720</v>
      </c>
      <c r="P38" s="176"/>
      <c r="Q38" s="176"/>
    </row>
    <row r="39" spans="1:23" s="6" customFormat="1" ht="13.8" thickBot="1">
      <c r="A39" s="181" t="s">
        <v>180</v>
      </c>
      <c r="B39" s="185"/>
      <c r="C39" s="183">
        <f>C38/C36</f>
        <v>1</v>
      </c>
      <c r="D39" s="183">
        <f t="shared" ref="D39:O39" si="2">D38/D36</f>
        <v>1</v>
      </c>
      <c r="E39" s="183">
        <f t="shared" si="2"/>
        <v>1</v>
      </c>
      <c r="F39" s="183">
        <f t="shared" si="2"/>
        <v>1</v>
      </c>
      <c r="G39" s="183">
        <f t="shared" si="2"/>
        <v>1</v>
      </c>
      <c r="H39" s="183">
        <f t="shared" si="2"/>
        <v>1</v>
      </c>
      <c r="I39" s="183">
        <f t="shared" si="2"/>
        <v>1</v>
      </c>
      <c r="J39" s="183" t="e">
        <f t="shared" si="2"/>
        <v>#VALUE!</v>
      </c>
      <c r="K39" s="183">
        <f t="shared" si="2"/>
        <v>1</v>
      </c>
      <c r="L39" s="183">
        <f t="shared" si="2"/>
        <v>1</v>
      </c>
      <c r="M39" s="183">
        <f t="shared" si="2"/>
        <v>1</v>
      </c>
      <c r="N39" s="183">
        <f t="shared" si="2"/>
        <v>1</v>
      </c>
      <c r="O39" s="183">
        <f t="shared" si="2"/>
        <v>1</v>
      </c>
      <c r="P39" s="177"/>
      <c r="Q39" s="177"/>
    </row>
    <row r="40" spans="1:23" s="6" customFormat="1" ht="39.6">
      <c r="A40" s="184" t="s">
        <v>181</v>
      </c>
      <c r="B40" s="186" t="s">
        <v>182</v>
      </c>
      <c r="C40" s="184" t="s">
        <v>183</v>
      </c>
      <c r="D40" s="184" t="s">
        <v>184</v>
      </c>
      <c r="E40" s="184" t="s">
        <v>185</v>
      </c>
      <c r="F40" s="184" t="s">
        <v>186</v>
      </c>
      <c r="G40" s="184" t="s">
        <v>187</v>
      </c>
      <c r="H40" s="184" t="s">
        <v>188</v>
      </c>
      <c r="I40" s="184" t="s">
        <v>189</v>
      </c>
      <c r="J40" s="184" t="s">
        <v>190</v>
      </c>
      <c r="K40" s="184" t="s">
        <v>191</v>
      </c>
      <c r="L40" s="184" t="s">
        <v>192</v>
      </c>
      <c r="M40" s="184" t="s">
        <v>193</v>
      </c>
      <c r="N40" s="184" t="s">
        <v>194</v>
      </c>
      <c r="O40" s="188" t="s">
        <v>195</v>
      </c>
      <c r="P40" s="189" t="s">
        <v>196</v>
      </c>
      <c r="Q40" s="190" t="s">
        <v>197</v>
      </c>
      <c r="R40" s="191" t="s">
        <v>198</v>
      </c>
      <c r="S40" s="191" t="s">
        <v>199</v>
      </c>
      <c r="T40" s="190" t="s">
        <v>200</v>
      </c>
      <c r="U40" s="192" t="s">
        <v>201</v>
      </c>
      <c r="V40" s="192" t="s">
        <v>202</v>
      </c>
      <c r="W40" s="305" t="s">
        <v>203</v>
      </c>
    </row>
    <row r="41" spans="1:23">
      <c r="A41" s="209" t="s">
        <v>204</v>
      </c>
      <c r="B41" s="210">
        <v>26480.58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93"/>
      <c r="P41" s="211">
        <f>SUM(B41:O41)</f>
        <v>26480.58</v>
      </c>
      <c r="Q41" s="224">
        <v>45495</v>
      </c>
      <c r="R41" s="212">
        <v>2024</v>
      </c>
      <c r="S41" s="212">
        <v>8</v>
      </c>
      <c r="T41" s="224">
        <v>45512</v>
      </c>
      <c r="U41" s="214">
        <v>39720870</v>
      </c>
      <c r="V41" s="215" t="s">
        <v>146</v>
      </c>
      <c r="W41" s="216" t="s">
        <v>205</v>
      </c>
    </row>
    <row r="42" spans="1:23">
      <c r="A42" s="209" t="s">
        <v>206</v>
      </c>
      <c r="B42" s="221">
        <v>137619.42000000001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93"/>
      <c r="P42" s="211">
        <f t="shared" ref="P42:P66" si="3">SUM(B42:O42)</f>
        <v>137619.42000000001</v>
      </c>
      <c r="Q42" s="224">
        <v>45562</v>
      </c>
      <c r="R42" s="212">
        <v>2024</v>
      </c>
      <c r="S42" s="212">
        <v>10</v>
      </c>
      <c r="T42" s="224">
        <v>45575</v>
      </c>
      <c r="U42" s="214">
        <v>206429130.00000003</v>
      </c>
      <c r="V42" s="215" t="s">
        <v>146</v>
      </c>
      <c r="W42" s="216" t="s">
        <v>207</v>
      </c>
    </row>
    <row r="43" spans="1:23">
      <c r="A43" s="209" t="s">
        <v>208</v>
      </c>
      <c r="B43" s="478">
        <v>1248213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93"/>
      <c r="P43" s="211">
        <f t="shared" si="3"/>
        <v>1248213</v>
      </c>
      <c r="Q43" s="479">
        <v>45562</v>
      </c>
      <c r="R43" s="212">
        <v>2024</v>
      </c>
      <c r="S43" s="212">
        <v>10</v>
      </c>
      <c r="T43" s="479">
        <v>45575</v>
      </c>
      <c r="U43" s="214"/>
      <c r="V43" s="225" t="s">
        <v>146</v>
      </c>
      <c r="W43" s="480" t="s">
        <v>149</v>
      </c>
    </row>
    <row r="44" spans="1:23">
      <c r="A44" s="209" t="s">
        <v>209</v>
      </c>
      <c r="B44" s="481">
        <v>439.55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93"/>
      <c r="P44" s="211">
        <f t="shared" si="3"/>
        <v>439.55</v>
      </c>
      <c r="Q44" s="479">
        <v>45580</v>
      </c>
      <c r="R44" s="212">
        <v>2024</v>
      </c>
      <c r="S44" s="212">
        <v>10</v>
      </c>
      <c r="T44" s="479">
        <v>45589</v>
      </c>
      <c r="U44" s="214"/>
      <c r="V44" s="225" t="s">
        <v>146</v>
      </c>
      <c r="W44" s="482" t="s">
        <v>210</v>
      </c>
    </row>
    <row r="45" spans="1:23">
      <c r="A45" s="209" t="s">
        <v>211</v>
      </c>
      <c r="B45" s="483">
        <v>2626.46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93"/>
      <c r="P45" s="211">
        <f t="shared" si="3"/>
        <v>2626.46</v>
      </c>
      <c r="Q45" s="479">
        <v>45617</v>
      </c>
      <c r="R45" s="212">
        <v>2024</v>
      </c>
      <c r="S45" s="212">
        <v>12</v>
      </c>
      <c r="T45" s="479">
        <v>45631</v>
      </c>
      <c r="U45" s="214"/>
      <c r="V45" s="225" t="s">
        <v>146</v>
      </c>
      <c r="W45" s="484" t="s">
        <v>151</v>
      </c>
    </row>
    <row r="46" spans="1:23">
      <c r="A46" s="209" t="s">
        <v>212</v>
      </c>
      <c r="B46" s="481">
        <v>2603.63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93"/>
      <c r="P46" s="211">
        <f t="shared" si="3"/>
        <v>2603.63</v>
      </c>
      <c r="Q46" s="479">
        <v>45652</v>
      </c>
      <c r="R46" s="212">
        <v>2025</v>
      </c>
      <c r="S46" s="212">
        <v>1</v>
      </c>
      <c r="T46" s="479">
        <v>45659</v>
      </c>
      <c r="U46" s="214"/>
      <c r="V46" s="225" t="s">
        <v>146</v>
      </c>
      <c r="W46" s="484" t="s">
        <v>213</v>
      </c>
    </row>
    <row r="47" spans="1:23">
      <c r="A47" s="209" t="s">
        <v>214</v>
      </c>
      <c r="B47" s="481">
        <v>3495.17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93"/>
      <c r="P47" s="211">
        <f t="shared" si="3"/>
        <v>3495.17</v>
      </c>
      <c r="Q47" s="479">
        <v>45699</v>
      </c>
      <c r="R47" s="212">
        <v>2025</v>
      </c>
      <c r="S47" s="212">
        <v>2</v>
      </c>
      <c r="T47" s="479">
        <v>45708</v>
      </c>
      <c r="U47" s="214"/>
      <c r="V47" s="225" t="s">
        <v>146</v>
      </c>
      <c r="W47" s="484" t="s">
        <v>215</v>
      </c>
    </row>
    <row r="48" spans="1:23">
      <c r="A48" s="485" t="s">
        <v>216</v>
      </c>
      <c r="B48" s="481">
        <v>28596.55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93"/>
      <c r="P48" s="211">
        <f t="shared" si="3"/>
        <v>28596.55</v>
      </c>
      <c r="Q48" s="486">
        <v>45721</v>
      </c>
      <c r="R48" s="212">
        <v>2025</v>
      </c>
      <c r="S48" s="212">
        <v>3</v>
      </c>
      <c r="T48" s="479">
        <v>45736</v>
      </c>
      <c r="U48" s="214"/>
      <c r="V48" s="225" t="s">
        <v>146</v>
      </c>
      <c r="W48" s="484" t="s">
        <v>217</v>
      </c>
    </row>
    <row r="49" spans="1:23">
      <c r="A49" s="485" t="s">
        <v>218</v>
      </c>
      <c r="B49" s="481">
        <v>6399.93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93"/>
      <c r="P49" s="211">
        <f t="shared" si="3"/>
        <v>6399.93</v>
      </c>
      <c r="Q49" s="487">
        <v>45740</v>
      </c>
      <c r="R49" s="212">
        <v>2025</v>
      </c>
      <c r="S49" s="212">
        <v>4</v>
      </c>
      <c r="T49" s="479">
        <v>45764</v>
      </c>
      <c r="U49" s="214"/>
      <c r="V49" s="225" t="s">
        <v>146</v>
      </c>
      <c r="W49" s="484" t="s">
        <v>219</v>
      </c>
    </row>
    <row r="50" spans="1:23">
      <c r="A50" s="485" t="s">
        <v>220</v>
      </c>
      <c r="B50" s="481">
        <v>22753.1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93"/>
      <c r="P50" s="211">
        <f t="shared" si="3"/>
        <v>22753.1</v>
      </c>
      <c r="Q50" s="487">
        <v>45775</v>
      </c>
      <c r="R50" s="212">
        <v>2025</v>
      </c>
      <c r="S50" s="212">
        <v>5</v>
      </c>
      <c r="T50" s="479">
        <v>45799</v>
      </c>
      <c r="U50" s="214"/>
      <c r="V50" s="225" t="s">
        <v>146</v>
      </c>
      <c r="W50" s="484" t="s">
        <v>221</v>
      </c>
    </row>
    <row r="51" spans="1:23">
      <c r="A51" s="485" t="s">
        <v>222</v>
      </c>
      <c r="B51" s="481">
        <v>25045.7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193"/>
      <c r="P51" s="211">
        <f t="shared" si="3"/>
        <v>25045.7</v>
      </c>
      <c r="Q51" s="487">
        <v>45799</v>
      </c>
      <c r="R51" s="212">
        <v>2025</v>
      </c>
      <c r="S51" s="212">
        <v>6</v>
      </c>
      <c r="T51" s="479">
        <v>45827</v>
      </c>
      <c r="U51" s="214"/>
      <c r="V51" s="225" t="s">
        <v>146</v>
      </c>
      <c r="W51" s="484" t="s">
        <v>223</v>
      </c>
    </row>
    <row r="52" spans="1:23">
      <c r="A52" s="485" t="s">
        <v>224</v>
      </c>
      <c r="B52" s="481">
        <v>6875.43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193"/>
      <c r="P52" s="211">
        <f t="shared" si="3"/>
        <v>6875.43</v>
      </c>
      <c r="Q52" s="487">
        <v>45799</v>
      </c>
      <c r="R52" s="212">
        <v>2025</v>
      </c>
      <c r="S52" s="212">
        <v>6</v>
      </c>
      <c r="T52" s="479">
        <v>45827</v>
      </c>
      <c r="U52" s="214"/>
      <c r="V52" s="225" t="s">
        <v>146</v>
      </c>
      <c r="W52" s="484" t="s">
        <v>223</v>
      </c>
    </row>
    <row r="53" spans="1:23">
      <c r="A53" s="485" t="s">
        <v>225</v>
      </c>
      <c r="B53" s="481">
        <v>246916.46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193"/>
      <c r="P53" s="211">
        <f t="shared" si="3"/>
        <v>246916.46</v>
      </c>
      <c r="Q53" s="487">
        <v>45842</v>
      </c>
      <c r="R53" s="212">
        <v>2025</v>
      </c>
      <c r="S53" s="212">
        <v>7</v>
      </c>
      <c r="T53" s="479">
        <v>45869</v>
      </c>
      <c r="U53" s="214"/>
      <c r="V53" s="225" t="s">
        <v>146</v>
      </c>
      <c r="W53" s="484" t="s">
        <v>226</v>
      </c>
    </row>
    <row r="54" spans="1:23">
      <c r="A54" s="485" t="s">
        <v>227</v>
      </c>
      <c r="B54" s="481">
        <v>33087.269999999997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193"/>
      <c r="P54" s="211">
        <f t="shared" si="3"/>
        <v>33087.269999999997</v>
      </c>
      <c r="Q54" s="487">
        <v>45842</v>
      </c>
      <c r="R54" s="212">
        <v>2025</v>
      </c>
      <c r="S54" s="212">
        <v>7</v>
      </c>
      <c r="T54" s="479">
        <v>45869</v>
      </c>
      <c r="U54" s="214"/>
      <c r="V54" s="225" t="s">
        <v>146</v>
      </c>
      <c r="W54" s="484" t="s">
        <v>226</v>
      </c>
    </row>
    <row r="55" spans="1:23">
      <c r="A55" s="485" t="s">
        <v>228</v>
      </c>
      <c r="B55" s="483">
        <v>27051.47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193"/>
      <c r="P55" s="211">
        <f t="shared" si="3"/>
        <v>27051.47</v>
      </c>
      <c r="Q55" s="487">
        <v>45866</v>
      </c>
      <c r="R55" s="212">
        <v>2025</v>
      </c>
      <c r="S55" s="212">
        <v>8</v>
      </c>
      <c r="T55" s="479">
        <v>45900</v>
      </c>
      <c r="U55" s="214"/>
      <c r="V55" s="225" t="s">
        <v>146</v>
      </c>
      <c r="W55" s="484" t="s">
        <v>229</v>
      </c>
    </row>
    <row r="56" spans="1:23" ht="18" thickBot="1">
      <c r="A56" s="485" t="s">
        <v>230</v>
      </c>
      <c r="B56" s="483">
        <v>59531.23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193"/>
      <c r="P56" s="211">
        <f t="shared" si="3"/>
        <v>59531.23</v>
      </c>
      <c r="Q56" s="487">
        <v>45866</v>
      </c>
      <c r="R56" s="212">
        <v>2025</v>
      </c>
      <c r="S56" s="212">
        <v>8</v>
      </c>
      <c r="T56" s="479">
        <v>45900</v>
      </c>
      <c r="U56" s="214"/>
      <c r="V56" s="225" t="s">
        <v>146</v>
      </c>
      <c r="W56" s="484" t="s">
        <v>229</v>
      </c>
    </row>
    <row r="57" spans="1:23" ht="18" thickBot="1">
      <c r="A57" s="488" t="s">
        <v>231</v>
      </c>
      <c r="B57" s="483">
        <v>24756.78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193"/>
      <c r="P57" s="211">
        <f t="shared" si="3"/>
        <v>24756.78</v>
      </c>
      <c r="Q57" s="487">
        <v>45947</v>
      </c>
      <c r="R57" s="212">
        <v>2025</v>
      </c>
      <c r="S57" s="212">
        <v>12</v>
      </c>
      <c r="T57" s="484">
        <v>46002</v>
      </c>
      <c r="U57" s="214"/>
      <c r="V57" s="225" t="s">
        <v>146</v>
      </c>
      <c r="W57" s="489" t="s">
        <v>232</v>
      </c>
    </row>
    <row r="58" spans="1:23" ht="18" thickBot="1">
      <c r="A58" s="490" t="s">
        <v>233</v>
      </c>
      <c r="B58" s="483">
        <v>38305.79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193"/>
      <c r="P58" s="211">
        <f t="shared" si="3"/>
        <v>38305.79</v>
      </c>
      <c r="Q58" s="487">
        <v>45925</v>
      </c>
      <c r="R58" s="225">
        <v>2025</v>
      </c>
      <c r="S58" s="225">
        <v>11</v>
      </c>
      <c r="T58" s="484">
        <v>45988</v>
      </c>
      <c r="U58" s="214"/>
      <c r="V58" s="225" t="s">
        <v>146</v>
      </c>
      <c r="W58" s="489" t="s">
        <v>234</v>
      </c>
    </row>
    <row r="59" spans="1:23" ht="18" thickBot="1">
      <c r="A59" s="490" t="s">
        <v>235</v>
      </c>
      <c r="B59" s="483">
        <v>214703.35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193"/>
      <c r="P59" s="211">
        <f t="shared" si="3"/>
        <v>214703.35</v>
      </c>
      <c r="Q59" s="487">
        <v>45925</v>
      </c>
      <c r="R59" s="225">
        <v>2025</v>
      </c>
      <c r="S59" s="225">
        <v>11</v>
      </c>
      <c r="T59" s="484">
        <v>45988</v>
      </c>
      <c r="U59" s="214"/>
      <c r="V59" s="225" t="s">
        <v>146</v>
      </c>
      <c r="W59" s="489" t="s">
        <v>234</v>
      </c>
    </row>
    <row r="60" spans="1:23" ht="18" thickBot="1">
      <c r="A60" s="491" t="s">
        <v>236</v>
      </c>
      <c r="B60" s="483">
        <v>266838.75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193"/>
      <c r="P60" s="222">
        <f t="shared" si="3"/>
        <v>266838.75</v>
      </c>
      <c r="Q60" s="487">
        <v>45968</v>
      </c>
      <c r="R60" s="226">
        <v>2025</v>
      </c>
      <c r="S60" s="226">
        <v>12</v>
      </c>
      <c r="T60" s="484">
        <v>46002</v>
      </c>
      <c r="U60" s="223"/>
      <c r="V60" s="226" t="s">
        <v>146</v>
      </c>
      <c r="W60" s="489" t="s">
        <v>237</v>
      </c>
    </row>
    <row r="61" spans="1:23" ht="18" thickBot="1">
      <c r="A61" s="491" t="s">
        <v>238</v>
      </c>
      <c r="B61" s="483">
        <v>32289.360000000001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93"/>
      <c r="P61" s="211">
        <f t="shared" si="3"/>
        <v>32289.360000000001</v>
      </c>
      <c r="Q61" s="487">
        <v>45968</v>
      </c>
      <c r="R61" s="212">
        <v>2025</v>
      </c>
      <c r="S61" s="212">
        <v>12</v>
      </c>
      <c r="T61" s="484">
        <v>46002</v>
      </c>
      <c r="U61" s="214"/>
      <c r="V61" s="225" t="s">
        <v>146</v>
      </c>
      <c r="W61" s="489" t="s">
        <v>237</v>
      </c>
    </row>
    <row r="62" spans="1:23" ht="18" thickBot="1">
      <c r="A62" s="491" t="s">
        <v>239</v>
      </c>
      <c r="B62" s="483">
        <v>212960.76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93"/>
      <c r="P62" s="211">
        <f t="shared" si="3"/>
        <v>212960.76</v>
      </c>
      <c r="Q62" s="487">
        <v>45988</v>
      </c>
      <c r="R62" s="212">
        <v>2025</v>
      </c>
      <c r="S62" s="212">
        <v>12</v>
      </c>
      <c r="T62" s="484">
        <v>46002</v>
      </c>
      <c r="U62" s="214"/>
      <c r="V62" s="225" t="s">
        <v>146</v>
      </c>
      <c r="W62" s="489" t="s">
        <v>232</v>
      </c>
    </row>
    <row r="63" spans="1:23" ht="18" thickBot="1">
      <c r="A63" s="491" t="s">
        <v>240</v>
      </c>
      <c r="B63" s="483">
        <v>24321.85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93"/>
      <c r="P63" s="211">
        <f t="shared" si="3"/>
        <v>24321.85</v>
      </c>
      <c r="Q63" s="487">
        <v>45988</v>
      </c>
      <c r="R63" s="212">
        <v>2025</v>
      </c>
      <c r="S63" s="212">
        <v>12</v>
      </c>
      <c r="T63" s="484">
        <v>46002</v>
      </c>
      <c r="U63" s="214"/>
      <c r="V63" s="225" t="s">
        <v>146</v>
      </c>
      <c r="W63" s="489" t="s">
        <v>232</v>
      </c>
    </row>
    <row r="64" spans="1:23">
      <c r="A64" s="491" t="s">
        <v>241</v>
      </c>
      <c r="B64" s="483">
        <v>418111.57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93"/>
      <c r="P64" s="211">
        <f t="shared" si="3"/>
        <v>418111.57</v>
      </c>
      <c r="Q64" s="487">
        <v>46010</v>
      </c>
      <c r="R64" s="212">
        <v>2026</v>
      </c>
      <c r="S64" s="212">
        <v>1</v>
      </c>
      <c r="T64" s="484">
        <v>46030</v>
      </c>
      <c r="U64" s="214"/>
      <c r="V64" s="225" t="s">
        <v>146</v>
      </c>
      <c r="W64" s="216" t="s">
        <v>242</v>
      </c>
    </row>
    <row r="65" spans="1:23">
      <c r="A65" s="491" t="s">
        <v>243</v>
      </c>
      <c r="B65" s="483">
        <v>11566.32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93"/>
      <c r="P65" s="211">
        <f t="shared" si="3"/>
        <v>11566.32</v>
      </c>
      <c r="Q65" s="487">
        <v>46010</v>
      </c>
      <c r="R65" s="212">
        <v>2026</v>
      </c>
      <c r="S65" s="212">
        <v>1</v>
      </c>
      <c r="T65" s="484">
        <v>46030</v>
      </c>
      <c r="U65" s="214"/>
      <c r="V65" s="225" t="s">
        <v>146</v>
      </c>
      <c r="W65" s="216" t="s">
        <v>242</v>
      </c>
    </row>
    <row r="66" spans="1:23">
      <c r="A66" s="5" t="s">
        <v>244</v>
      </c>
      <c r="B66" s="187">
        <v>183170.01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93"/>
      <c r="P66" s="211">
        <f t="shared" si="3"/>
        <v>183170.01</v>
      </c>
      <c r="Q66" s="507">
        <v>46087</v>
      </c>
      <c r="R66" s="212">
        <v>2026</v>
      </c>
      <c r="S66" s="212">
        <v>4</v>
      </c>
      <c r="T66" s="213">
        <v>46121</v>
      </c>
      <c r="U66" s="214"/>
      <c r="V66" s="521" t="s">
        <v>146</v>
      </c>
      <c r="W66" s="531" t="s">
        <v>245</v>
      </c>
    </row>
    <row r="67" spans="1:23">
      <c r="A67" s="5" t="s">
        <v>246</v>
      </c>
      <c r="B67" s="187">
        <v>69898.94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93"/>
      <c r="P67" s="211">
        <f>SUM(B67:O67)</f>
        <v>69898.94</v>
      </c>
      <c r="Q67" s="507">
        <v>46087</v>
      </c>
      <c r="R67" s="212">
        <v>2026</v>
      </c>
      <c r="S67" s="212">
        <v>4</v>
      </c>
      <c r="T67" s="213">
        <v>46121</v>
      </c>
      <c r="U67" s="529"/>
      <c r="V67" s="527" t="s">
        <v>146</v>
      </c>
      <c r="W67" s="531" t="s">
        <v>245</v>
      </c>
    </row>
    <row r="68" spans="1:23">
      <c r="A68" s="5" t="s">
        <v>247</v>
      </c>
      <c r="B68" s="187">
        <v>82636.67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93"/>
      <c r="P68" s="211">
        <f>SUM(B68:O68)</f>
        <v>82636.67</v>
      </c>
      <c r="Q68" s="518">
        <v>46105</v>
      </c>
      <c r="R68" s="519">
        <v>2026</v>
      </c>
      <c r="S68" s="519">
        <v>5</v>
      </c>
      <c r="T68" s="520">
        <v>46149</v>
      </c>
      <c r="U68" s="530"/>
      <c r="V68" s="527" t="s">
        <v>146</v>
      </c>
      <c r="W68" s="531" t="s">
        <v>248</v>
      </c>
    </row>
    <row r="69" spans="1:23">
      <c r="A69" s="5" t="s">
        <v>249</v>
      </c>
      <c r="B69" s="187">
        <v>18197.63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93"/>
      <c r="P69" s="211">
        <f t="shared" ref="P69:P86" si="4">SUM(B69:O69)</f>
        <v>18197.63</v>
      </c>
      <c r="Q69" s="532">
        <v>46105</v>
      </c>
      <c r="R69" s="528">
        <v>2026</v>
      </c>
      <c r="S69" s="528">
        <v>5</v>
      </c>
      <c r="T69" s="533">
        <v>46149</v>
      </c>
      <c r="U69" s="534"/>
      <c r="V69" s="527" t="s">
        <v>146</v>
      </c>
      <c r="W69" s="531" t="s">
        <v>248</v>
      </c>
    </row>
    <row r="70" spans="1:23">
      <c r="A70" s="5" t="s">
        <v>250</v>
      </c>
      <c r="B70" s="187">
        <v>11569.87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93"/>
      <c r="P70" s="211">
        <f t="shared" si="4"/>
        <v>11569.87</v>
      </c>
      <c r="Q70" s="532">
        <v>46136</v>
      </c>
      <c r="R70" s="528">
        <v>2026</v>
      </c>
      <c r="S70" s="528">
        <v>5</v>
      </c>
      <c r="T70" s="533">
        <v>46163</v>
      </c>
      <c r="U70" s="535"/>
      <c r="V70" s="525" t="s">
        <v>146</v>
      </c>
      <c r="W70" s="526" t="s">
        <v>251</v>
      </c>
    </row>
    <row r="71" spans="1:23">
      <c r="A71" s="5" t="s">
        <v>252</v>
      </c>
      <c r="B71" s="187">
        <v>298480.73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93"/>
      <c r="P71" s="211">
        <f t="shared" si="4"/>
        <v>298480.73</v>
      </c>
      <c r="Q71" s="522">
        <v>46182</v>
      </c>
      <c r="R71" s="523">
        <v>2026</v>
      </c>
      <c r="S71" s="523">
        <v>6</v>
      </c>
      <c r="T71" s="524">
        <v>46191</v>
      </c>
      <c r="U71" s="214"/>
      <c r="V71" s="225" t="s">
        <v>167</v>
      </c>
      <c r="W71" s="216" t="s">
        <v>253</v>
      </c>
    </row>
    <row r="72" spans="1:23">
      <c r="A72" s="5" t="s">
        <v>254</v>
      </c>
      <c r="B72" s="187">
        <v>26676.42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93"/>
      <c r="P72" s="211">
        <f t="shared" si="4"/>
        <v>26676.42</v>
      </c>
      <c r="Q72" s="522">
        <v>46182</v>
      </c>
      <c r="R72" s="212">
        <v>2026</v>
      </c>
      <c r="S72" s="212">
        <v>6</v>
      </c>
      <c r="T72" s="213">
        <v>46191</v>
      </c>
      <c r="U72" s="214"/>
      <c r="V72" s="225" t="s">
        <v>167</v>
      </c>
      <c r="W72" s="216" t="s">
        <v>253</v>
      </c>
    </row>
    <row r="73" spans="1:23">
      <c r="A73" s="5" t="s">
        <v>255</v>
      </c>
      <c r="B73" s="187">
        <v>38914.75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93"/>
      <c r="P73" s="211">
        <f t="shared" si="4"/>
        <v>38914.75</v>
      </c>
      <c r="Q73" s="507">
        <v>46195</v>
      </c>
      <c r="R73" s="212">
        <v>2026</v>
      </c>
      <c r="S73" s="212">
        <v>7</v>
      </c>
      <c r="T73" s="213">
        <v>46212</v>
      </c>
      <c r="U73" s="214"/>
      <c r="V73" s="225" t="s">
        <v>167</v>
      </c>
      <c r="W73" s="216" t="s">
        <v>170</v>
      </c>
    </row>
    <row r="74" spans="1:23">
      <c r="A74" s="5" t="s">
        <v>256</v>
      </c>
      <c r="B74" s="187">
        <v>95163.17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93"/>
      <c r="P74" s="211">
        <f t="shared" si="4"/>
        <v>95163.17</v>
      </c>
      <c r="Q74" s="507">
        <v>46195</v>
      </c>
      <c r="R74" s="212">
        <v>2026</v>
      </c>
      <c r="S74" s="212">
        <v>7</v>
      </c>
      <c r="T74" s="213">
        <v>46212</v>
      </c>
      <c r="U74" s="214"/>
      <c r="V74" s="225" t="s">
        <v>167</v>
      </c>
      <c r="W74" s="216" t="s">
        <v>170</v>
      </c>
    </row>
    <row r="75" spans="1:23">
      <c r="A75" s="5"/>
      <c r="B75" s="18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93"/>
      <c r="P75" s="211">
        <f t="shared" si="4"/>
        <v>0</v>
      </c>
      <c r="Q75" s="507"/>
      <c r="R75" s="212"/>
      <c r="S75" s="212"/>
      <c r="T75" s="213"/>
      <c r="U75" s="214"/>
      <c r="V75" s="225"/>
      <c r="W75" s="216"/>
    </row>
    <row r="76" spans="1:23">
      <c r="A76" s="5"/>
      <c r="B76" s="18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93"/>
      <c r="P76" s="211">
        <f t="shared" si="4"/>
        <v>0</v>
      </c>
      <c r="Q76" s="507"/>
      <c r="R76" s="212"/>
      <c r="S76" s="212"/>
      <c r="T76" s="213"/>
      <c r="U76" s="214"/>
      <c r="V76" s="225"/>
      <c r="W76" s="216"/>
    </row>
    <row r="77" spans="1:23">
      <c r="A77" s="5"/>
      <c r="B77" s="18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93"/>
      <c r="P77" s="211">
        <f t="shared" si="4"/>
        <v>0</v>
      </c>
      <c r="Q77" s="507"/>
      <c r="R77" s="212"/>
      <c r="S77" s="212"/>
      <c r="T77" s="213"/>
      <c r="U77" s="214"/>
      <c r="V77" s="225"/>
      <c r="W77" s="216"/>
    </row>
    <row r="78" spans="1:23">
      <c r="A78" s="5"/>
      <c r="B78" s="18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93"/>
      <c r="P78" s="211">
        <f t="shared" si="4"/>
        <v>0</v>
      </c>
      <c r="Q78" s="507"/>
      <c r="R78" s="212"/>
      <c r="S78" s="212"/>
      <c r="T78" s="213"/>
      <c r="U78" s="214"/>
      <c r="V78" s="225"/>
      <c r="W78" s="216"/>
    </row>
    <row r="79" spans="1:23">
      <c r="A79" s="5"/>
      <c r="B79" s="18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93"/>
      <c r="P79" s="211">
        <f t="shared" si="4"/>
        <v>0</v>
      </c>
      <c r="Q79" s="507"/>
      <c r="R79" s="212"/>
      <c r="S79" s="212"/>
      <c r="T79" s="213"/>
      <c r="U79" s="214"/>
      <c r="V79" s="225"/>
      <c r="W79" s="216"/>
    </row>
    <row r="80" spans="1:23">
      <c r="A80" s="5"/>
      <c r="B80" s="18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93"/>
      <c r="P80" s="211">
        <f t="shared" si="4"/>
        <v>0</v>
      </c>
      <c r="Q80" s="507"/>
      <c r="R80" s="212"/>
      <c r="S80" s="212"/>
      <c r="T80" s="213"/>
      <c r="U80" s="214"/>
      <c r="V80" s="225"/>
      <c r="W80" s="216"/>
    </row>
    <row r="81" spans="1:23">
      <c r="A81" s="5"/>
      <c r="B81" s="18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93"/>
      <c r="P81" s="211">
        <f t="shared" si="4"/>
        <v>0</v>
      </c>
      <c r="Q81" s="507"/>
      <c r="R81" s="212"/>
      <c r="S81" s="212"/>
      <c r="T81" s="213"/>
      <c r="U81" s="214"/>
      <c r="V81" s="225"/>
      <c r="W81" s="216"/>
    </row>
    <row r="82" spans="1:23">
      <c r="A82" s="5"/>
      <c r="B82" s="18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93"/>
      <c r="P82" s="211">
        <f t="shared" si="4"/>
        <v>0</v>
      </c>
      <c r="Q82" s="507"/>
      <c r="R82" s="212"/>
      <c r="S82" s="212"/>
      <c r="T82" s="213"/>
      <c r="U82" s="214"/>
      <c r="V82" s="225"/>
      <c r="W82" s="216"/>
    </row>
    <row r="83" spans="1:23">
      <c r="A83" s="5"/>
      <c r="B83" s="18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93"/>
      <c r="P83" s="211">
        <f t="shared" si="4"/>
        <v>0</v>
      </c>
      <c r="Q83" s="507"/>
      <c r="R83" s="212"/>
      <c r="S83" s="212"/>
      <c r="T83" s="213"/>
      <c r="U83" s="214"/>
      <c r="V83" s="225"/>
      <c r="W83" s="216"/>
    </row>
    <row r="84" spans="1:23">
      <c r="A84" s="5"/>
      <c r="B84" s="18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93"/>
      <c r="P84" s="211">
        <f t="shared" si="4"/>
        <v>0</v>
      </c>
      <c r="Q84" s="507"/>
      <c r="R84" s="212"/>
      <c r="S84" s="212"/>
      <c r="T84" s="213"/>
      <c r="U84" s="214"/>
      <c r="V84" s="225"/>
      <c r="W84" s="216"/>
    </row>
    <row r="85" spans="1:23">
      <c r="A85" s="5"/>
      <c r="B85" s="18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93"/>
      <c r="P85" s="211">
        <f t="shared" si="4"/>
        <v>0</v>
      </c>
      <c r="Q85" s="507"/>
      <c r="R85" s="212"/>
      <c r="S85" s="212"/>
      <c r="T85" s="213"/>
      <c r="U85" s="214"/>
      <c r="V85" s="225"/>
      <c r="W85" s="216"/>
    </row>
    <row r="86" spans="1:23">
      <c r="A86" s="5"/>
      <c r="B86" s="18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93"/>
      <c r="P86" s="211">
        <f t="shared" si="4"/>
        <v>0</v>
      </c>
      <c r="Q86" s="507"/>
      <c r="R86" s="212"/>
      <c r="S86" s="212"/>
      <c r="T86" s="213"/>
      <c r="U86" s="214"/>
      <c r="V86" s="225"/>
      <c r="W86" s="216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0C38-6D20-4D9A-9771-553A9DC3B42D}">
  <sheetPr>
    <tabColor theme="8" tint="0.79998168889431442"/>
  </sheetPr>
  <dimension ref="A1:R61"/>
  <sheetViews>
    <sheetView topLeftCell="A12" workbookViewId="0">
      <selection activeCell="B35" sqref="B35"/>
    </sheetView>
  </sheetViews>
  <sheetFormatPr defaultRowHeight="17.399999999999999"/>
  <cols>
    <col min="1" max="12" width="20.69921875" customWidth="1"/>
    <col min="13" max="13" width="13.3984375" customWidth="1"/>
    <col min="14" max="14" width="16.8984375" customWidth="1"/>
  </cols>
  <sheetData>
    <row r="1" spans="1:18" s="6" customFormat="1" ht="13.2">
      <c r="A1" s="47" t="s">
        <v>257</v>
      </c>
      <c r="B1" s="51"/>
      <c r="C1" s="51"/>
      <c r="D1" s="13"/>
      <c r="E1" s="48"/>
      <c r="G1" s="54"/>
      <c r="H1" s="54"/>
    </row>
    <row r="2" spans="1:18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P4" s="56"/>
    </row>
    <row r="5" spans="1:18" s="6" customFormat="1" ht="13.2">
      <c r="A5" s="1"/>
      <c r="B5" s="52"/>
      <c r="C5" s="52"/>
      <c r="D5" s="123"/>
      <c r="G5" s="54"/>
      <c r="H5" s="54"/>
      <c r="P5" s="56"/>
    </row>
    <row r="6" spans="1:18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53</v>
      </c>
      <c r="C7" s="59" t="s">
        <v>26</v>
      </c>
      <c r="D7" s="123"/>
      <c r="G7" s="54"/>
      <c r="H7" s="54"/>
      <c r="Q7" s="55"/>
      <c r="R7" s="56"/>
    </row>
    <row r="8" spans="1:18" s="6" customFormat="1" ht="13.2">
      <c r="A8" s="124" t="s">
        <v>54</v>
      </c>
      <c r="B8" s="127"/>
      <c r="C8" s="129"/>
      <c r="D8" s="123"/>
      <c r="G8" s="54"/>
      <c r="H8" s="54"/>
      <c r="Q8" s="55"/>
      <c r="R8" s="56"/>
    </row>
    <row r="9" spans="1:18" s="6" customFormat="1" ht="13.2">
      <c r="A9" s="131" t="s">
        <v>24</v>
      </c>
      <c r="B9" s="132">
        <f>B14+B19+B24+B29+B34</f>
        <v>0</v>
      </c>
      <c r="C9" s="133" t="e">
        <f>B9/B8</f>
        <v>#DIV/0!</v>
      </c>
      <c r="D9" s="123"/>
      <c r="G9" s="54"/>
      <c r="H9" s="54"/>
      <c r="Q9" s="55"/>
      <c r="R9" s="56"/>
    </row>
    <row r="10" spans="1:18" s="6" customFormat="1" ht="13.8" thickBot="1">
      <c r="A10" s="126" t="s">
        <v>25</v>
      </c>
      <c r="B10" s="128">
        <f>B8-B9</f>
        <v>0</v>
      </c>
      <c r="C10" s="130" t="e">
        <f>B10/B8</f>
        <v>#DIV/0!</v>
      </c>
      <c r="D10" s="123"/>
      <c r="G10" s="54"/>
      <c r="H10" s="54"/>
      <c r="Q10" s="55"/>
      <c r="R10" s="56"/>
    </row>
    <row r="12" spans="1:18" s="6" customFormat="1" ht="13.2">
      <c r="A12" s="1" t="s">
        <v>258</v>
      </c>
    </row>
    <row r="13" spans="1:18" s="149" customFormat="1" ht="13.2">
      <c r="A13" s="153"/>
      <c r="B13" s="154" t="s">
        <v>56</v>
      </c>
      <c r="C13" s="154" t="s">
        <v>57</v>
      </c>
      <c r="D13" s="155"/>
      <c r="F13" s="156"/>
      <c r="G13" s="157"/>
      <c r="H13" s="156"/>
      <c r="I13" s="158"/>
      <c r="Q13" s="150"/>
      <c r="R13" s="150"/>
    </row>
    <row r="14" spans="1:18" s="149" customFormat="1" ht="13.2">
      <c r="A14" s="153">
        <v>2023</v>
      </c>
      <c r="B14" s="159">
        <f>SUM(A16:L16)</f>
        <v>0</v>
      </c>
      <c r="C14" s="160">
        <f>SUM(A17:L17)</f>
        <v>0</v>
      </c>
      <c r="I14" s="158"/>
      <c r="Q14" s="150"/>
      <c r="R14" s="150"/>
    </row>
    <row r="15" spans="1:18" s="6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168" customFormat="1" ht="13.2">
      <c r="A16" s="171">
        <f>SUMIFS($C$41:$C$61,$F$41:$F$61,2024,$G$41:$G$61,1,$J$41:$J$61,"Y")</f>
        <v>0</v>
      </c>
      <c r="B16" s="171">
        <f>SUMIFS($C$41:$C$61,$F$41:$F$61,2024,$G$41:$G$61,2,$J$41:$J$61,"Y")</f>
        <v>0</v>
      </c>
      <c r="C16" s="171">
        <f>SUMIFS($C$41:$C$61,$F$41:$F$61,2024,$G$41:$G$61,3,$J$41:$J$61,"Y")</f>
        <v>0</v>
      </c>
      <c r="D16" s="171">
        <f>SUMIFS($C$41:$C$61,$F$41:$F$61,2024,$G$41:$G$61,4,$J$41:$J$61,"Y")</f>
        <v>0</v>
      </c>
      <c r="E16" s="171">
        <f>SUMIFS($C$41:$C$61,$F$41:$F$61,2024,$G$41:$G$61,5,$J$41:$J$61,"Y")</f>
        <v>0</v>
      </c>
      <c r="F16" s="171">
        <f>SUMIFS($C$41:$C$61,$F$41:$F$61,2024,$G$41:$G$61,6,$J$41:$J$61,"Y")</f>
        <v>0</v>
      </c>
      <c r="G16" s="171">
        <f>SUMIFS($C$41:$C$61,$F$41:$F$61,2024,$G$41:$G$61,7,$J$41:$J$61,"Y")</f>
        <v>0</v>
      </c>
      <c r="H16" s="171">
        <f>SUMIFS($C$41:$C$61,$F$41:$F$61,2024,$G$41:$G$61,8,$J$41:$J$61,"Y")</f>
        <v>0</v>
      </c>
      <c r="I16" s="171">
        <f>SUMIFS($C$41:$C$61,$F$41:$F$61,2024,$G$41:$G$61,9,$J$41:$J$61,"Y")</f>
        <v>0</v>
      </c>
      <c r="J16" s="171">
        <f>SUMIFS($C$41:$C$61,$F$41:$F$61,2024,$G$41:$G$61,10,$J$41:$J$61,"Y")</f>
        <v>0</v>
      </c>
      <c r="K16" s="171">
        <f>SUMIFS($C$41:$C$61,$F$41:$F$61,2024,$G$41:$G$61,11,$J$41:$J$61,"Y")</f>
        <v>0</v>
      </c>
      <c r="L16" s="171">
        <f>SUMIFS($C$41:$C$61,$F$41:$F$61,2024,$G$41:$G$61,12,$J$41:$J$61,"Y")</f>
        <v>0</v>
      </c>
    </row>
    <row r="17" spans="1:18" s="168" customFormat="1" ht="13.2">
      <c r="A17" s="170">
        <f>SUMIFS($I$41:$I$61,$F$41:$F$61,2024,$G$41:$G$61,1,$J$41:$J$61,"Y")</f>
        <v>0</v>
      </c>
      <c r="B17" s="170">
        <f>SUMIFS($I$41:$I$61,$F$41:$F$61,2024,$G$41:$G$61,2,$J$41:$J$61,"Y")</f>
        <v>0</v>
      </c>
      <c r="C17" s="170">
        <f>SUMIFS($I$41:$I$61,$F$41:$F$61,2024,$G$41:$G$61,3,$J$41:$J$61,"Y")</f>
        <v>0</v>
      </c>
      <c r="D17" s="170">
        <f>SUMIFS($I$41:$I$61,$F$41:$F$61,2024,$G$41:$G$61,4,$J$41:$J$61,"Y")</f>
        <v>0</v>
      </c>
      <c r="E17" s="170">
        <f>SUMIFS($I$41:$I$61,$F$41:$F$61,2024,$G$41:$G$61,5,$J$41:$J$61,"Y")</f>
        <v>0</v>
      </c>
      <c r="F17" s="170">
        <f>SUMIFS($I$41:$I$61,$F$41:$F$61,2024,$G$41:$G$61,6,$J$41:$J$61,"Y")</f>
        <v>0</v>
      </c>
      <c r="G17" s="170">
        <f>SUMIFS($I$41:$I$61,$F$41:$F$61,2024,$G$41:$G$61,7,$J$41:$J$61,"Y")</f>
        <v>0</v>
      </c>
      <c r="H17" s="170">
        <f>SUMIFS($I$41:$I$61,$F$41:$F$61,2024,$G$41:$G$61,8,$J$41:$J$61,"Y")</f>
        <v>0</v>
      </c>
      <c r="I17" s="170">
        <f>SUMIFS($I$41:$I$61,$F$41:$F$61,2024,$G$41:$G$61,9,$J$41:$J$61,"Y")</f>
        <v>0</v>
      </c>
      <c r="J17" s="170">
        <f>SUMIFS($I$41:$I$61,$F$41:$F$61,2024,$G$41:$G$61,10,$J$41:$J$61,"Y")</f>
        <v>0</v>
      </c>
      <c r="K17" s="170">
        <f>SUMIFS($I$41:$I$61,$F$41:$F$61,2024,$G$41:$G$61,11,$J$41:$J$61,"Y")</f>
        <v>0</v>
      </c>
      <c r="L17" s="170">
        <f>SUMIFS($I$41:$I$61,$F$41:$F$61,2024,$G$41:$G$61,12,$J$41:$J$61,"Y")</f>
        <v>0</v>
      </c>
      <c r="Q17" s="169"/>
      <c r="R17" s="169"/>
    </row>
    <row r="18" spans="1:18" s="6" customFormat="1" ht="5.4" customHeight="1">
      <c r="I18" s="54"/>
      <c r="Q18" s="55"/>
      <c r="R18" s="56"/>
    </row>
    <row r="19" spans="1:18" s="149" customFormat="1" ht="13.2">
      <c r="A19" s="153">
        <v>2024</v>
      </c>
      <c r="B19" s="159">
        <f>SUM(A21:L21)</f>
        <v>0</v>
      </c>
      <c r="C19" s="160">
        <f>SUM(A22:L22)</f>
        <v>0</v>
      </c>
      <c r="I19" s="158"/>
      <c r="Q19" s="150"/>
      <c r="R19" s="150"/>
    </row>
    <row r="20" spans="1:18" s="6" customFormat="1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 s="168" customFormat="1" ht="13.2">
      <c r="A21" s="171">
        <f>SUMIFS($C$41:$C$61,$F$41:$F$61,2024,$G$41:$G$61,1,$J$41:$J$61,"Y")</f>
        <v>0</v>
      </c>
      <c r="B21" s="171">
        <f>SUMIFS($C$41:$C$61,$F$41:$F$61,2024,$G$41:$G$61,2,$J$41:$J$61,"Y")</f>
        <v>0</v>
      </c>
      <c r="C21" s="171">
        <f>SUMIFS($C$41:$C$61,$F$41:$F$61,2024,$G$41:$G$61,3,$J$41:$J$61,"Y")</f>
        <v>0</v>
      </c>
      <c r="D21" s="171">
        <f>SUMIFS($C$41:$C$61,$F$41:$F$61,2024,$G$41:$G$61,4,$J$41:$J$61,"Y")</f>
        <v>0</v>
      </c>
      <c r="E21" s="171">
        <f>SUMIFS($C$41:$C$61,$F$41:$F$61,2024,$G$41:$G$61,5,$J$41:$J$61,"Y")</f>
        <v>0</v>
      </c>
      <c r="F21" s="171">
        <f>SUMIFS($C$41:$C$61,$F$41:$F$61,2024,$G$41:$G$61,6,$J$41:$J$61,"Y")</f>
        <v>0</v>
      </c>
      <c r="G21" s="171">
        <f>SUMIFS($C$41:$C$61,$F$41:$F$61,2024,$G$41:$G$61,7,$J$41:$J$61,"Y")</f>
        <v>0</v>
      </c>
      <c r="H21" s="171">
        <f>SUMIFS($C$41:$C$61,$F$41:$F$61,2024,$G$41:$G$61,8,$J$41:$J$61,"Y")</f>
        <v>0</v>
      </c>
      <c r="I21" s="171">
        <f>SUMIFS($C$41:$C$61,$F$41:$F$61,2024,$G$41:$G$61,9,$J$41:$J$61,"Y")</f>
        <v>0</v>
      </c>
      <c r="J21" s="171">
        <f>SUMIFS($C$41:$C$61,$F$41:$F$61,2024,$G$41:$G$61,10,$J$41:$J$61,"Y")</f>
        <v>0</v>
      </c>
      <c r="K21" s="171">
        <f>SUMIFS($C$41:$C$61,$F$41:$F$61,2024,$G$41:$G$61,11,$J$41:$J$61,"Y")</f>
        <v>0</v>
      </c>
      <c r="L21" s="171">
        <f>SUMIFS($C$41:$C$61,$F$41:$F$61,2024,$G$41:$G$61,12,$J$41:$J$61,"Y")</f>
        <v>0</v>
      </c>
    </row>
    <row r="22" spans="1:18" s="168" customFormat="1" ht="13.2">
      <c r="A22" s="170">
        <f>SUMIFS($I$41:$I$61,$F$41:$F$61,2024,$G$41:$G$61,1,$J$41:$J$61,"Y")</f>
        <v>0</v>
      </c>
      <c r="B22" s="170">
        <f>SUMIFS($I$41:$I$61,$F$41:$F$61,2024,$G$41:$G$61,2,$J$41:$J$61,"Y")</f>
        <v>0</v>
      </c>
      <c r="C22" s="170">
        <f>SUMIFS($I$41:$I$61,$F$41:$F$61,2024,$G$41:$G$61,3,$J$41:$J$61,"Y")</f>
        <v>0</v>
      </c>
      <c r="D22" s="170">
        <f>SUMIFS($I$41:$I$61,$F$41:$F$61,2024,$G$41:$G$61,4,$J$41:$J$61,"Y")</f>
        <v>0</v>
      </c>
      <c r="E22" s="170">
        <f>SUMIFS($I$41:$I$61,$F$41:$F$61,2024,$G$41:$G$61,5,$J$41:$J$61,"Y")</f>
        <v>0</v>
      </c>
      <c r="F22" s="170">
        <f>SUMIFS($I$41:$I$61,$F$41:$F$61,2024,$G$41:$G$61,6,$J$41:$J$61,"Y")</f>
        <v>0</v>
      </c>
      <c r="G22" s="170">
        <f>SUMIFS($I$41:$I$61,$F$41:$F$61,2024,$G$41:$G$61,7,$J$41:$J$61,"Y")</f>
        <v>0</v>
      </c>
      <c r="H22" s="170">
        <f>SUMIFS($I$41:$I$61,$F$41:$F$61,2024,$G$41:$G$61,8,$J$41:$J$61,"Y")</f>
        <v>0</v>
      </c>
      <c r="I22" s="170">
        <f>SUMIFS($I$41:$I$61,$F$41:$F$61,2024,$G$41:$G$61,9,$J$41:$J$61,"Y")</f>
        <v>0</v>
      </c>
      <c r="J22" s="170">
        <f>SUMIFS($I$41:$I$61,$F$41:$F$61,2024,$G$41:$G$61,10,$J$41:$J$61,"Y")</f>
        <v>0</v>
      </c>
      <c r="K22" s="170">
        <f>SUMIFS($I$41:$I$61,$F$41:$F$61,2024,$G$41:$G$61,11,$J$41:$J$61,"Y")</f>
        <v>0</v>
      </c>
      <c r="L22" s="170">
        <f>SUMIFS($I$41:$I$61,$F$41:$F$61,2024,$G$41:$G$61,12,$J$41:$J$61,"Y")</f>
        <v>0</v>
      </c>
      <c r="Q22" s="169"/>
      <c r="R22" s="169"/>
    </row>
    <row r="23" spans="1:18" s="6" customFormat="1" ht="5.4" customHeight="1">
      <c r="I23" s="54"/>
      <c r="Q23" s="55"/>
      <c r="R23" s="56"/>
    </row>
    <row r="24" spans="1:18" s="149" customFormat="1" ht="13.2">
      <c r="A24" s="153">
        <v>2025</v>
      </c>
      <c r="B24" s="159">
        <f>SUM(A26:L26)</f>
        <v>0</v>
      </c>
      <c r="C24" s="160">
        <f>SUM(A27:L27)</f>
        <v>0</v>
      </c>
      <c r="I24" s="158"/>
      <c r="Q24" s="150"/>
      <c r="R24" s="150"/>
    </row>
    <row r="25" spans="1:18" s="6" customFormat="1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 s="6" customFormat="1" ht="13.2">
      <c r="A26" s="171">
        <f>SUMIFS($C$41:$C$61,$F$41:$F$61,2025,$G$41:$G$61,1,$J$41:$J$61,"Y")</f>
        <v>0</v>
      </c>
      <c r="B26" s="171">
        <f>SUMIFS($C$41:$C$61,$F$41:$F$61,2025,$G$41:$G$61,2,$J$41:$J$61,"Y")</f>
        <v>0</v>
      </c>
      <c r="C26" s="171">
        <f>SUMIFS($C$41:$C$61,$F$41:$F$61,2025,$G$41:$G$61,3,$J$41:$J$61,"Y")</f>
        <v>0</v>
      </c>
      <c r="D26" s="171">
        <f>SUMIFS($C$41:$C$61,$F$41:$F$61,2025,$G$41:$G$61,4,$J$41:$J$61,"Y")</f>
        <v>0</v>
      </c>
      <c r="E26" s="171">
        <f>SUMIFS($C$41:$C$61,$F$41:$F$61,2025,$G$41:$G$61,5,$J$41:$J$61,"Y")</f>
        <v>0</v>
      </c>
      <c r="F26" s="171">
        <f>SUMIFS($C$41:$C$61,$F$41:$F$61,2025,$G$41:$G$61,6,$J$41:$J$61,"Y")</f>
        <v>0</v>
      </c>
      <c r="G26" s="171">
        <f>SUMIFS($C$41:$C$61,$F$41:$F$61,2025,$G$41:$G$61,7,$J$41:$J$61,"Y")</f>
        <v>0</v>
      </c>
      <c r="H26" s="171">
        <f>SUMIFS($C$41:$C$61,$F$41:$F$61,2025,$G$41:$G$61,8,$J$41:$J$61,"Y")</f>
        <v>0</v>
      </c>
      <c r="I26" s="171">
        <f>SUMIFS($C$41:$C$61,$F$41:$F$61,2025,$G$41:$G$61,9,$J$41:$J$61,"Y")</f>
        <v>0</v>
      </c>
      <c r="J26" s="171">
        <f>SUMIFS($C$41:$C$61,$F$41:$F$61,2025,$G$41:$G$61,10,$J$41:$J$61,"Y")</f>
        <v>0</v>
      </c>
      <c r="K26" s="171">
        <f>SUMIFS($C$41:$C$61,$F$41:$F$61,2025,$G$41:$G$61,11,$J$41:$J$61,"Y")</f>
        <v>0</v>
      </c>
      <c r="L26" s="171">
        <f>SUMIFS($C$41:$C$61,$F$41:$F$61,2025,$G$41:$G$61,12,$J$41:$J$61,"Y")</f>
        <v>0</v>
      </c>
      <c r="Q26" s="55"/>
      <c r="R26" s="56"/>
    </row>
    <row r="27" spans="1:18" s="6" customFormat="1" ht="13.2">
      <c r="A27" s="170">
        <f>SUMIFS($I$41:$I$61,$F$41:$F$61,2025,$G$41:$G$61,1,$J$41:$J$61,"Y")</f>
        <v>0</v>
      </c>
      <c r="B27" s="170">
        <f>SUMIFS($I$41:$I$61,$F$41:$F$61,2025,$G$41:$G$61,2,$J$41:$J$61,"Y")</f>
        <v>0</v>
      </c>
      <c r="C27" s="170">
        <f>SUMIFS($I$41:$I$61,$F$41:$F$61,2025,$G$41:$G$61,3,$J$41:$J$61,"Y")</f>
        <v>0</v>
      </c>
      <c r="D27" s="170">
        <f>SUMIFS($I$41:$I$61,$F$41:$F$61,2025,$G$41:$G$61,4,$J$41:$J$61,"Y")</f>
        <v>0</v>
      </c>
      <c r="E27" s="170">
        <f>SUMIFS($I$41:$I$61,$F$41:$F$61,2025,$G$41:$G$61,5,$J$41:$J$61,"Y")</f>
        <v>0</v>
      </c>
      <c r="F27" s="170">
        <f>SUMIFS($I$41:$I$61,$F$41:$F$61,2025,$G$41:$G$61,6,$J$41:$J$61,"Y")</f>
        <v>0</v>
      </c>
      <c r="G27" s="170">
        <f>SUMIFS($I$41:$I$61,$F$41:$F$61,2025,$G$41:$G$61,7,$J$41:$J$61,"Y")</f>
        <v>0</v>
      </c>
      <c r="H27" s="170">
        <f>SUMIFS($I$41:$I$61,$F$41:$F$61,2025,$G$41:$G$61,8,$J$41:$J$61,"Y")</f>
        <v>0</v>
      </c>
      <c r="I27" s="170">
        <f>SUMIFS($I$41:$I$61,$F$41:$F$61,2025,$G$41:$G$61,9,$J$41:$J$61,"Y")</f>
        <v>0</v>
      </c>
      <c r="J27" s="170">
        <f>SUMIFS($I$41:$I$61,$F$41:$F$61,2025,$G$41:$G$61,10,$J$41:$J$61,"Y")</f>
        <v>0</v>
      </c>
      <c r="K27" s="170">
        <f>SUMIFS($I$41:$I$61,$F$41:$F$61,2025,$G$41:$G$61,11,$J$41:$J$61,"Y")</f>
        <v>0</v>
      </c>
      <c r="L27" s="170">
        <f>SUMIFS($I$41:$I$61,$F$41:$F$61,2025,$G$41:$G$61,12,$J$41:$J$61,"Y")</f>
        <v>0</v>
      </c>
      <c r="Q27" s="55"/>
      <c r="R27" s="56"/>
    </row>
    <row r="28" spans="1:18" s="6" customFormat="1" ht="5.4" customHeight="1">
      <c r="I28" s="54"/>
      <c r="Q28" s="55"/>
      <c r="R28" s="56"/>
    </row>
    <row r="29" spans="1:18" s="149" customFormat="1" ht="13.2">
      <c r="A29" s="153">
        <v>2026</v>
      </c>
      <c r="B29" s="159">
        <f>SUM(A31:L31)</f>
        <v>0</v>
      </c>
      <c r="C29" s="160">
        <f>SUM(A32:L32)</f>
        <v>0</v>
      </c>
      <c r="I29" s="158"/>
      <c r="Q29" s="150"/>
      <c r="R29" s="150"/>
    </row>
    <row r="30" spans="1:18" s="6" customFormat="1" ht="13.8">
      <c r="A30" s="136" t="s">
        <v>58</v>
      </c>
      <c r="B30" s="136" t="s">
        <v>59</v>
      </c>
      <c r="C30" s="136" t="s">
        <v>60</v>
      </c>
      <c r="D30" s="136" t="s">
        <v>61</v>
      </c>
      <c r="E30" s="136" t="s">
        <v>62</v>
      </c>
      <c r="F30" s="136" t="s">
        <v>63</v>
      </c>
      <c r="G30" s="136" t="s">
        <v>64</v>
      </c>
      <c r="H30" s="136" t="s">
        <v>65</v>
      </c>
      <c r="I30" s="136" t="s">
        <v>66</v>
      </c>
      <c r="J30" s="136" t="s">
        <v>67</v>
      </c>
      <c r="K30" s="136" t="s">
        <v>68</v>
      </c>
      <c r="L30" s="136" t="s">
        <v>69</v>
      </c>
      <c r="Q30" s="55"/>
      <c r="R30" s="56"/>
    </row>
    <row r="31" spans="1:18" s="6" customFormat="1" ht="13.2">
      <c r="A31" s="171">
        <f>SUMIFS($C$41:$C$61,$F$41:$F$61,2026,$G$41:$G$61,1,$J$41:$J$61,"Y")</f>
        <v>0</v>
      </c>
      <c r="B31" s="171">
        <f>SUMIFS($C$41:$C$61,$F$41:$F$61,2026,$G$41:$G$61,2,$J$41:$J$61,"Y")</f>
        <v>0</v>
      </c>
      <c r="C31" s="171">
        <f>SUMIFS($C$41:$C$61,$F$41:$F$61,2026,$G$41:$G$61,3,$J$41:$J$61,"Y")</f>
        <v>0</v>
      </c>
      <c r="D31" s="171">
        <f>SUMIFS($C$41:$C$61,$F$41:$F$61,2026,$G$41:$G$61,4,$J$41:$J$61,"Y")</f>
        <v>0</v>
      </c>
      <c r="E31" s="171">
        <f>SUMIFS($C$41:$C$61,$F$41:$F$61,2026,$G$41:$G$61,5,$J$41:$J$61,"Y")</f>
        <v>0</v>
      </c>
      <c r="F31" s="171">
        <f>SUMIFS($C$41:$C$61,$F$41:$F$61,2026,$G$41:$G$61,6,$J$41:$J$61,"Y")</f>
        <v>0</v>
      </c>
      <c r="G31" s="171">
        <f>SUMIFS($C$41:$C$61,$F$41:$F$61,2026,$G$41:$G$61,7,$J$41:$J$61,"Y")</f>
        <v>0</v>
      </c>
      <c r="H31" s="171">
        <f>SUMIFS($C$41:$C$61,$F$41:$F$61,2026,$G$41:$G$61,8,$J$41:$J$61,"Y")</f>
        <v>0</v>
      </c>
      <c r="I31" s="171">
        <f>SUMIFS($C$41:$C$61,$F$41:$F$61,2026,$G$41:$G$61,9,$J$41:$J$61,"Y")</f>
        <v>0</v>
      </c>
      <c r="J31" s="171">
        <f>SUMIFS($C$41:$C$61,$F$41:$F$61,2026,$G$41:$G$61,10,$J$41:$J$61,"Y")</f>
        <v>0</v>
      </c>
      <c r="K31" s="171">
        <f>SUMIFS($C$41:$C$61,$F$41:$F$61,2026,$G$41:$G$61,11,$J$41:$J$61,"Y")</f>
        <v>0</v>
      </c>
      <c r="L31" s="171">
        <f>SUMIFS($C$41:$C$61,$F$41:$F$61,2026,$G$41:$G$61,12,$J$41:$J$61,"Y")</f>
        <v>0</v>
      </c>
      <c r="Q31" s="55"/>
      <c r="R31" s="56"/>
    </row>
    <row r="32" spans="1:18" s="6" customFormat="1" ht="13.2">
      <c r="A32" s="170">
        <f>SUMIFS($I$41:$I$61,$F$41:$F$61,2026,$G$41:$G$61,1,$J$41:$J$61,"Y")</f>
        <v>0</v>
      </c>
      <c r="B32" s="170">
        <f>SUMIFS($I$41:$I$61,$F$41:$F$61,2026,$G$41:$G$61,2,$J$41:$J$61,"Y")</f>
        <v>0</v>
      </c>
      <c r="C32" s="170">
        <f>SUMIFS($I$41:$I$61,$F$41:$F$61,2026,$G$41:$G$61,3,$J$41:$J$61,"Y")</f>
        <v>0</v>
      </c>
      <c r="D32" s="170">
        <f>SUMIFS($I$41:$I$61,$F$41:$F$61,2026,$G$41:$G$61,4,$J$41:$J$61,"Y")</f>
        <v>0</v>
      </c>
      <c r="E32" s="170">
        <f>SUMIFS($I$41:$I$61,$F$41:$F$61,2026,$G$41:$G$61,5,$J$41:$J$61,"Y")</f>
        <v>0</v>
      </c>
      <c r="F32" s="170">
        <f>SUMIFS($I$41:$I$61,$F$41:$F$61,2026,$G$41:$G$61,6,$J$41:$J$61,"Y")</f>
        <v>0</v>
      </c>
      <c r="G32" s="170">
        <f>SUMIFS($I$41:$I$61,$F$41:$F$61,2026,$G$41:$G$61,7,$J$41:$J$61,"Y")</f>
        <v>0</v>
      </c>
      <c r="H32" s="170">
        <f>SUMIFS($I$41:$I$61,$F$41:$F$61,2026,$G$41:$G$61,8,$J$41:$J$61,"Y")</f>
        <v>0</v>
      </c>
      <c r="I32" s="170">
        <f>SUMIFS($I$41:$I$61,$F$41:$F$61,2026,$G$41:$G$61,9,$J$41:$J$61,"Y")</f>
        <v>0</v>
      </c>
      <c r="J32" s="170">
        <f>SUMIFS($I$41:$I$61,$F$41:$F$61,2026,$G$41:$G$61,10,$J$41:$J$61,"Y")</f>
        <v>0</v>
      </c>
      <c r="K32" s="170">
        <f>SUMIFS($I$41:$I$61,$F$41:$F$61,2026,$G$41:$G$61,11,$J$41:$J$61,"Y")</f>
        <v>0</v>
      </c>
      <c r="L32" s="170">
        <f>SUMIFS($I$41:$I$61,$F$41:$F$61,2026,$G$41:$G$61,12,$J$41:$J$61,"Y")</f>
        <v>0</v>
      </c>
    </row>
    <row r="33" spans="1:18" s="52" customFormat="1" ht="5.4" customHeight="1">
      <c r="A33" s="6"/>
      <c r="B33" s="6"/>
      <c r="C33" s="6"/>
      <c r="D33" s="6"/>
      <c r="E33" s="6"/>
      <c r="F33" s="6"/>
      <c r="G33" s="6"/>
      <c r="H33" s="6"/>
      <c r="I33" s="54"/>
      <c r="J33" s="6"/>
      <c r="K33" s="6"/>
      <c r="L33" s="6"/>
    </row>
    <row r="34" spans="1:18" s="149" customFormat="1" ht="13.2">
      <c r="A34" s="153">
        <v>2027</v>
      </c>
      <c r="B34" s="159">
        <f>SUM(A36:L36)</f>
        <v>0</v>
      </c>
      <c r="C34" s="160">
        <f>SUM(A37:L37)</f>
        <v>0</v>
      </c>
      <c r="I34" s="158"/>
    </row>
    <row r="35" spans="1:18" s="6" customFormat="1" ht="13.8">
      <c r="A35" s="136" t="s">
        <v>58</v>
      </c>
      <c r="B35" s="136" t="s">
        <v>59</v>
      </c>
      <c r="C35" s="136" t="s">
        <v>60</v>
      </c>
      <c r="D35" s="136" t="s">
        <v>61</v>
      </c>
      <c r="E35" s="136" t="s">
        <v>62</v>
      </c>
      <c r="F35" s="136" t="s">
        <v>63</v>
      </c>
      <c r="G35" s="136" t="s">
        <v>64</v>
      </c>
      <c r="H35" s="136" t="s">
        <v>65</v>
      </c>
      <c r="I35" s="136" t="s">
        <v>66</v>
      </c>
      <c r="J35" s="136" t="s">
        <v>67</v>
      </c>
      <c r="K35" s="136" t="s">
        <v>68</v>
      </c>
      <c r="L35" s="136" t="s">
        <v>69</v>
      </c>
      <c r="Q35" s="55"/>
      <c r="R35" s="56"/>
    </row>
    <row r="36" spans="1:18" s="6" customFormat="1" ht="13.2">
      <c r="A36" s="171">
        <f>SUMIFS($C$41:$C$61,$F$41:$F$61,2027,$G$41:$G$61,1,$J$41:$J$61,"Y")</f>
        <v>0</v>
      </c>
      <c r="B36" s="171">
        <f>SUMIFS($C$41:$C$61,$F$41:$F$61,2027,$G$41:$G$61,2,$J$41:$J$61,"Y")</f>
        <v>0</v>
      </c>
      <c r="C36" s="171">
        <f>SUMIFS($C$41:$C$61,$F$41:$F$61,2027,$G$41:$G$61,3,$J$41:$J$61,"Y")</f>
        <v>0</v>
      </c>
      <c r="D36" s="171">
        <f>SUMIFS($C$41:$C$61,$F$41:$F$61,2027,$G$41:$G$61,4,$J$41:$J$61,"Y")</f>
        <v>0</v>
      </c>
      <c r="E36" s="171">
        <f>SUMIFS($C$41:$C$61,$F$41:$F$61,2027,$G$41:$G$61,5,$J$41:$J$61,"Y")</f>
        <v>0</v>
      </c>
      <c r="F36" s="171">
        <f>SUMIFS($C$41:$C$61,$F$41:$F$61,2027,$G$41:$G$61,6,$J$41:$J$61,"Y")</f>
        <v>0</v>
      </c>
      <c r="G36" s="171">
        <f>SUMIFS($C$41:$C$61,$F$41:$F$61,2027,$G$41:$G$61,7,$J$41:$J$61,"Y")</f>
        <v>0</v>
      </c>
      <c r="H36" s="171">
        <f>SUMIFS($C$41:$C$61,$F$41:$F$61,2027,$G$41:$G$61,8,$J$41:$J$61,"Y")</f>
        <v>0</v>
      </c>
      <c r="I36" s="171">
        <f>SUMIFS($C$41:$C$61,$F$41:$F$61,2027,$G$41:$G$61,9,$J$41:$J$61,"Y")</f>
        <v>0</v>
      </c>
      <c r="J36" s="171">
        <f>SUMIFS($C$41:$C$61,$F$41:$F$61,2027,$G$41:$G$61,10,$J$41:$J$61,"Y")</f>
        <v>0</v>
      </c>
      <c r="K36" s="171">
        <f>SUMIFS($C$41:$C$61,$F$41:$F$61,2027,$G$41:$G$61,11,$J$41:$J$61,"Y")</f>
        <v>0</v>
      </c>
      <c r="L36" s="171">
        <f>SUMIFS($C$41:$C$61,$F$41:$F$61,2027,$G$41:$G$61,12,$J$41:$J$61,"Y")</f>
        <v>0</v>
      </c>
    </row>
    <row r="37" spans="1:18" s="6" customFormat="1" ht="13.2">
      <c r="A37" s="170">
        <f>SUMIFS($I$41:$I$61,$F$41:$F$61,2027,$G$41:$G$61,1,$J$41:$J$61,"Y")</f>
        <v>0</v>
      </c>
      <c r="B37" s="170">
        <f>SUMIFS($I$41:$I$61,$F$41:$F$61,2027,$G$41:$G$61,2,$J$41:$J$61,"Y")</f>
        <v>0</v>
      </c>
      <c r="C37" s="170">
        <f>SUMIFS($I$41:$I$61,$F$41:$F$61,2027,$G$41:$G$61,3,$J$41:$J$61,"Y")</f>
        <v>0</v>
      </c>
      <c r="D37" s="170">
        <f>SUMIFS($I$41:$I$61,$F$41:$F$61,2027,$G$41:$G$61,4,$J$41:$J$61,"Y")</f>
        <v>0</v>
      </c>
      <c r="E37" s="170">
        <f>SUMIFS($I$41:$I$61,$F$41:$F$61,2027,$G$41:$G$61,5,$J$41:$J$61,"Y")</f>
        <v>0</v>
      </c>
      <c r="F37" s="170">
        <f>SUMIFS($I$41:$I$61,$F$41:$F$61,2027,$G$41:$G$61,6,$J$41:$J$61,"Y")</f>
        <v>0</v>
      </c>
      <c r="G37" s="170">
        <f>SUMIFS($I$41:$I$61,$F$41:$F$61,2027,$G$41:$G$61,7,$J$41:$J$61,"Y")</f>
        <v>0</v>
      </c>
      <c r="H37" s="170">
        <f>SUMIFS($I$41:$I$61,$F$41:$F$61,2027,$G$41:$G$61,8,$J$41:$J$61,"Y")</f>
        <v>0</v>
      </c>
      <c r="I37" s="170">
        <f>SUMIFS($I$41:$I$61,$F$41:$F$61,2027,$G$41:$G$61,9,$J$41:$J$61,"Y")</f>
        <v>0</v>
      </c>
      <c r="J37" s="170">
        <f>SUMIFS($I$41:$I$61,$F$41:$F$61,2027,$G$41:$G$61,10,$J$41:$J$61,"Y")</f>
        <v>0</v>
      </c>
      <c r="K37" s="170">
        <f>SUMIFS($I$41:$I$61,$F$41:$F$61,2027,$G$41:$G$61,11,$J$41:$J$61,"Y")</f>
        <v>0</v>
      </c>
      <c r="L37" s="170">
        <f>SUMIFS($I$41:$I$61,$F$41:$F$61,2027,$G$41:$G$61,12,$J$41:$J$61,"Y")</f>
        <v>0</v>
      </c>
    </row>
    <row r="38" spans="1:18" s="6" customFormat="1" ht="13.2"/>
    <row r="39" spans="1:18" s="6" customFormat="1" ht="15.6">
      <c r="A39" s="1" t="s">
        <v>259</v>
      </c>
      <c r="B39" s="431" t="s">
        <v>260</v>
      </c>
      <c r="I39" s="166"/>
    </row>
    <row r="40" spans="1:18" s="6" customFormat="1" ht="15.6">
      <c r="A40" s="14" t="s">
        <v>134</v>
      </c>
      <c r="B40" s="14" t="s">
        <v>135</v>
      </c>
      <c r="C40" s="14" t="s">
        <v>136</v>
      </c>
      <c r="D40" s="14" t="s">
        <v>137</v>
      </c>
      <c r="E40" s="14" t="s">
        <v>138</v>
      </c>
      <c r="F40" s="14" t="s">
        <v>139</v>
      </c>
      <c r="G40" s="14" t="s">
        <v>140</v>
      </c>
      <c r="H40" s="14" t="s">
        <v>141</v>
      </c>
      <c r="I40" s="14" t="s">
        <v>142</v>
      </c>
      <c r="J40" s="14" t="s">
        <v>143</v>
      </c>
      <c r="K40" s="172" t="s">
        <v>144</v>
      </c>
    </row>
    <row r="41" spans="1:18" s="6" customFormat="1" ht="15.6">
      <c r="A41" s="97"/>
      <c r="B41" s="163"/>
      <c r="C41" s="218"/>
      <c r="D41" s="209"/>
      <c r="E41" s="217"/>
      <c r="F41" s="212"/>
      <c r="G41" s="212"/>
      <c r="H41" s="217"/>
      <c r="I41" s="219"/>
      <c r="J41" s="212"/>
      <c r="K41" s="220"/>
    </row>
    <row r="42" spans="1:18" s="6" customFormat="1" ht="13.2">
      <c r="A42" s="97"/>
      <c r="B42" s="163"/>
      <c r="C42" s="162"/>
      <c r="D42" s="4"/>
      <c r="E42" s="4"/>
      <c r="F42" s="4"/>
      <c r="G42" s="4"/>
      <c r="H42" s="161"/>
      <c r="I42" s="22"/>
      <c r="J42" s="5"/>
      <c r="K42" s="23"/>
    </row>
    <row r="43" spans="1:18" s="6" customFormat="1" ht="13.2">
      <c r="A43" s="97"/>
      <c r="B43" s="163"/>
      <c r="C43" s="162"/>
      <c r="D43" s="4"/>
      <c r="E43" s="4"/>
      <c r="F43" s="4"/>
      <c r="G43" s="4"/>
      <c r="H43" s="161"/>
      <c r="I43" s="22"/>
      <c r="J43" s="5"/>
      <c r="K43" s="23"/>
    </row>
    <row r="44" spans="1:18" s="6" customFormat="1" ht="13.2">
      <c r="A44" s="97"/>
      <c r="B44" s="163"/>
      <c r="C44" s="162"/>
      <c r="D44" s="4"/>
      <c r="E44" s="4"/>
      <c r="F44" s="4"/>
      <c r="G44" s="4"/>
      <c r="H44" s="161"/>
      <c r="I44" s="22"/>
      <c r="J44" s="5"/>
      <c r="K44" s="23"/>
    </row>
    <row r="45" spans="1:18" s="6" customFormat="1" ht="13.2">
      <c r="A45" s="97"/>
      <c r="B45" s="163"/>
      <c r="C45" s="162"/>
      <c r="D45" s="4"/>
      <c r="E45" s="4"/>
      <c r="F45" s="4"/>
      <c r="G45" s="4"/>
      <c r="H45" s="161"/>
      <c r="I45" s="22"/>
      <c r="J45" s="5"/>
      <c r="K45" s="23"/>
    </row>
    <row r="46" spans="1:18" s="6" customFormat="1" ht="13.2">
      <c r="A46" s="97"/>
      <c r="B46" s="163"/>
      <c r="C46" s="162"/>
      <c r="D46" s="4"/>
      <c r="E46" s="4"/>
      <c r="F46" s="4"/>
      <c r="G46" s="4"/>
      <c r="H46" s="161"/>
      <c r="I46" s="22"/>
      <c r="J46" s="5"/>
      <c r="K46" s="23"/>
    </row>
    <row r="47" spans="1:18" s="6" customFormat="1" ht="13.2">
      <c r="A47" s="97"/>
      <c r="B47" s="163"/>
      <c r="C47" s="162"/>
      <c r="D47" s="4"/>
      <c r="E47" s="4"/>
      <c r="F47" s="4"/>
      <c r="G47" s="4"/>
      <c r="H47" s="161"/>
      <c r="I47" s="22"/>
      <c r="J47" s="5"/>
      <c r="K47" s="23"/>
    </row>
    <row r="48" spans="1:18" s="6" customFormat="1" ht="13.2">
      <c r="A48" s="97"/>
      <c r="B48" s="163"/>
      <c r="C48" s="162"/>
      <c r="D48" s="4"/>
      <c r="E48" s="4"/>
      <c r="F48" s="4"/>
      <c r="G48" s="4"/>
      <c r="H48" s="161"/>
      <c r="I48" s="22"/>
      <c r="J48" s="5"/>
      <c r="K48" s="23"/>
    </row>
    <row r="49" spans="1:11" s="6" customFormat="1" ht="13.2">
      <c r="A49" s="97"/>
      <c r="B49" s="163"/>
      <c r="C49" s="162"/>
      <c r="D49" s="4"/>
      <c r="E49" s="4"/>
      <c r="F49" s="4"/>
      <c r="G49" s="4"/>
      <c r="H49" s="161"/>
      <c r="I49" s="22"/>
      <c r="J49" s="5"/>
      <c r="K49" s="23"/>
    </row>
    <row r="50" spans="1:11" s="6" customFormat="1" ht="13.2">
      <c r="A50" s="97"/>
      <c r="B50" s="163"/>
      <c r="C50" s="162"/>
      <c r="D50" s="4"/>
      <c r="E50" s="4"/>
      <c r="F50" s="4"/>
      <c r="G50" s="4"/>
      <c r="H50" s="161"/>
      <c r="I50" s="22"/>
      <c r="J50" s="5"/>
      <c r="K50" s="23"/>
    </row>
    <row r="51" spans="1:11" s="6" customFormat="1" ht="13.2">
      <c r="A51" s="97"/>
      <c r="B51" s="163"/>
      <c r="C51" s="162"/>
      <c r="D51" s="4"/>
      <c r="E51" s="4"/>
      <c r="F51" s="4"/>
      <c r="G51" s="4"/>
      <c r="H51" s="161"/>
      <c r="I51" s="22"/>
      <c r="J51" s="5"/>
      <c r="K51" s="23"/>
    </row>
    <row r="52" spans="1:11" s="6" customFormat="1" ht="13.2">
      <c r="A52" s="97"/>
      <c r="B52" s="163"/>
      <c r="C52" s="162"/>
      <c r="D52" s="4"/>
      <c r="E52" s="4"/>
      <c r="F52" s="4"/>
      <c r="G52" s="4"/>
      <c r="H52" s="161"/>
      <c r="I52" s="22"/>
      <c r="J52" s="5"/>
      <c r="K52" s="23"/>
    </row>
    <row r="53" spans="1:11" s="6" customFormat="1" ht="13.2">
      <c r="A53" s="97"/>
      <c r="B53" s="163"/>
      <c r="C53" s="162"/>
      <c r="D53" s="4"/>
      <c r="E53" s="4"/>
      <c r="F53" s="4"/>
      <c r="G53" s="4"/>
      <c r="H53" s="161"/>
      <c r="I53" s="22"/>
      <c r="J53" s="5"/>
      <c r="K53" s="23"/>
    </row>
    <row r="54" spans="1:11" s="6" customFormat="1" ht="13.2">
      <c r="A54" s="97"/>
      <c r="B54" s="163"/>
      <c r="C54" s="162"/>
      <c r="D54" s="4"/>
      <c r="E54" s="4"/>
      <c r="F54" s="4"/>
      <c r="G54" s="4"/>
      <c r="H54" s="161"/>
      <c r="I54" s="22"/>
      <c r="J54" s="5"/>
      <c r="K54" s="23"/>
    </row>
    <row r="55" spans="1:11" s="6" customFormat="1" ht="13.2">
      <c r="A55" s="97"/>
      <c r="B55" s="163"/>
      <c r="C55" s="162"/>
      <c r="D55" s="4"/>
      <c r="E55" s="4"/>
      <c r="F55" s="4"/>
      <c r="G55" s="4"/>
      <c r="H55" s="161"/>
      <c r="I55" s="22"/>
      <c r="J55" s="5"/>
      <c r="K55" s="23"/>
    </row>
    <row r="56" spans="1:11" s="6" customFormat="1" ht="13.2">
      <c r="A56" s="97"/>
      <c r="B56" s="163"/>
      <c r="C56" s="162"/>
      <c r="D56" s="4"/>
      <c r="E56" s="4"/>
      <c r="F56" s="4"/>
      <c r="G56" s="4"/>
      <c r="H56" s="161"/>
      <c r="I56" s="22"/>
      <c r="J56" s="5"/>
      <c r="K56" s="23"/>
    </row>
    <row r="57" spans="1:11" s="6" customFormat="1" ht="13.2">
      <c r="A57" s="97"/>
      <c r="B57" s="163"/>
      <c r="C57" s="162"/>
      <c r="D57" s="4"/>
      <c r="E57" s="4"/>
      <c r="F57" s="4"/>
      <c r="G57" s="4"/>
      <c r="H57" s="161"/>
      <c r="I57" s="22"/>
      <c r="J57" s="5"/>
      <c r="K57" s="23"/>
    </row>
    <row r="58" spans="1:11" s="6" customFormat="1" ht="13.2">
      <c r="A58" s="97"/>
      <c r="B58" s="163"/>
      <c r="C58" s="162"/>
      <c r="D58" s="4"/>
      <c r="E58" s="4"/>
      <c r="F58" s="4"/>
      <c r="G58" s="4"/>
      <c r="H58" s="161"/>
      <c r="I58" s="22"/>
      <c r="J58" s="5"/>
      <c r="K58" s="23"/>
    </row>
    <row r="59" spans="1:11" s="6" customFormat="1" ht="13.2">
      <c r="A59" s="97"/>
      <c r="B59" s="163"/>
      <c r="C59" s="162"/>
      <c r="D59" s="4"/>
      <c r="E59" s="4"/>
      <c r="F59" s="4"/>
      <c r="G59" s="4"/>
      <c r="H59" s="161"/>
      <c r="I59" s="22"/>
      <c r="J59" s="5"/>
      <c r="K59" s="23"/>
    </row>
    <row r="60" spans="1:11" s="6" customFormat="1" ht="13.2">
      <c r="A60" s="97"/>
      <c r="B60" s="163"/>
      <c r="C60" s="162"/>
      <c r="D60" s="4"/>
      <c r="E60" s="4"/>
      <c r="F60" s="4"/>
      <c r="G60" s="4"/>
      <c r="H60" s="161"/>
      <c r="I60" s="22"/>
      <c r="J60" s="5"/>
      <c r="K60" s="23"/>
    </row>
    <row r="61" spans="1:11" s="6" customFormat="1" ht="13.2">
      <c r="A61" s="97"/>
      <c r="B61" s="163"/>
      <c r="C61" s="162"/>
      <c r="D61" s="4"/>
      <c r="E61" s="4"/>
      <c r="F61" s="4"/>
      <c r="G61" s="4"/>
      <c r="H61" s="161"/>
      <c r="I61" s="22"/>
      <c r="J61" s="5"/>
      <c r="K61" s="2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05A90-8919-42B6-9AE6-3C52807B0A01}">
  <sheetPr>
    <tabColor theme="4" tint="0.79998168889431442"/>
  </sheetPr>
  <dimension ref="A1:R193"/>
  <sheetViews>
    <sheetView topLeftCell="A144" workbookViewId="0">
      <selection activeCell="J164" sqref="J164"/>
    </sheetView>
  </sheetViews>
  <sheetFormatPr defaultColWidth="8.69921875" defaultRowHeight="13.2"/>
  <cols>
    <col min="1" max="1" width="48.69921875" style="6" customWidth="1"/>
    <col min="2" max="2" width="17.09765625" style="6" customWidth="1"/>
    <col min="3" max="3" width="16.5" style="6" customWidth="1"/>
    <col min="4" max="4" width="18.5" style="6" customWidth="1"/>
    <col min="5" max="5" width="16.8984375" style="6" customWidth="1"/>
    <col min="6" max="6" width="15.69921875" style="6" customWidth="1"/>
    <col min="7" max="7" width="11.19921875" style="6" customWidth="1"/>
    <col min="8" max="8" width="13.59765625" style="6" customWidth="1"/>
    <col min="9" max="9" width="16.69921875" style="6" bestFit="1" customWidth="1"/>
    <col min="10" max="10" width="14.69921875" style="6" customWidth="1"/>
    <col min="11" max="11" width="16.59765625" style="6" customWidth="1"/>
    <col min="12" max="12" width="16" style="6" customWidth="1"/>
    <col min="13" max="13" width="18.19921875" style="6" customWidth="1"/>
    <col min="14" max="16384" width="8.69921875" style="6"/>
  </cols>
  <sheetData>
    <row r="1" spans="1:18">
      <c r="A1" s="47" t="s">
        <v>261</v>
      </c>
      <c r="B1" s="51"/>
      <c r="C1" s="51"/>
      <c r="D1" s="13"/>
      <c r="E1" s="48"/>
      <c r="G1" s="54"/>
      <c r="H1" s="54"/>
    </row>
    <row r="2" spans="1:18">
      <c r="A2" s="16"/>
      <c r="B2" s="46" t="s">
        <v>47</v>
      </c>
      <c r="C2" s="46" t="s">
        <v>262</v>
      </c>
      <c r="D2" s="17" t="s">
        <v>49</v>
      </c>
      <c r="E2" s="46" t="s">
        <v>50</v>
      </c>
      <c r="G2" s="54"/>
      <c r="H2" s="54"/>
    </row>
    <row r="3" spans="1:18" ht="4.5" customHeight="1">
      <c r="A3" s="1"/>
      <c r="B3" s="52"/>
      <c r="C3" s="52"/>
      <c r="D3" s="49"/>
      <c r="E3" s="49"/>
      <c r="G3" s="54"/>
      <c r="H3" s="54"/>
    </row>
    <row r="4" spans="1:18">
      <c r="A4" s="50" t="s">
        <v>1</v>
      </c>
      <c r="B4" s="53"/>
      <c r="C4" s="53"/>
      <c r="D4" s="11" t="s">
        <v>2</v>
      </c>
      <c r="E4" s="308">
        <f ca="1">TODAY()</f>
        <v>46226</v>
      </c>
      <c r="G4" s="54"/>
      <c r="H4" s="54"/>
      <c r="Q4" s="55"/>
      <c r="R4" s="56"/>
    </row>
    <row r="5" spans="1:18">
      <c r="A5" s="1"/>
      <c r="B5" s="52"/>
      <c r="C5" s="52"/>
      <c r="D5" s="123"/>
      <c r="G5" s="54"/>
      <c r="H5" s="54"/>
      <c r="Q5" s="55"/>
      <c r="R5" s="56"/>
    </row>
    <row r="6" spans="1:18" ht="13.8" thickBot="1">
      <c r="A6" s="1" t="s">
        <v>263</v>
      </c>
      <c r="B6" s="52"/>
      <c r="C6" s="52"/>
      <c r="D6" s="123"/>
      <c r="G6" s="54"/>
      <c r="H6" s="54"/>
      <c r="Q6" s="55"/>
      <c r="R6" s="56"/>
    </row>
    <row r="7" spans="1:18">
      <c r="A7" s="125" t="s">
        <v>52</v>
      </c>
      <c r="B7" s="58" t="s">
        <v>53</v>
      </c>
      <c r="C7" s="59" t="s">
        <v>26</v>
      </c>
    </row>
    <row r="8" spans="1:18">
      <c r="A8" s="124" t="s">
        <v>54</v>
      </c>
      <c r="B8" s="127">
        <f>B193</f>
        <v>706859</v>
      </c>
      <c r="C8" s="129"/>
    </row>
    <row r="9" spans="1:18">
      <c r="A9" s="131" t="s">
        <v>24</v>
      </c>
      <c r="B9" s="132">
        <f>B13+B18+B23+B28+B33</f>
        <v>581898.3899999999</v>
      </c>
      <c r="C9" s="133">
        <f>B9/B8</f>
        <v>0.82321706309179044</v>
      </c>
    </row>
    <row r="10" spans="1:18" ht="13.8" thickBot="1">
      <c r="A10" s="126" t="s">
        <v>25</v>
      </c>
      <c r="B10" s="128">
        <f>B8-B9</f>
        <v>124960.6100000001</v>
      </c>
      <c r="C10" s="130">
        <f>B10/B8</f>
        <v>0.17678293690820956</v>
      </c>
      <c r="E10" s="167"/>
    </row>
    <row r="12" spans="1:18">
      <c r="A12" s="1" t="s">
        <v>264</v>
      </c>
    </row>
    <row r="13" spans="1:18" s="149" customFormat="1">
      <c r="A13" s="153">
        <v>2023</v>
      </c>
      <c r="B13" s="159">
        <f>SUM(A15:L15)</f>
        <v>94935.659999999989</v>
      </c>
      <c r="C13" s="160">
        <f>SUM(A16:L16)</f>
        <v>0</v>
      </c>
      <c r="I13" s="158"/>
      <c r="Q13" s="150"/>
      <c r="R13" s="150"/>
    </row>
    <row r="14" spans="1:18" ht="13.8">
      <c r="A14" s="136" t="s">
        <v>58</v>
      </c>
      <c r="B14" s="136" t="s">
        <v>59</v>
      </c>
      <c r="C14" s="136" t="s">
        <v>60</v>
      </c>
      <c r="D14" s="136" t="s">
        <v>61</v>
      </c>
      <c r="E14" s="136" t="s">
        <v>62</v>
      </c>
      <c r="F14" s="136" t="s">
        <v>63</v>
      </c>
      <c r="G14" s="136" t="s">
        <v>64</v>
      </c>
      <c r="H14" s="136" t="s">
        <v>65</v>
      </c>
      <c r="I14" s="136" t="s">
        <v>66</v>
      </c>
      <c r="J14" s="136" t="s">
        <v>67</v>
      </c>
      <c r="K14" s="136" t="s">
        <v>68</v>
      </c>
      <c r="L14" s="136" t="s">
        <v>69</v>
      </c>
      <c r="Q14" s="55"/>
      <c r="R14" s="56"/>
    </row>
    <row r="15" spans="1:18" s="168" customFormat="1">
      <c r="A15" s="171">
        <f>SUMIFS($C$40:$C$193,$F$40:$F$193,2023,$G$40:$G$193,1,$J$40:$J$193,"Y")</f>
        <v>2475</v>
      </c>
      <c r="B15" s="171">
        <f>SUMIFS($C$40:$C$193,$F$40:$F$193,2023,$G$40:$G$193,2,$J$40:$J$193,"Y")</f>
        <v>0</v>
      </c>
      <c r="C15" s="171">
        <f>SUMIFS($C$40:$C$193,$F$40:$F$193,2023,$G$40:$G$193,3,$J$40:$J$193,"Y")</f>
        <v>9792</v>
      </c>
      <c r="D15" s="171">
        <f>SUMIFS($C$40:$C$193,$F$40:$F$193,2023,$G$40:$G$193,4,$J$40:$J$193,"Y")</f>
        <v>11106</v>
      </c>
      <c r="E15" s="171">
        <f>SUMIFS($C$40:$C$193,$F$40:$F$193,2023,$G$40:$G$193,5,$J$40:$J$193,"Y")</f>
        <v>2005</v>
      </c>
      <c r="F15" s="171">
        <f>SUMIFS($C$40:$C$193,$F$40:$F$193,2023,$G$40:$G$193,6,$J$40:$J$193,"Y")</f>
        <v>3222.47</v>
      </c>
      <c r="G15" s="171">
        <f>SUMIFS($C$40:$C$193,$F$40:$F$193,2023,$G$40:$G$193,7,$J$40:$J$193,"Y")</f>
        <v>2126.08</v>
      </c>
      <c r="H15" s="171">
        <f>SUMIFS($C$40:$C$193,$F$40:$F$193,2023,$G$40:$G$193,8,$J$40:$J$193,"Y")</f>
        <v>27227.25</v>
      </c>
      <c r="I15" s="171">
        <f>SUMIFS($C$40:$C$193,$F$40:$F$193,2023,$G$40:$G$193,9,$J$40:$J$193,"Y")</f>
        <v>16699</v>
      </c>
      <c r="J15" s="171">
        <f>SUMIFS($C$40:$C$193,$F$40:$F$193,2023,$G$40:$G$193,10,$J$40:$J$193,"Y")</f>
        <v>2393.79</v>
      </c>
      <c r="K15" s="171">
        <f>SUMIFS($C$40:$C$193,$F$40:$F$193,2023,$G$40:$G$193,11,$J$40:$J$193,"Y")</f>
        <v>14365.670000000002</v>
      </c>
      <c r="L15" s="171">
        <f>SUMIFS($C$40:$C$193,$F$40:$F$193,2023,$G$40:$G$193,12,$J$40:$J$193,"Y")</f>
        <v>3523.4</v>
      </c>
    </row>
    <row r="16" spans="1:18" s="168" customFormat="1">
      <c r="A16" s="170">
        <f>SUMIFS($I$40:$I$193,$F$40:$F$193,2023,$G$40:$G$193,1,$J$40:$J$193,"Y")</f>
        <v>0</v>
      </c>
      <c r="B16" s="170">
        <f>SUMIFS($I$40:$I$193,$F$40:$F$193,2023,$G$40:$G$193,2,$J$40:$J$193,"Y")</f>
        <v>0</v>
      </c>
      <c r="C16" s="170">
        <f>SUMIFS($I$40:$I$193,$F$40:$F$193,2023,$G$40:$G$193,3,$J$40:$J$193,"Y")</f>
        <v>0</v>
      </c>
      <c r="D16" s="170">
        <f>SUMIFS($I$40:$I$193,$F$40:$F$193,2023,$G$40:$G$193,4,$J$40:$J$193,"Y")</f>
        <v>0</v>
      </c>
      <c r="E16" s="170">
        <f>SUMIFS($I$40:$I$193,$F$40:$F$193,2023,$G$40:$G$193,5,$J$40:$J$193,"Y")</f>
        <v>0</v>
      </c>
      <c r="F16" s="170">
        <f>SUMIFS($I$40:$I$193,$F$40:$F$193,2023,$G$40:$G$193,6,$J$40:$J$193,"Y")</f>
        <v>0</v>
      </c>
      <c r="G16" s="170">
        <f>SUMIFS($I$40:$I$193,$F$40:$F$193,2023,$G$40:$G$193,7,$J$40:$J$193,"Y")</f>
        <v>0</v>
      </c>
      <c r="H16" s="170">
        <f>SUMIFS($I$40:$I$193,$F$40:$F$193,2023,$G$40:$G$193,8,$J$40:$J$193,"Y")</f>
        <v>0</v>
      </c>
      <c r="I16" s="170">
        <f>SUMIFS($I$40:$I$193,$F$40:$F$193,2023,$G$40:$G$193,9,$J$40:$J$193,"Y")</f>
        <v>0</v>
      </c>
      <c r="J16" s="170">
        <f>SUMIFS($I$40:$I$193,$F$40:$F$193,2023,$G$40:$G$193,10,$J$40:$J$193,"Y")</f>
        <v>0</v>
      </c>
      <c r="K16" s="170">
        <f>SUMIFS($I$40:$I$193,$F$40:$F$193,2023,$G$40:$G$193,11,$J$40:$J$193,"Y")</f>
        <v>0</v>
      </c>
      <c r="L16" s="170">
        <f>SUMIFS($I$40:$I$193,$F$40:$F$193,2023,$G$40:$G$193,12,$J$40:$J$193,"Y")</f>
        <v>0</v>
      </c>
      <c r="Q16" s="169"/>
      <c r="R16" s="169"/>
    </row>
    <row r="17" spans="1:18" s="168" customFormat="1">
      <c r="A17" s="309"/>
      <c r="B17" s="309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Q17" s="169"/>
      <c r="R17" s="169"/>
    </row>
    <row r="18" spans="1:18" s="149" customFormat="1">
      <c r="A18" s="153">
        <v>2024</v>
      </c>
      <c r="B18" s="159">
        <f>SUM(A20:L20)</f>
        <v>130398.54999999999</v>
      </c>
      <c r="C18" s="160">
        <f>SUM(A21:L21)</f>
        <v>0</v>
      </c>
      <c r="I18" s="158"/>
      <c r="Q18" s="150"/>
      <c r="R18" s="150"/>
    </row>
    <row r="19" spans="1:18" ht="13.8">
      <c r="A19" s="136" t="s">
        <v>58</v>
      </c>
      <c r="B19" s="136" t="s">
        <v>59</v>
      </c>
      <c r="C19" s="136" t="s">
        <v>60</v>
      </c>
      <c r="D19" s="136" t="s">
        <v>61</v>
      </c>
      <c r="E19" s="136" t="s">
        <v>62</v>
      </c>
      <c r="F19" s="136" t="s">
        <v>63</v>
      </c>
      <c r="G19" s="136" t="s">
        <v>64</v>
      </c>
      <c r="H19" s="136" t="s">
        <v>65</v>
      </c>
      <c r="I19" s="136" t="s">
        <v>66</v>
      </c>
      <c r="J19" s="136" t="s">
        <v>67</v>
      </c>
      <c r="K19" s="136" t="s">
        <v>68</v>
      </c>
      <c r="L19" s="136" t="s">
        <v>69</v>
      </c>
      <c r="Q19" s="55"/>
      <c r="R19" s="56"/>
    </row>
    <row r="20" spans="1:18" s="168" customFormat="1">
      <c r="A20" s="171">
        <f>SUMIFS($C$40:$C$193,$F$40:$F$193,2024,$G$40:$G$193,1,$J$40:$J$193,"Y")</f>
        <v>1605</v>
      </c>
      <c r="B20" s="171">
        <f>SUMIFS($C$40:$C$193,$F$40:$F$193,2024,$G$40:$G$193,2,$J$40:$J$193,"Y")</f>
        <v>5917.83</v>
      </c>
      <c r="C20" s="171">
        <f>SUMIFS($C$40:$C$193,$F$40:$F$193,2024,$G$40:$G$193,3,$J$40:$J$193,"Y")</f>
        <v>0</v>
      </c>
      <c r="D20" s="171">
        <f>SUMIFS($C$40:$C$193,$F$40:$F$193,2024,$G$40:$G$193,4,$J$40:$J$193,"Y")</f>
        <v>4278.7700000000004</v>
      </c>
      <c r="E20" s="171">
        <f>SUMIFS($C$40:$C$193,$F$40:$F$193,2024,$G$40:$G$193,5,$J$40:$J$193,"Y")</f>
        <v>5386</v>
      </c>
      <c r="F20" s="171">
        <f>SUMIFS($C$40:$C$193,$F$40:$F$193,2024,$G$40:$G$193,6,$J$40:$J$193,"Y")</f>
        <v>40209.800000000003</v>
      </c>
      <c r="G20" s="171">
        <f>SUMIFS($C$40:$C$193,$F$40:$F$193,2024,$G$40:$G$193,7,$J$40:$J$193,"Y")</f>
        <v>10282.08</v>
      </c>
      <c r="H20" s="171">
        <f>SUMIFS($C$40:$C$193,$F$40:$F$193,2024,$G$40:$G$193,8,$J$40:$J$193,"Y")</f>
        <v>20090.3</v>
      </c>
      <c r="I20" s="171">
        <f>SUMIFS($C$40:$C$193,$F$40:$F$193,2024,$G$40:$G$193,9,$J$40:$J$193,"Y")</f>
        <v>11292.279999999999</v>
      </c>
      <c r="J20" s="171">
        <f>SUMIFS($C$40:$C$193,$F$40:$F$193,2024,$G$40:$G$193,10,$J$40:$J$193,"Y")</f>
        <v>9961.76</v>
      </c>
      <c r="K20" s="171">
        <f>SUMIFS($C$40:$C$193,$F$40:$F$193,2024,$G$40:$G$193,11,$J$40:$J$193,"Y")</f>
        <v>21374.73</v>
      </c>
      <c r="L20" s="171">
        <f>SUMIFS($C$40:$C$193,$F$40:$F$193,2024,$G$40:$G$193,12,$J$40:$J$193,"Y")</f>
        <v>0</v>
      </c>
    </row>
    <row r="21" spans="1:18" s="168" customFormat="1">
      <c r="A21" s="170">
        <f>SUMIFS($I$40:$I$193,$F$40:$F$193,2024,$G$40:$G$193,1,$J$40:$J$193,"Y")</f>
        <v>0</v>
      </c>
      <c r="B21" s="170">
        <f>SUMIFS($I$40:$I$193,$F$40:$F$193,2024,$G$40:$G$193,2,$J$40:$J$193,"Y")</f>
        <v>0</v>
      </c>
      <c r="C21" s="170">
        <f>SUMIFS($I$40:$I$193,$F$40:$F$193,2024,$G$40:$G$193,3,$J$40:$J$193,"Y")</f>
        <v>0</v>
      </c>
      <c r="D21" s="170">
        <f>SUMIFS($I$40:$I$193,$F$40:$F$193,2024,$G$40:$G$193,4,$J$40:$J$193,"Y")</f>
        <v>0</v>
      </c>
      <c r="E21" s="170">
        <f>SUMIFS($I$40:$I$193,$F$40:$F$193,2024,$G$40:$G$193,5,$J$40:$J$193,"Y")</f>
        <v>0</v>
      </c>
      <c r="F21" s="170">
        <f>SUMIFS($I$40:$I$193,$F$40:$F$193,2024,$G$40:$G$193,6,$J$40:$J$193,"Y")</f>
        <v>0</v>
      </c>
      <c r="G21" s="170">
        <f>SUMIFS($I$40:$I$193,$F$40:$F$193,2024,$G$40:$G$193,7,$J$40:$J$193,"Y")</f>
        <v>0</v>
      </c>
      <c r="H21" s="170">
        <f>SUMIFS($I$40:$I$193,$F$40:$F$193,2024,$G$40:$G$193,8,$J$40:$J$193,"Y")</f>
        <v>0</v>
      </c>
      <c r="I21" s="170">
        <f>SUMIFS($I$40:$I$193,$F$40:$F$193,2024,$G$40:$G$193,9,$J$40:$J$193,"Y")</f>
        <v>0</v>
      </c>
      <c r="J21" s="170">
        <f>SUMIFS($I$40:$I$193,$F$40:$F$193,2024,$G$40:$G$193,10,$J$40:$J$193,"Y")</f>
        <v>0</v>
      </c>
      <c r="K21" s="170">
        <f>SUMIFS($I$40:$I$193,$F$40:$F$193,2024,$G$40:$G$193,11,$J$40:$J$193,"Y")</f>
        <v>0</v>
      </c>
      <c r="L21" s="170">
        <f>SUMIFS($I$40:$I$193,$F$40:$F$193,2024,$G$40:$G$193,12,$J$40:$J$193,"Y")</f>
        <v>0</v>
      </c>
      <c r="Q21" s="169"/>
      <c r="R21" s="169"/>
    </row>
    <row r="22" spans="1:18" ht="5.4" customHeight="1">
      <c r="I22" s="54"/>
      <c r="Q22" s="55"/>
      <c r="R22" s="56"/>
    </row>
    <row r="23" spans="1:18" s="149" customFormat="1">
      <c r="A23" s="153">
        <v>2025</v>
      </c>
      <c r="B23" s="159">
        <f>SUM(A25:L25)</f>
        <v>264219.23</v>
      </c>
      <c r="C23" s="160">
        <f>SUM(A26:L26)</f>
        <v>0</v>
      </c>
      <c r="I23" s="158"/>
      <c r="Q23" s="150"/>
      <c r="R23" s="150"/>
    </row>
    <row r="24" spans="1:18" ht="13.8">
      <c r="A24" s="136" t="s">
        <v>58</v>
      </c>
      <c r="B24" s="136" t="s">
        <v>59</v>
      </c>
      <c r="C24" s="136" t="s">
        <v>60</v>
      </c>
      <c r="D24" s="136" t="s">
        <v>61</v>
      </c>
      <c r="E24" s="136" t="s">
        <v>62</v>
      </c>
      <c r="F24" s="136" t="s">
        <v>63</v>
      </c>
      <c r="G24" s="136" t="s">
        <v>64</v>
      </c>
      <c r="H24" s="136" t="s">
        <v>65</v>
      </c>
      <c r="I24" s="136" t="s">
        <v>66</v>
      </c>
      <c r="J24" s="136" t="s">
        <v>67</v>
      </c>
      <c r="K24" s="136" t="s">
        <v>68</v>
      </c>
      <c r="L24" s="136" t="s">
        <v>69</v>
      </c>
      <c r="Q24" s="55"/>
      <c r="R24" s="56"/>
    </row>
    <row r="25" spans="1:18">
      <c r="A25" s="310">
        <f>SUMIFS($C$40:$C$193,$F$40:$F$193,2025,$G$40:$G$193,1,$J$40:$J$193,"Y")</f>
        <v>13016.78</v>
      </c>
      <c r="B25" s="310">
        <f>SUMIFS($C$40:$C$193,$F$40:$F$193,2025,$G$40:$G$193,2,$J$40:$J$193,"Y")</f>
        <v>10223.34</v>
      </c>
      <c r="C25" s="310">
        <f>SUMIFS($C$40:$C$193,$F$40:$F$193,2025,$G$40:$G$193,3,$J$40:$J$193,"Y")</f>
        <v>2184.5300000000002</v>
      </c>
      <c r="D25" s="310">
        <f>SUMIFS($C$40:$C$193,$F$40:$F$193,2025,$G$40:$G$193,4,$J$40:$J$193,"Y")</f>
        <v>16658</v>
      </c>
      <c r="E25" s="310">
        <f>SUMIFS($C$40:$C$193,$F$40:$F$193,2025,$G$40:$G$193,5,$J$40:$J$193,"Y")</f>
        <v>19924.009999999998</v>
      </c>
      <c r="F25" s="310">
        <f>SUMIFS($C$40:$C$193,$F$40:$F$193,2025,$G$40:$G$193,6,$J$40:$J$193,"Y")</f>
        <v>31779.4</v>
      </c>
      <c r="G25" s="310">
        <f>SUMIFS($C$40:$C$193,$F$40:$F$193,2025,$G$40:$G$193,7,$J$40:$J$193,"Y")</f>
        <v>30986.18</v>
      </c>
      <c r="H25" s="310">
        <f>SUMIFS($C$40:$C$193,$F$40:$F$193,2025,$G$40:$G$193,8,$J$40:$J$193,"Y")</f>
        <v>11353.64</v>
      </c>
      <c r="I25" s="310">
        <f>SUMIFS($C$40:$C$193,$F$40:$F$193,2025,$G$40:$G$193,9,$J$40:$J$193,"Y")</f>
        <v>57782.600000000006</v>
      </c>
      <c r="J25" s="310">
        <f>SUMIFS($C$40:$C$193,$F$40:$F$193,2025,$G$40:$G$193,10,$J$40:$J$193,"Y")</f>
        <v>39283.520000000004</v>
      </c>
      <c r="K25" s="310">
        <f>SUMIFS($C$40:$C$193,$F$40:$F$193,2025,$G$40:$G$193,11,$J$40:$J$193,"Y")</f>
        <v>14311.95</v>
      </c>
      <c r="L25" s="310">
        <f>SUMIFS($C$40:$C$193,$F$40:$F$193,2025,$G$40:$G$193,12,$J$40:$J$193,"Y")</f>
        <v>16715.28</v>
      </c>
      <c r="Q25" s="55"/>
      <c r="R25" s="56"/>
    </row>
    <row r="26" spans="1:18" s="168" customFormat="1">
      <c r="A26" s="170">
        <f>SUMIFS($I$40:$I$193,$F$40:$F$193,2025,$G$40:$G$193,1,$J$40:$J$193,"Y")</f>
        <v>0</v>
      </c>
      <c r="B26" s="170">
        <f>SUMIFS($I$40:$I$193,$F$40:$F$193,2025,$G$40:$G$193,2,$J$40:$J$193,"Y")</f>
        <v>0</v>
      </c>
      <c r="C26" s="170">
        <f>SUMIFS($I$40:$I$193,$F$40:$F$193,2025,$G$40:$G$193,3,$J$40:$J$193,"Y")</f>
        <v>0</v>
      </c>
      <c r="D26" s="170">
        <f>SUMIFS($I$40:$I$193,$F$40:$F$193,2025,$G$40:$G$193,4,$J$40:$J$193,"Y")</f>
        <v>0</v>
      </c>
      <c r="E26" s="170">
        <f>SUMIFS($I$40:$I$193,$F$40:$F$193,2025,$G$40:$G$193,5,$J$40:$J$193,"Y")</f>
        <v>0</v>
      </c>
      <c r="F26" s="170">
        <f>SUMIFS($I$40:$I$193,$F$40:$F$193,2025,$G$40:$G$193,6,$J$40:$J$193,"Y")</f>
        <v>0</v>
      </c>
      <c r="G26" s="170">
        <f>SUMIFS($I$40:$I$193,$F$40:$F$193,2025,$G$40:$G$193,7,$J$40:$J$193,"Y")</f>
        <v>0</v>
      </c>
      <c r="H26" s="170">
        <f>SUMIFS($I$40:$I$193,$F$40:$F$193,2025,$G$40:$G$193,8,$J$40:$J$193,"Y")</f>
        <v>0</v>
      </c>
      <c r="I26" s="170">
        <f>SUMIFS($I$40:$I$193,$F$40:$F$193,2025,$G$40:$G$193,9,$J$40:$J$193,"Y")</f>
        <v>0</v>
      </c>
      <c r="J26" s="170">
        <f>SUMIFS($I$40:$I$193,$F$40:$F$193,2025,$G$40:$G$193,10,$J$40:$J$193,"Y")</f>
        <v>0</v>
      </c>
      <c r="K26" s="170">
        <f>SUMIFS($I$40:$I$193,$F$40:$F$193,2025,$G$40:$G$193,11,$J$40:$J$193,"Y")</f>
        <v>0</v>
      </c>
      <c r="L26" s="170">
        <f>SUMIFS($I$40:$I$193,$F$40:$F$193,2025,$G$40:$G$193,12,$J$40:$J$193,"Y")</f>
        <v>0</v>
      </c>
      <c r="Q26" s="169"/>
      <c r="R26" s="169"/>
    </row>
    <row r="27" spans="1:18" ht="5.4" customHeight="1">
      <c r="I27" s="54"/>
      <c r="Q27" s="55"/>
      <c r="R27" s="56"/>
    </row>
    <row r="28" spans="1:18" s="149" customFormat="1">
      <c r="A28" s="153">
        <v>2026</v>
      </c>
      <c r="B28" s="159">
        <f>SUM(A30:L30)</f>
        <v>92344.950000000012</v>
      </c>
      <c r="C28" s="160">
        <f>SUM(A31:L31)</f>
        <v>0</v>
      </c>
      <c r="I28" s="158"/>
      <c r="Q28" s="150"/>
      <c r="R28" s="150"/>
    </row>
    <row r="29" spans="1:18" ht="13.8">
      <c r="A29" s="136" t="s">
        <v>58</v>
      </c>
      <c r="B29" s="136" t="s">
        <v>59</v>
      </c>
      <c r="C29" s="136" t="s">
        <v>60</v>
      </c>
      <c r="D29" s="136" t="s">
        <v>61</v>
      </c>
      <c r="E29" s="136" t="s">
        <v>62</v>
      </c>
      <c r="F29" s="136" t="s">
        <v>63</v>
      </c>
      <c r="G29" s="136" t="s">
        <v>64</v>
      </c>
      <c r="H29" s="136" t="s">
        <v>65</v>
      </c>
      <c r="I29" s="136" t="s">
        <v>66</v>
      </c>
      <c r="J29" s="136" t="s">
        <v>67</v>
      </c>
      <c r="K29" s="136" t="s">
        <v>68</v>
      </c>
      <c r="L29" s="136" t="s">
        <v>69</v>
      </c>
      <c r="Q29" s="55"/>
      <c r="R29" s="56"/>
    </row>
    <row r="30" spans="1:18">
      <c r="A30" s="310">
        <f>SUMIFS($C$40:$C$193,$F$40:$F$193,2026,$G$40:$G$193,1,$J$40:$J$193,"Y")</f>
        <v>10877.970000000001</v>
      </c>
      <c r="B30" s="310">
        <f>SUMIFS($C$40:$C$193,$F$40:$F$193,2026,$G$40:$G$193,2,$J$40:$J$193,"Y")</f>
        <v>26519.9</v>
      </c>
      <c r="C30" s="310">
        <f>SUMIFS($C$40:$C$193,$F$40:$F$193,2026,$G$40:$G$193,3,$J$40:$J$193,"Y")</f>
        <v>11603.99</v>
      </c>
      <c r="D30" s="310">
        <f>SUMIFS($C$40:$C$193,$F$40:$F$193,2026,$G$40:$G$193,4,$J$40:$J$193,"Y")</f>
        <v>12404.26</v>
      </c>
      <c r="E30" s="310">
        <f>SUMIFS($C$40:$C$193,$F$40:$F$193,2026,$G$40:$G$193,5,$J$40:$J$193,"Y")</f>
        <v>14311.06</v>
      </c>
      <c r="F30" s="310">
        <f>SUMIFS($C$40:$C$193,$F$40:$F$193,2026,$G$40:$G$193,6,$J$40:$J$193,"Y")</f>
        <v>12211.97</v>
      </c>
      <c r="G30" s="310">
        <f>SUMIFS($C$40:$C$193,$F$40:$F$193,2026,$G$40:$G$193,7,$J$40:$J$193,"Y")</f>
        <v>4415.8</v>
      </c>
      <c r="H30" s="310">
        <f>SUMIFS($C$40:$C$193,$F$40:$F$193,2026,$G$40:$G$193,8,$J$40:$J$193,"Y")</f>
        <v>0</v>
      </c>
      <c r="I30" s="310">
        <f>SUMIFS($C$40:$C$193,$F$40:$F$193,2026,$G$40:$G$193,9,$J$40:$J$193,"Y")</f>
        <v>0</v>
      </c>
      <c r="J30" s="310">
        <f>SUMIFS($C$40:$C$193,$F$40:$F$193,2026,$G$40:$G$193,10,$J$40:$J$193,"Y")</f>
        <v>0</v>
      </c>
      <c r="K30" s="310">
        <f>SUMIFS($C$40:$C$193,$F$40:$F$193,2026,$G$40:$G$193,11,$J$40:$J$193,"Y")</f>
        <v>0</v>
      </c>
      <c r="L30" s="310">
        <f>SUMIFS($C$40:$C$193,$F$40:$F$193,2026,$G$40:$G$193,12,$J$40:$J$193,"Y")</f>
        <v>0</v>
      </c>
      <c r="Q30" s="55"/>
      <c r="R30" s="56"/>
    </row>
    <row r="31" spans="1:18" s="168" customFormat="1">
      <c r="A31" s="170">
        <f>SUMIFS($I$40:$I$193,$F$40:$F$193,2026,$G$40:$G$193,1,$J$40:$J$193,"Y")</f>
        <v>0</v>
      </c>
      <c r="B31" s="170">
        <f>SUMIFS($I$40:$I$193,$F$40:$F$193,2026,$G$40:$G$193,2,$J$40:$J$193,"Y")</f>
        <v>0</v>
      </c>
      <c r="C31" s="170">
        <f>SUMIFS($I$40:$I$193,$F$40:$F$193,2026,$G$40:$G$193,3,$J$40:$J$193,"Y")</f>
        <v>0</v>
      </c>
      <c r="D31" s="170">
        <f>SUMIFS($I$40:$I$193,$F$40:$F$193,2026,$G$40:$G$193,4,$J$40:$J$193,"Y")</f>
        <v>0</v>
      </c>
      <c r="E31" s="170">
        <f>SUMIFS($I$40:$I$193,$F$40:$F$193,2026,$G$40:$G$193,5,$J$40:$J$193,"Y")</f>
        <v>0</v>
      </c>
      <c r="F31" s="170">
        <f>SUMIFS($I$40:$I$193,$F$40:$F$193,2026,$G$40:$G$193,6,$J$40:$J$193,"Y")</f>
        <v>0</v>
      </c>
      <c r="G31" s="170">
        <f>SUMIFS($I$40:$I$193,$F$40:$F$193,2026,$G$40:$G$193,7,$J$40:$J$193,"Y")</f>
        <v>0</v>
      </c>
      <c r="H31" s="170">
        <f>SUMIFS($I$40:$I$193,$F$40:$F$193,2026,$G$40:$G$193,8,$J$40:$J$193,"Y")</f>
        <v>0</v>
      </c>
      <c r="I31" s="170">
        <f>SUMIFS($I$40:$I$193,$F$40:$F$193,2026,$G$40:$G$193,9,$J$40:$J$193,"Y")</f>
        <v>0</v>
      </c>
      <c r="J31" s="170">
        <f>SUMIFS($I$40:$I$193,$F$40:$F$193,2026,$G$40:$G$193,10,$J$40:$J$193,"Y")</f>
        <v>0</v>
      </c>
      <c r="K31" s="170">
        <f>SUMIFS($I$40:$I$193,$F$40:$F$193,2026,$G$40:$G$193,11,$J$40:$J$193,"Y")</f>
        <v>0</v>
      </c>
      <c r="L31" s="170">
        <f>SUMIFS($I$40:$I$193,$F$40:$F$193,2026,$G$40:$G$193,12,$J$40:$J$193,"Y")</f>
        <v>0</v>
      </c>
      <c r="Q31" s="169"/>
      <c r="R31" s="169"/>
    </row>
    <row r="32" spans="1:18" s="52" customFormat="1" ht="5.4" customHeight="1">
      <c r="A32" s="6"/>
      <c r="B32" s="6"/>
      <c r="C32" s="6"/>
      <c r="D32" s="6"/>
      <c r="E32" s="6"/>
      <c r="F32" s="6"/>
      <c r="G32" s="6"/>
      <c r="H32" s="6"/>
      <c r="I32" s="54"/>
      <c r="J32" s="6"/>
      <c r="K32" s="6"/>
      <c r="L32" s="6"/>
    </row>
    <row r="33" spans="1:18" s="149" customFormat="1">
      <c r="A33" s="153">
        <v>2027</v>
      </c>
      <c r="B33" s="159">
        <f>SUM(A35:L35)</f>
        <v>0</v>
      </c>
      <c r="C33" s="160">
        <f>SUM(A36:L36)</f>
        <v>0</v>
      </c>
      <c r="I33" s="158"/>
    </row>
    <row r="34" spans="1:18" ht="13.8">
      <c r="A34" s="136" t="s">
        <v>58</v>
      </c>
      <c r="B34" s="136" t="s">
        <v>59</v>
      </c>
      <c r="C34" s="136" t="s">
        <v>60</v>
      </c>
      <c r="D34" s="136" t="s">
        <v>61</v>
      </c>
      <c r="E34" s="136" t="s">
        <v>62</v>
      </c>
      <c r="F34" s="136" t="s">
        <v>63</v>
      </c>
      <c r="G34" s="136" t="s">
        <v>64</v>
      </c>
      <c r="H34" s="136" t="s">
        <v>65</v>
      </c>
      <c r="I34" s="136" t="s">
        <v>66</v>
      </c>
      <c r="J34" s="136" t="s">
        <v>67</v>
      </c>
      <c r="K34" s="136" t="s">
        <v>68</v>
      </c>
      <c r="L34" s="136" t="s">
        <v>69</v>
      </c>
      <c r="Q34" s="55"/>
      <c r="R34" s="56"/>
    </row>
    <row r="35" spans="1:18">
      <c r="A35" s="310">
        <f>SUMIFS($C$40:$C$193,$F$40:$F$193,2027,$G$40:$G$193,1,$J$40:$J$193,"Y")</f>
        <v>0</v>
      </c>
      <c r="B35" s="310">
        <f>SUMIFS($C$40:$C$193,$F$40:$F$193,2027,$G$40:$G$193,2,$J$40:$J$193,"Y")</f>
        <v>0</v>
      </c>
      <c r="C35" s="310">
        <f>SUMIFS($C$40:$C$193,$F$40:$F$193,2027,$G$40:$G$193,3,$J$40:$J$193,"Y")</f>
        <v>0</v>
      </c>
      <c r="D35" s="310">
        <f>SUMIFS($C$40:$C$193,$F$40:$F$193,2027,$G$40:$G$193,4,$J$40:$J$193,"Y")</f>
        <v>0</v>
      </c>
      <c r="E35" s="310">
        <f>SUMIFS($C$40:$C$193,$F$40:$F$193,2027,$G$40:$G$193,5,$J$40:$J$193,"Y")</f>
        <v>0</v>
      </c>
      <c r="F35" s="310">
        <f>SUMIFS($C$40:$C$193,$F$40:$F$193,2027,$G$40:$G$193,6,$J$40:$J$193,"Y")</f>
        <v>0</v>
      </c>
      <c r="G35" s="310">
        <f>SUMIFS($C$40:$C$193,$F$40:$F$193,2027,$G$40:$G$193,7,$J$40:$J$193,"Y")</f>
        <v>0</v>
      </c>
      <c r="H35" s="310">
        <f>SUMIFS($C$40:$C$193,$F$40:$F$193,2027,$G$40:$G$193,8,$J$40:$J$193,"Y")</f>
        <v>0</v>
      </c>
      <c r="I35" s="310">
        <f>SUMIFS($C$40:$C$193,$F$40:$F$193,2027,$G$40:$G$193,9,$J$40:$J$193,"Y")</f>
        <v>0</v>
      </c>
      <c r="J35" s="310">
        <f>SUMIFS($C$40:$C$193,$F$40:$F$193,2027,$G$40:$G$193,10,$J$40:$J$193,"Y")</f>
        <v>0</v>
      </c>
      <c r="K35" s="310">
        <f>SUMIFS($C$40:$C$193,$F$40:$F$193,2027,$G$40:$G$193,11,$J$40:$J$193,"Y")</f>
        <v>0</v>
      </c>
      <c r="L35" s="310">
        <f>SUMIFS($C$40:$C$193,$F$40:$F$193,2027,$G$40:$G$193,12,$J$40:$J$193,"Y")</f>
        <v>0</v>
      </c>
      <c r="Q35" s="55"/>
      <c r="R35" s="56"/>
    </row>
    <row r="36" spans="1:18" s="168" customFormat="1">
      <c r="A36" s="170">
        <f>SUMIFS($I$40:$I$193,$F$40:$F$193,2027,$G$40:$G$193,1,$J$40:$J$193,"Y")</f>
        <v>0</v>
      </c>
      <c r="B36" s="170">
        <f>SUMIFS($I$40:$I$193,$F$40:$F$193,2027,$G$40:$G$193,2,$J$40:$J$193,"Y")</f>
        <v>0</v>
      </c>
      <c r="C36" s="170">
        <f>SUMIFS($I$40:$I$193,$F$40:$F$193,2027,$G$40:$G$193,3,$J$40:$J$193,"Y")</f>
        <v>0</v>
      </c>
      <c r="D36" s="170">
        <f>SUMIFS($I$40:$I$193,$F$40:$F$193,2027,$G$40:$G$193,4,$J$40:$J$193,"Y")</f>
        <v>0</v>
      </c>
      <c r="E36" s="170">
        <f>SUMIFS($I$40:$I$193,$F$40:$F$193,2027,$G$40:$G$193,5,$J$40:$J$193,"Y")</f>
        <v>0</v>
      </c>
      <c r="F36" s="170">
        <f>SUMIFS($I$40:$I$193,$F$40:$F$193,2027,$G$40:$G$193,6,$J$40:$J$193,"Y")</f>
        <v>0</v>
      </c>
      <c r="G36" s="170">
        <f>SUMIFS($I$40:$I$193,$F$40:$F$193,2027,$G$40:$G$193,7,$J$40:$J$193,"Y")</f>
        <v>0</v>
      </c>
      <c r="H36" s="170">
        <f>SUMIFS($I$40:$I$193,$F$40:$F$193,2027,$G$40:$G$193,8,$J$40:$J$193,"Y")</f>
        <v>0</v>
      </c>
      <c r="I36" s="170">
        <f>SUMIFS($I$40:$I$193,$F$40:$F$193,2027,$G$40:$G$193,9,$J$40:$J$193,"Y")</f>
        <v>0</v>
      </c>
      <c r="J36" s="170">
        <f>SUMIFS($I$40:$I$193,$F$40:$F$193,2027,$G$40:$G$193,10,$J$40:$J$193,"Y")</f>
        <v>0</v>
      </c>
      <c r="K36" s="170">
        <f>SUMIFS($I$40:$I$193,$F$40:$F$193,2027,$G$40:$G$193,11,$J$40:$J$193,"Y")</f>
        <v>0</v>
      </c>
      <c r="L36" s="170">
        <f>SUMIFS($I$40:$I$193,$F$40:$F$193,2027,$G$40:$G$193,12,$J$40:$J$193,"Y")</f>
        <v>0</v>
      </c>
      <c r="Q36" s="169"/>
      <c r="R36" s="169"/>
    </row>
    <row r="38" spans="1:18">
      <c r="A38" s="1" t="s">
        <v>259</v>
      </c>
      <c r="I38" s="166"/>
    </row>
    <row r="39" spans="1:18" ht="15.6">
      <c r="A39" s="14" t="s">
        <v>265</v>
      </c>
      <c r="B39" s="14" t="s">
        <v>266</v>
      </c>
      <c r="C39" s="14" t="s">
        <v>136</v>
      </c>
      <c r="D39" s="14" t="s">
        <v>137</v>
      </c>
      <c r="E39" s="14" t="s">
        <v>138</v>
      </c>
      <c r="F39" s="14" t="s">
        <v>139</v>
      </c>
      <c r="G39" s="14" t="s">
        <v>140</v>
      </c>
      <c r="H39" s="14" t="s">
        <v>141</v>
      </c>
      <c r="I39" s="14" t="s">
        <v>142</v>
      </c>
      <c r="J39" s="14" t="s">
        <v>143</v>
      </c>
      <c r="K39" s="172" t="s">
        <v>144</v>
      </c>
    </row>
    <row r="40" spans="1:18">
      <c r="A40" s="312" t="s">
        <v>267</v>
      </c>
      <c r="B40" s="162"/>
      <c r="C40" s="162">
        <v>1500</v>
      </c>
      <c r="D40" s="313">
        <v>5200065045</v>
      </c>
      <c r="E40" s="314">
        <v>44925</v>
      </c>
      <c r="F40" s="315">
        <f>YEAR(H40)</f>
        <v>2023</v>
      </c>
      <c r="G40" s="313">
        <f>MONTH(H40)</f>
        <v>1</v>
      </c>
      <c r="H40" s="316">
        <v>44955</v>
      </c>
      <c r="I40" s="317">
        <v>0</v>
      </c>
      <c r="J40" s="318" t="s">
        <v>146</v>
      </c>
      <c r="K40" s="318"/>
    </row>
    <row r="41" spans="1:18">
      <c r="A41" s="97" t="s">
        <v>268</v>
      </c>
      <c r="B41" s="162"/>
      <c r="C41" s="162">
        <v>975</v>
      </c>
      <c r="D41" s="313">
        <v>5200065045</v>
      </c>
      <c r="E41" s="314">
        <v>44925</v>
      </c>
      <c r="F41" s="315">
        <f t="shared" ref="F41:F108" si="0">YEAR(H41)</f>
        <v>2023</v>
      </c>
      <c r="G41" s="313">
        <f t="shared" ref="G41:G108" si="1">MONTH(H41)</f>
        <v>1</v>
      </c>
      <c r="H41" s="316">
        <v>44955</v>
      </c>
      <c r="I41" s="317">
        <v>0</v>
      </c>
      <c r="J41" s="5" t="s">
        <v>146</v>
      </c>
      <c r="K41" s="318"/>
    </row>
    <row r="42" spans="1:18">
      <c r="A42" s="97" t="s">
        <v>269</v>
      </c>
      <c r="B42" s="162"/>
      <c r="C42" s="162">
        <v>1500</v>
      </c>
      <c r="D42" s="4">
        <v>5200066793</v>
      </c>
      <c r="E42" s="319">
        <v>44985</v>
      </c>
      <c r="F42" s="315">
        <f t="shared" si="0"/>
        <v>2023</v>
      </c>
      <c r="G42" s="313">
        <f t="shared" si="1"/>
        <v>3</v>
      </c>
      <c r="H42" s="161">
        <v>45015</v>
      </c>
      <c r="I42" s="317">
        <v>0</v>
      </c>
      <c r="J42" s="5" t="s">
        <v>146</v>
      </c>
      <c r="K42" s="318"/>
    </row>
    <row r="43" spans="1:18">
      <c r="A43" s="97" t="s">
        <v>270</v>
      </c>
      <c r="B43" s="162"/>
      <c r="C43" s="162">
        <v>8292</v>
      </c>
      <c r="D43" s="4">
        <v>5200066793</v>
      </c>
      <c r="E43" s="319">
        <v>44985</v>
      </c>
      <c r="F43" s="315">
        <f t="shared" si="0"/>
        <v>2023</v>
      </c>
      <c r="G43" s="313">
        <f t="shared" si="1"/>
        <v>3</v>
      </c>
      <c r="H43" s="161">
        <v>45015</v>
      </c>
      <c r="I43" s="317">
        <v>0</v>
      </c>
      <c r="J43" s="5" t="s">
        <v>146</v>
      </c>
      <c r="K43" s="318"/>
    </row>
    <row r="44" spans="1:18">
      <c r="A44" s="97" t="s">
        <v>271</v>
      </c>
      <c r="B44" s="162"/>
      <c r="C44" s="162">
        <v>1500</v>
      </c>
      <c r="D44" s="4">
        <v>5200067550</v>
      </c>
      <c r="E44" s="319">
        <v>45016</v>
      </c>
      <c r="F44" s="315">
        <f t="shared" si="0"/>
        <v>2023</v>
      </c>
      <c r="G44" s="313">
        <f t="shared" si="1"/>
        <v>4</v>
      </c>
      <c r="H44" s="161">
        <v>45041</v>
      </c>
      <c r="I44" s="317">
        <v>0</v>
      </c>
      <c r="J44" s="5" t="s">
        <v>146</v>
      </c>
      <c r="K44" s="318" t="s">
        <v>272</v>
      </c>
    </row>
    <row r="45" spans="1:18">
      <c r="A45" s="97" t="s">
        <v>273</v>
      </c>
      <c r="B45" s="162"/>
      <c r="C45" s="162">
        <v>8061</v>
      </c>
      <c r="D45" s="4">
        <v>5200067550</v>
      </c>
      <c r="E45" s="319">
        <v>45016</v>
      </c>
      <c r="F45" s="315">
        <f t="shared" si="0"/>
        <v>2023</v>
      </c>
      <c r="G45" s="313">
        <f t="shared" si="1"/>
        <v>4</v>
      </c>
      <c r="H45" s="161">
        <v>45041</v>
      </c>
      <c r="I45" s="317">
        <v>0</v>
      </c>
      <c r="J45" s="5" t="s">
        <v>146</v>
      </c>
      <c r="K45" s="318" t="s">
        <v>272</v>
      </c>
    </row>
    <row r="46" spans="1:18">
      <c r="A46" s="97" t="s">
        <v>274</v>
      </c>
      <c r="B46" s="162"/>
      <c r="C46" s="162">
        <v>750</v>
      </c>
      <c r="D46" s="4">
        <v>5200070887</v>
      </c>
      <c r="E46" s="319">
        <v>45138</v>
      </c>
      <c r="F46" s="315">
        <f t="shared" si="0"/>
        <v>2023</v>
      </c>
      <c r="G46" s="313">
        <f t="shared" si="1"/>
        <v>8</v>
      </c>
      <c r="H46" s="161">
        <v>45168</v>
      </c>
      <c r="I46" s="317">
        <v>0</v>
      </c>
      <c r="J46" s="5" t="s">
        <v>146</v>
      </c>
      <c r="K46" s="318"/>
    </row>
    <row r="47" spans="1:18">
      <c r="A47" s="97" t="s">
        <v>275</v>
      </c>
      <c r="B47" s="162"/>
      <c r="C47" s="162">
        <v>1500</v>
      </c>
      <c r="D47" s="4">
        <v>5200070887</v>
      </c>
      <c r="E47" s="319">
        <v>45138</v>
      </c>
      <c r="F47" s="315">
        <f t="shared" si="0"/>
        <v>2023</v>
      </c>
      <c r="G47" s="313">
        <f t="shared" si="1"/>
        <v>8</v>
      </c>
      <c r="H47" s="161">
        <v>45168</v>
      </c>
      <c r="I47" s="317">
        <v>0</v>
      </c>
      <c r="J47" s="5" t="s">
        <v>146</v>
      </c>
      <c r="K47" s="318"/>
    </row>
    <row r="48" spans="1:18">
      <c r="A48" s="312" t="s">
        <v>276</v>
      </c>
      <c r="B48" s="162"/>
      <c r="C48" s="162">
        <v>8292</v>
      </c>
      <c r="D48" s="313">
        <v>5200071287</v>
      </c>
      <c r="E48" s="314">
        <v>45169</v>
      </c>
      <c r="F48" s="315">
        <f t="shared" si="0"/>
        <v>2023</v>
      </c>
      <c r="G48" s="313">
        <f t="shared" si="1"/>
        <v>9</v>
      </c>
      <c r="H48" s="316">
        <v>45199</v>
      </c>
      <c r="I48" s="317">
        <v>0</v>
      </c>
      <c r="J48" s="318" t="s">
        <v>146</v>
      </c>
      <c r="K48" s="318"/>
    </row>
    <row r="49" spans="1:11">
      <c r="A49" s="97" t="s">
        <v>277</v>
      </c>
      <c r="B49" s="162"/>
      <c r="C49" s="162">
        <v>1500</v>
      </c>
      <c r="D49" s="4">
        <v>5200073239</v>
      </c>
      <c r="E49" s="319">
        <v>45230</v>
      </c>
      <c r="F49" s="315">
        <f t="shared" si="0"/>
        <v>2023</v>
      </c>
      <c r="G49" s="313">
        <f t="shared" si="1"/>
        <v>11</v>
      </c>
      <c r="H49" s="161">
        <v>45260</v>
      </c>
      <c r="I49" s="317">
        <v>0</v>
      </c>
      <c r="J49" s="318" t="s">
        <v>146</v>
      </c>
      <c r="K49" s="318"/>
    </row>
    <row r="50" spans="1:11">
      <c r="A50" s="97" t="s">
        <v>278</v>
      </c>
      <c r="B50" s="162"/>
      <c r="C50" s="162">
        <v>750</v>
      </c>
      <c r="D50" s="4">
        <v>5200070887</v>
      </c>
      <c r="E50" s="319">
        <v>45138</v>
      </c>
      <c r="F50" s="315">
        <f t="shared" si="0"/>
        <v>2023</v>
      </c>
      <c r="G50" s="313">
        <f t="shared" si="1"/>
        <v>8</v>
      </c>
      <c r="H50" s="161">
        <v>45168</v>
      </c>
      <c r="I50" s="317">
        <v>0</v>
      </c>
      <c r="J50" s="5" t="s">
        <v>146</v>
      </c>
      <c r="K50" s="318"/>
    </row>
    <row r="51" spans="1:11">
      <c r="A51" s="312" t="s">
        <v>279</v>
      </c>
      <c r="B51" s="162"/>
      <c r="C51" s="162">
        <v>8407</v>
      </c>
      <c r="D51" s="313">
        <v>5200071287</v>
      </c>
      <c r="E51" s="314">
        <v>45169</v>
      </c>
      <c r="F51" s="315">
        <f t="shared" si="0"/>
        <v>2023</v>
      </c>
      <c r="G51" s="313">
        <f t="shared" si="1"/>
        <v>9</v>
      </c>
      <c r="H51" s="316">
        <v>45199</v>
      </c>
      <c r="I51" s="317">
        <v>0</v>
      </c>
      <c r="J51" s="318" t="s">
        <v>146</v>
      </c>
      <c r="K51" s="318"/>
    </row>
    <row r="52" spans="1:11">
      <c r="A52" s="97" t="s">
        <v>280</v>
      </c>
      <c r="B52" s="162"/>
      <c r="C52" s="162">
        <v>2220</v>
      </c>
      <c r="D52" s="4">
        <v>5200077497</v>
      </c>
      <c r="E52" s="319">
        <v>45412</v>
      </c>
      <c r="F52" s="315">
        <f t="shared" si="0"/>
        <v>2024</v>
      </c>
      <c r="G52" s="313">
        <f t="shared" si="1"/>
        <v>5</v>
      </c>
      <c r="H52" s="161">
        <v>45435</v>
      </c>
      <c r="I52" s="317">
        <v>0</v>
      </c>
      <c r="J52" s="5" t="s">
        <v>146</v>
      </c>
      <c r="K52" s="318" t="s">
        <v>281</v>
      </c>
    </row>
    <row r="53" spans="1:11">
      <c r="A53" s="97" t="s">
        <v>282</v>
      </c>
      <c r="B53" s="162"/>
      <c r="C53" s="162">
        <v>2061</v>
      </c>
      <c r="D53" s="4">
        <v>5200077547</v>
      </c>
      <c r="E53" s="319">
        <v>45412</v>
      </c>
      <c r="F53" s="315">
        <f t="shared" si="0"/>
        <v>2024</v>
      </c>
      <c r="G53" s="313">
        <f t="shared" si="1"/>
        <v>5</v>
      </c>
      <c r="H53" s="161">
        <v>45435</v>
      </c>
      <c r="I53" s="317">
        <v>0</v>
      </c>
      <c r="J53" s="5" t="s">
        <v>146</v>
      </c>
      <c r="K53" s="318" t="s">
        <v>281</v>
      </c>
    </row>
    <row r="54" spans="1:11">
      <c r="A54" s="97" t="s">
        <v>283</v>
      </c>
      <c r="B54" s="162"/>
      <c r="C54" s="162">
        <v>9459</v>
      </c>
      <c r="D54" s="4">
        <v>5200078686</v>
      </c>
      <c r="E54" s="319">
        <v>45442</v>
      </c>
      <c r="F54" s="315">
        <f t="shared" si="0"/>
        <v>2024</v>
      </c>
      <c r="G54" s="313">
        <f t="shared" si="1"/>
        <v>6</v>
      </c>
      <c r="H54" s="161">
        <v>45463</v>
      </c>
      <c r="I54" s="317">
        <v>0</v>
      </c>
      <c r="J54" s="5" t="s">
        <v>146</v>
      </c>
      <c r="K54" s="318" t="s">
        <v>284</v>
      </c>
    </row>
    <row r="55" spans="1:11">
      <c r="A55" s="97" t="s">
        <v>285</v>
      </c>
      <c r="B55" s="162"/>
      <c r="C55" s="162">
        <v>3000</v>
      </c>
      <c r="D55" s="4">
        <v>5200085214</v>
      </c>
      <c r="E55" s="319">
        <v>45778</v>
      </c>
      <c r="F55" s="315">
        <f t="shared" si="0"/>
        <v>2025</v>
      </c>
      <c r="G55" s="313">
        <f t="shared" si="1"/>
        <v>6</v>
      </c>
      <c r="H55" s="161">
        <v>45813</v>
      </c>
      <c r="I55" s="317">
        <v>0</v>
      </c>
      <c r="J55" s="5" t="s">
        <v>146</v>
      </c>
      <c r="K55" s="318" t="s">
        <v>286</v>
      </c>
    </row>
    <row r="56" spans="1:11">
      <c r="A56" s="97" t="s">
        <v>287</v>
      </c>
      <c r="B56" s="162"/>
      <c r="C56" s="162">
        <v>6026</v>
      </c>
      <c r="D56" s="4">
        <v>5200088722</v>
      </c>
      <c r="E56" s="319">
        <v>45777</v>
      </c>
      <c r="F56" s="315">
        <f t="shared" si="0"/>
        <v>2025</v>
      </c>
      <c r="G56" s="313">
        <f t="shared" si="1"/>
        <v>6</v>
      </c>
      <c r="H56" s="161">
        <v>45813</v>
      </c>
      <c r="I56" s="317">
        <v>0</v>
      </c>
      <c r="J56" s="5" t="s">
        <v>146</v>
      </c>
      <c r="K56" s="318" t="s">
        <v>286</v>
      </c>
    </row>
    <row r="57" spans="1:11">
      <c r="A57" s="97" t="s">
        <v>288</v>
      </c>
      <c r="B57" s="162"/>
      <c r="C57" s="162">
        <v>3000</v>
      </c>
      <c r="D57" s="4">
        <v>5200088906</v>
      </c>
      <c r="E57" s="319">
        <v>45777</v>
      </c>
      <c r="F57" s="315">
        <f t="shared" si="0"/>
        <v>2025</v>
      </c>
      <c r="G57" s="313">
        <f t="shared" si="1"/>
        <v>5</v>
      </c>
      <c r="H57" s="161">
        <v>45799</v>
      </c>
      <c r="I57" s="317">
        <v>0</v>
      </c>
      <c r="J57" s="5" t="s">
        <v>146</v>
      </c>
      <c r="K57" s="318" t="s">
        <v>289</v>
      </c>
    </row>
    <row r="58" spans="1:11">
      <c r="A58" s="97" t="s">
        <v>290</v>
      </c>
      <c r="B58" s="162"/>
      <c r="C58" s="162">
        <v>1575</v>
      </c>
      <c r="D58" s="4">
        <v>5200089927</v>
      </c>
      <c r="E58" s="319">
        <v>45808</v>
      </c>
      <c r="F58" s="315">
        <f t="shared" si="0"/>
        <v>2025</v>
      </c>
      <c r="G58" s="313">
        <f t="shared" si="1"/>
        <v>7</v>
      </c>
      <c r="H58" s="161">
        <v>45841</v>
      </c>
      <c r="I58" s="317">
        <v>0</v>
      </c>
      <c r="J58" s="5" t="s">
        <v>146</v>
      </c>
      <c r="K58" s="318" t="s">
        <v>291</v>
      </c>
    </row>
    <row r="59" spans="1:11">
      <c r="A59" s="97" t="s">
        <v>292</v>
      </c>
      <c r="B59" s="162"/>
      <c r="C59" s="162">
        <v>9455</v>
      </c>
      <c r="D59" s="4">
        <v>5200092006</v>
      </c>
      <c r="E59" s="319">
        <v>45869</v>
      </c>
      <c r="F59" s="315">
        <f t="shared" si="0"/>
        <v>2025</v>
      </c>
      <c r="G59" s="313">
        <f t="shared" si="1"/>
        <v>10</v>
      </c>
      <c r="H59" s="161">
        <v>45960</v>
      </c>
      <c r="I59" s="317">
        <v>0</v>
      </c>
      <c r="J59" s="5" t="s">
        <v>146</v>
      </c>
      <c r="K59" s="318" t="s">
        <v>293</v>
      </c>
    </row>
    <row r="60" spans="1:11">
      <c r="A60" s="97" t="s">
        <v>294</v>
      </c>
      <c r="B60" s="162"/>
      <c r="C60" s="162">
        <v>2372</v>
      </c>
      <c r="D60" s="4">
        <v>5200092634</v>
      </c>
      <c r="E60" s="319">
        <v>45896</v>
      </c>
      <c r="F60" s="315">
        <f t="shared" si="0"/>
        <v>2025</v>
      </c>
      <c r="G60" s="313">
        <f t="shared" si="1"/>
        <v>9</v>
      </c>
      <c r="H60" s="161">
        <v>45911</v>
      </c>
      <c r="I60" s="317">
        <v>0</v>
      </c>
      <c r="J60" s="5" t="s">
        <v>146</v>
      </c>
      <c r="K60" s="318" t="s">
        <v>295</v>
      </c>
    </row>
    <row r="61" spans="1:11">
      <c r="A61" s="97" t="s">
        <v>296</v>
      </c>
      <c r="B61" s="162"/>
      <c r="C61" s="162">
        <v>9862</v>
      </c>
      <c r="D61" s="4">
        <v>5200092634</v>
      </c>
      <c r="E61" s="319">
        <v>45896</v>
      </c>
      <c r="F61" s="315">
        <f t="shared" si="0"/>
        <v>2025</v>
      </c>
      <c r="G61" s="313">
        <f t="shared" si="1"/>
        <v>9</v>
      </c>
      <c r="H61" s="161">
        <v>45911</v>
      </c>
      <c r="I61" s="317">
        <v>0</v>
      </c>
      <c r="J61" s="5" t="s">
        <v>146</v>
      </c>
      <c r="K61" s="318" t="s">
        <v>295</v>
      </c>
    </row>
    <row r="62" spans="1:11">
      <c r="A62" s="97" t="s">
        <v>297</v>
      </c>
      <c r="B62" s="162"/>
      <c r="C62" s="162">
        <v>2394</v>
      </c>
      <c r="D62" s="4">
        <v>5200092634</v>
      </c>
      <c r="E62" s="319">
        <v>45896</v>
      </c>
      <c r="F62" s="315">
        <f t="shared" si="0"/>
        <v>2025</v>
      </c>
      <c r="G62" s="313">
        <f t="shared" si="1"/>
        <v>9</v>
      </c>
      <c r="H62" s="161">
        <v>45911</v>
      </c>
      <c r="I62" s="317">
        <v>0</v>
      </c>
      <c r="J62" s="5" t="s">
        <v>146</v>
      </c>
      <c r="K62" s="318" t="s">
        <v>295</v>
      </c>
    </row>
    <row r="63" spans="1:11">
      <c r="A63" s="97" t="s">
        <v>298</v>
      </c>
      <c r="B63" s="162"/>
      <c r="C63" s="162">
        <v>9897</v>
      </c>
      <c r="D63" s="4">
        <v>5200092634</v>
      </c>
      <c r="E63" s="319">
        <v>45896</v>
      </c>
      <c r="F63" s="315">
        <f t="shared" si="0"/>
        <v>2025</v>
      </c>
      <c r="G63" s="313">
        <f t="shared" si="1"/>
        <v>9</v>
      </c>
      <c r="H63" s="161">
        <v>45911</v>
      </c>
      <c r="I63" s="317">
        <v>0</v>
      </c>
      <c r="J63" s="5" t="s">
        <v>146</v>
      </c>
      <c r="K63" s="318" t="s">
        <v>295</v>
      </c>
    </row>
    <row r="64" spans="1:11">
      <c r="A64" s="97" t="s">
        <v>299</v>
      </c>
      <c r="B64" s="162"/>
      <c r="C64" s="162">
        <v>2000</v>
      </c>
      <c r="D64" s="4">
        <v>5200092006</v>
      </c>
      <c r="E64" s="319">
        <v>45869</v>
      </c>
      <c r="F64" s="315">
        <f t="shared" si="0"/>
        <v>2025</v>
      </c>
      <c r="G64" s="313">
        <f t="shared" si="1"/>
        <v>10</v>
      </c>
      <c r="H64" s="161">
        <v>45960</v>
      </c>
      <c r="I64" s="317">
        <v>0</v>
      </c>
      <c r="J64" s="5" t="s">
        <v>146</v>
      </c>
      <c r="K64" s="318" t="s">
        <v>293</v>
      </c>
    </row>
    <row r="65" spans="1:11">
      <c r="A65" s="97" t="s">
        <v>300</v>
      </c>
      <c r="B65" s="162"/>
      <c r="C65" s="162">
        <v>2000</v>
      </c>
      <c r="D65" s="4">
        <v>5200092006</v>
      </c>
      <c r="E65" s="319">
        <v>45869</v>
      </c>
      <c r="F65" s="315">
        <f t="shared" si="0"/>
        <v>2025</v>
      </c>
      <c r="G65" s="313">
        <f t="shared" si="1"/>
        <v>10</v>
      </c>
      <c r="H65" s="161">
        <v>45960</v>
      </c>
      <c r="I65" s="317">
        <v>0</v>
      </c>
      <c r="J65" s="5" t="s">
        <v>146</v>
      </c>
      <c r="K65" s="318" t="s">
        <v>293</v>
      </c>
    </row>
    <row r="66" spans="1:11">
      <c r="A66" s="97" t="s">
        <v>301</v>
      </c>
      <c r="B66" s="162"/>
      <c r="C66" s="162">
        <v>3235</v>
      </c>
      <c r="D66" s="4">
        <v>5200092006</v>
      </c>
      <c r="E66" s="319">
        <v>45869</v>
      </c>
      <c r="F66" s="315">
        <f t="shared" si="0"/>
        <v>2025</v>
      </c>
      <c r="G66" s="313">
        <f t="shared" si="1"/>
        <v>10</v>
      </c>
      <c r="H66" s="161">
        <v>45960</v>
      </c>
      <c r="I66" s="317">
        <v>0</v>
      </c>
      <c r="J66" s="5" t="s">
        <v>146</v>
      </c>
      <c r="K66" s="318" t="s">
        <v>293</v>
      </c>
    </row>
    <row r="67" spans="1:11">
      <c r="A67" s="97" t="s">
        <v>302</v>
      </c>
      <c r="B67" s="320"/>
      <c r="C67" s="320">
        <v>-3235</v>
      </c>
      <c r="D67" s="4">
        <v>5200093327</v>
      </c>
      <c r="E67" s="319">
        <v>45917</v>
      </c>
      <c r="F67" s="315">
        <f t="shared" si="0"/>
        <v>2025</v>
      </c>
      <c r="G67" s="313">
        <f t="shared" si="1"/>
        <v>10</v>
      </c>
      <c r="H67" s="161">
        <v>45960</v>
      </c>
      <c r="I67" s="317">
        <v>0</v>
      </c>
      <c r="J67" s="5" t="s">
        <v>146</v>
      </c>
      <c r="K67" s="318" t="s">
        <v>293</v>
      </c>
    </row>
    <row r="68" spans="1:11">
      <c r="A68" s="97" t="s">
        <v>301</v>
      </c>
      <c r="B68" s="321"/>
      <c r="C68" s="321">
        <v>1707</v>
      </c>
      <c r="D68" s="4">
        <v>5200094062</v>
      </c>
      <c r="E68" s="319">
        <v>45930</v>
      </c>
      <c r="F68" s="315">
        <f t="shared" si="0"/>
        <v>2025</v>
      </c>
      <c r="G68" s="313">
        <f t="shared" si="1"/>
        <v>10</v>
      </c>
      <c r="H68" s="161">
        <v>45960</v>
      </c>
      <c r="I68" s="317">
        <v>0</v>
      </c>
      <c r="J68" s="5" t="s">
        <v>146</v>
      </c>
      <c r="K68" s="318" t="s">
        <v>293</v>
      </c>
    </row>
    <row r="69" spans="1:11">
      <c r="A69" s="97" t="s">
        <v>303</v>
      </c>
      <c r="B69" s="162"/>
      <c r="C69" s="162">
        <v>9481</v>
      </c>
      <c r="D69" s="4">
        <v>5200093080</v>
      </c>
      <c r="E69" s="319">
        <v>45900</v>
      </c>
      <c r="F69" s="315">
        <f t="shared" si="0"/>
        <v>2025</v>
      </c>
      <c r="G69" s="313">
        <f t="shared" si="1"/>
        <v>9</v>
      </c>
      <c r="H69" s="161">
        <v>45925</v>
      </c>
      <c r="I69" s="317">
        <v>0</v>
      </c>
      <c r="J69" s="5" t="s">
        <v>146</v>
      </c>
      <c r="K69" s="318" t="s">
        <v>304</v>
      </c>
    </row>
    <row r="70" spans="1:11">
      <c r="A70" s="97" t="s">
        <v>305</v>
      </c>
      <c r="B70" s="162"/>
      <c r="C70" s="162">
        <v>3040</v>
      </c>
      <c r="D70" s="4">
        <v>5200092006</v>
      </c>
      <c r="E70" s="319">
        <v>45869</v>
      </c>
      <c r="F70" s="315">
        <f t="shared" si="0"/>
        <v>2025</v>
      </c>
      <c r="G70" s="313">
        <f t="shared" si="1"/>
        <v>10</v>
      </c>
      <c r="H70" s="161">
        <v>45960</v>
      </c>
      <c r="I70" s="317">
        <v>0</v>
      </c>
      <c r="J70" s="5" t="s">
        <v>146</v>
      </c>
      <c r="K70" s="318" t="s">
        <v>293</v>
      </c>
    </row>
    <row r="71" spans="1:11">
      <c r="A71" s="97" t="s">
        <v>306</v>
      </c>
      <c r="B71" s="162"/>
      <c r="C71" s="162">
        <v>11652</v>
      </c>
      <c r="D71" s="4">
        <v>5200093080</v>
      </c>
      <c r="E71" s="319">
        <v>45900</v>
      </c>
      <c r="F71" s="315">
        <f t="shared" si="0"/>
        <v>2025</v>
      </c>
      <c r="G71" s="313">
        <f t="shared" si="1"/>
        <v>9</v>
      </c>
      <c r="H71" s="161">
        <v>45925</v>
      </c>
      <c r="I71" s="317">
        <v>0</v>
      </c>
      <c r="J71" s="5" t="s">
        <v>146</v>
      </c>
      <c r="K71" s="318" t="s">
        <v>304</v>
      </c>
    </row>
    <row r="72" spans="1:11">
      <c r="A72" s="97" t="s">
        <v>307</v>
      </c>
      <c r="B72" s="162"/>
      <c r="C72" s="162">
        <v>8018</v>
      </c>
      <c r="D72" s="4">
        <v>5200096418</v>
      </c>
      <c r="E72" s="319">
        <v>46000</v>
      </c>
      <c r="F72" s="315">
        <f t="shared" ref="F72" si="2">YEAR(H72)</f>
        <v>2025</v>
      </c>
      <c r="G72" s="313">
        <f t="shared" ref="G72" si="3">MONTH(H72)</f>
        <v>12</v>
      </c>
      <c r="H72" s="161">
        <v>46015</v>
      </c>
      <c r="I72" s="317">
        <v>0</v>
      </c>
      <c r="J72" s="5" t="s">
        <v>146</v>
      </c>
      <c r="K72" s="318" t="s">
        <v>308</v>
      </c>
    </row>
    <row r="73" spans="1:11">
      <c r="A73" s="97" t="s">
        <v>737</v>
      </c>
      <c r="B73" s="162"/>
      <c r="C73" s="162">
        <v>1575</v>
      </c>
      <c r="D73" s="4">
        <v>5200104684</v>
      </c>
      <c r="E73" s="319">
        <v>46203</v>
      </c>
      <c r="F73" s="315">
        <v>2026</v>
      </c>
      <c r="G73" s="313">
        <v>7</v>
      </c>
      <c r="H73" s="161">
        <v>46226</v>
      </c>
      <c r="I73" s="317">
        <v>0</v>
      </c>
      <c r="J73" s="5" t="s">
        <v>146</v>
      </c>
      <c r="K73" s="318" t="s">
        <v>738</v>
      </c>
    </row>
    <row r="74" spans="1:11">
      <c r="A74" s="312" t="s">
        <v>309</v>
      </c>
      <c r="B74" s="162"/>
      <c r="C74" s="162">
        <v>18192</v>
      </c>
      <c r="D74" s="4">
        <v>5200078157</v>
      </c>
      <c r="E74" s="319">
        <v>45433</v>
      </c>
      <c r="F74" s="315">
        <f t="shared" si="0"/>
        <v>2024</v>
      </c>
      <c r="G74" s="313">
        <f t="shared" si="1"/>
        <v>6</v>
      </c>
      <c r="H74" s="161">
        <v>45456</v>
      </c>
      <c r="I74" s="317">
        <v>0</v>
      </c>
      <c r="J74" s="5" t="s">
        <v>146</v>
      </c>
      <c r="K74" s="318" t="s">
        <v>310</v>
      </c>
    </row>
    <row r="75" spans="1:11">
      <c r="A75" s="97" t="s">
        <v>311</v>
      </c>
      <c r="B75" s="162"/>
      <c r="C75" s="162">
        <v>1576</v>
      </c>
      <c r="D75" s="4">
        <v>5200080808</v>
      </c>
      <c r="E75" s="319">
        <v>45504</v>
      </c>
      <c r="F75" s="315">
        <f t="shared" si="0"/>
        <v>2024</v>
      </c>
      <c r="G75" s="313">
        <f t="shared" si="1"/>
        <v>8</v>
      </c>
      <c r="H75" s="161">
        <v>45526</v>
      </c>
      <c r="I75" s="317">
        <v>0</v>
      </c>
      <c r="J75" s="5" t="s">
        <v>146</v>
      </c>
      <c r="K75" s="318" t="s">
        <v>312</v>
      </c>
    </row>
    <row r="76" spans="1:11">
      <c r="A76" s="97" t="s">
        <v>313</v>
      </c>
      <c r="B76" s="162"/>
      <c r="C76" s="162">
        <v>16000</v>
      </c>
      <c r="D76" s="4">
        <v>5200081832</v>
      </c>
      <c r="E76" s="319">
        <v>45778</v>
      </c>
      <c r="F76" s="315">
        <f t="shared" si="0"/>
        <v>2025</v>
      </c>
      <c r="G76" s="313">
        <f t="shared" si="1"/>
        <v>6</v>
      </c>
      <c r="H76" s="161">
        <v>45813</v>
      </c>
      <c r="I76" s="317">
        <v>0</v>
      </c>
      <c r="J76" s="5" t="s">
        <v>146</v>
      </c>
      <c r="K76" s="318" t="s">
        <v>286</v>
      </c>
    </row>
    <row r="77" spans="1:11">
      <c r="A77" s="97" t="s">
        <v>314</v>
      </c>
      <c r="B77" s="162"/>
      <c r="C77" s="162">
        <v>14523</v>
      </c>
      <c r="D77" s="4">
        <v>5200087108</v>
      </c>
      <c r="E77" s="319">
        <v>45736</v>
      </c>
      <c r="F77" s="315">
        <f t="shared" si="0"/>
        <v>2025</v>
      </c>
      <c r="G77" s="313">
        <f t="shared" si="1"/>
        <v>4</v>
      </c>
      <c r="H77" s="161">
        <v>45750</v>
      </c>
      <c r="I77" s="317">
        <v>0</v>
      </c>
      <c r="J77" s="5" t="s">
        <v>146</v>
      </c>
      <c r="K77" s="318" t="s">
        <v>315</v>
      </c>
    </row>
    <row r="78" spans="1:11">
      <c r="A78" s="97" t="s">
        <v>316</v>
      </c>
      <c r="B78" s="162"/>
      <c r="C78" s="162">
        <v>8000</v>
      </c>
      <c r="D78" s="4">
        <v>5200089927</v>
      </c>
      <c r="E78" s="319">
        <v>45808</v>
      </c>
      <c r="F78" s="315">
        <f t="shared" si="0"/>
        <v>2025</v>
      </c>
      <c r="G78" s="313">
        <f t="shared" si="1"/>
        <v>7</v>
      </c>
      <c r="H78" s="161">
        <v>45841</v>
      </c>
      <c r="I78" s="317">
        <v>0</v>
      </c>
      <c r="J78" s="5" t="s">
        <v>146</v>
      </c>
      <c r="K78" s="318" t="s">
        <v>291</v>
      </c>
    </row>
    <row r="79" spans="1:11">
      <c r="A79" s="97" t="s">
        <v>317</v>
      </c>
      <c r="B79" s="162"/>
      <c r="C79" s="162">
        <v>1575</v>
      </c>
      <c r="D79" s="4">
        <v>5200089927</v>
      </c>
      <c r="E79" s="319">
        <v>45808</v>
      </c>
      <c r="F79" s="315">
        <f t="shared" si="0"/>
        <v>2025</v>
      </c>
      <c r="G79" s="313">
        <f t="shared" si="1"/>
        <v>7</v>
      </c>
      <c r="H79" s="161">
        <v>45841</v>
      </c>
      <c r="I79" s="317">
        <v>0</v>
      </c>
      <c r="J79" s="5" t="s">
        <v>146</v>
      </c>
      <c r="K79" s="318" t="s">
        <v>291</v>
      </c>
    </row>
    <row r="80" spans="1:11">
      <c r="A80" s="97" t="s">
        <v>318</v>
      </c>
      <c r="B80" s="162"/>
      <c r="C80" s="162">
        <v>8400</v>
      </c>
      <c r="D80" s="4">
        <v>5200103463</v>
      </c>
      <c r="E80" s="319">
        <v>46173</v>
      </c>
      <c r="F80" s="315">
        <v>2026</v>
      </c>
      <c r="G80" s="313">
        <v>6</v>
      </c>
      <c r="H80" s="161">
        <v>46191</v>
      </c>
      <c r="I80" s="317">
        <v>0</v>
      </c>
      <c r="J80" s="5" t="s">
        <v>146</v>
      </c>
      <c r="K80" s="318" t="s">
        <v>319</v>
      </c>
    </row>
    <row r="81" spans="1:11">
      <c r="A81" s="97" t="s">
        <v>320</v>
      </c>
      <c r="B81" s="162"/>
      <c r="C81" s="162">
        <v>2500</v>
      </c>
      <c r="D81" s="4">
        <v>5200101056</v>
      </c>
      <c r="E81" s="319">
        <v>46112</v>
      </c>
      <c r="F81" s="315">
        <v>2026</v>
      </c>
      <c r="G81" s="313">
        <v>4</v>
      </c>
      <c r="H81" s="161">
        <v>46135</v>
      </c>
      <c r="I81" s="317">
        <v>0</v>
      </c>
      <c r="J81" s="5" t="s">
        <v>146</v>
      </c>
      <c r="K81" s="318" t="s">
        <v>321</v>
      </c>
    </row>
    <row r="82" spans="1:11">
      <c r="A82" s="97" t="s">
        <v>322</v>
      </c>
      <c r="B82" s="162"/>
      <c r="C82" s="162">
        <v>24227.25</v>
      </c>
      <c r="D82" s="322" t="s">
        <v>323</v>
      </c>
      <c r="E82" s="319">
        <v>45119</v>
      </c>
      <c r="F82" s="315">
        <f t="shared" si="0"/>
        <v>2023</v>
      </c>
      <c r="G82" s="313">
        <f t="shared" si="1"/>
        <v>8</v>
      </c>
      <c r="H82" s="161">
        <v>45149</v>
      </c>
      <c r="I82" s="317">
        <v>0</v>
      </c>
      <c r="J82" s="5" t="s">
        <v>146</v>
      </c>
      <c r="K82" s="318"/>
    </row>
    <row r="83" spans="1:11">
      <c r="A83" s="97" t="s">
        <v>324</v>
      </c>
      <c r="B83" s="162"/>
      <c r="C83" s="162">
        <v>1545</v>
      </c>
      <c r="D83" s="4">
        <v>5200067172</v>
      </c>
      <c r="E83" s="319">
        <v>45013</v>
      </c>
      <c r="F83" s="315">
        <f t="shared" si="0"/>
        <v>2023</v>
      </c>
      <c r="G83" s="313">
        <f t="shared" si="1"/>
        <v>4</v>
      </c>
      <c r="H83" s="161">
        <v>45041</v>
      </c>
      <c r="I83" s="317">
        <v>0</v>
      </c>
      <c r="J83" s="5" t="s">
        <v>146</v>
      </c>
      <c r="K83" s="318" t="s">
        <v>272</v>
      </c>
    </row>
    <row r="84" spans="1:11">
      <c r="A84" s="97" t="s">
        <v>325</v>
      </c>
      <c r="B84" s="162"/>
      <c r="C84" s="162">
        <v>2005</v>
      </c>
      <c r="D84" s="4">
        <v>5200068500</v>
      </c>
      <c r="E84" s="319">
        <v>45044</v>
      </c>
      <c r="F84" s="315">
        <f t="shared" si="0"/>
        <v>2023</v>
      </c>
      <c r="G84" s="313">
        <f t="shared" si="1"/>
        <v>5</v>
      </c>
      <c r="H84" s="161">
        <v>45074</v>
      </c>
      <c r="I84" s="317">
        <v>0</v>
      </c>
      <c r="J84" s="5" t="s">
        <v>146</v>
      </c>
      <c r="K84" s="318"/>
    </row>
    <row r="85" spans="1:11">
      <c r="A85" s="97" t="s">
        <v>326</v>
      </c>
      <c r="B85" s="162"/>
      <c r="C85" s="162">
        <v>3222.47</v>
      </c>
      <c r="D85" s="4">
        <v>5200069200</v>
      </c>
      <c r="E85" s="319">
        <v>45077</v>
      </c>
      <c r="F85" s="315">
        <f t="shared" si="0"/>
        <v>2023</v>
      </c>
      <c r="G85" s="313">
        <f t="shared" si="1"/>
        <v>6</v>
      </c>
      <c r="H85" s="161">
        <v>45107</v>
      </c>
      <c r="I85" s="317">
        <v>0</v>
      </c>
      <c r="J85" s="5" t="s">
        <v>146</v>
      </c>
      <c r="K85" s="318"/>
    </row>
    <row r="86" spans="1:11">
      <c r="A86" s="312" t="s">
        <v>327</v>
      </c>
      <c r="B86" s="162"/>
      <c r="C86" s="162">
        <v>4087.2</v>
      </c>
      <c r="D86" s="4">
        <v>5200070199</v>
      </c>
      <c r="E86" s="319">
        <v>45482</v>
      </c>
      <c r="F86" s="315">
        <f t="shared" si="0"/>
        <v>2025</v>
      </c>
      <c r="G86" s="313">
        <f t="shared" si="1"/>
        <v>8</v>
      </c>
      <c r="H86" s="161">
        <v>45870</v>
      </c>
      <c r="I86" s="317">
        <v>0</v>
      </c>
      <c r="J86" s="5" t="s">
        <v>146</v>
      </c>
      <c r="K86" s="318" t="s">
        <v>328</v>
      </c>
    </row>
    <row r="87" spans="1:11">
      <c r="A87" s="97" t="s">
        <v>329</v>
      </c>
      <c r="B87" s="162"/>
      <c r="C87" s="162">
        <v>2784</v>
      </c>
      <c r="D87" s="4">
        <v>5200070171</v>
      </c>
      <c r="E87" s="319">
        <v>45482</v>
      </c>
      <c r="F87" s="315">
        <f t="shared" si="0"/>
        <v>2024</v>
      </c>
      <c r="G87" s="313">
        <f t="shared" si="1"/>
        <v>8</v>
      </c>
      <c r="H87" s="161">
        <v>45505</v>
      </c>
      <c r="I87" s="317">
        <v>0</v>
      </c>
      <c r="J87" s="5" t="s">
        <v>146</v>
      </c>
      <c r="K87" s="318" t="s">
        <v>330</v>
      </c>
    </row>
    <row r="88" spans="1:11">
      <c r="A88" s="312" t="s">
        <v>331</v>
      </c>
      <c r="B88" s="162"/>
      <c r="C88" s="162">
        <f>3942.4</f>
        <v>3942.4</v>
      </c>
      <c r="D88" s="313">
        <v>5200079105</v>
      </c>
      <c r="E88" s="314">
        <v>45456</v>
      </c>
      <c r="F88" s="315">
        <f t="shared" si="0"/>
        <v>2024</v>
      </c>
      <c r="G88" s="313">
        <f t="shared" si="1"/>
        <v>7</v>
      </c>
      <c r="H88" s="316">
        <v>45486</v>
      </c>
      <c r="I88" s="317">
        <v>0</v>
      </c>
      <c r="J88" s="5" t="s">
        <v>146</v>
      </c>
      <c r="K88" s="318"/>
    </row>
    <row r="89" spans="1:11">
      <c r="A89" s="312" t="s">
        <v>332</v>
      </c>
      <c r="B89" s="162"/>
      <c r="C89" s="320">
        <v>-806</v>
      </c>
      <c r="D89" s="313">
        <v>5200075835</v>
      </c>
      <c r="E89" s="314">
        <v>45349</v>
      </c>
      <c r="F89" s="315">
        <f t="shared" si="0"/>
        <v>2024</v>
      </c>
      <c r="G89" s="313">
        <f t="shared" si="1"/>
        <v>7</v>
      </c>
      <c r="H89" s="316">
        <v>45486</v>
      </c>
      <c r="I89" s="317">
        <v>0</v>
      </c>
      <c r="J89" s="5" t="s">
        <v>146</v>
      </c>
      <c r="K89" s="318"/>
    </row>
    <row r="90" spans="1:11">
      <c r="A90" s="97" t="s">
        <v>333</v>
      </c>
      <c r="B90" s="162"/>
      <c r="C90" s="162">
        <v>2126.08</v>
      </c>
      <c r="D90" s="4">
        <v>5200070877</v>
      </c>
      <c r="E90" s="319">
        <v>45108</v>
      </c>
      <c r="F90" s="315">
        <f t="shared" si="0"/>
        <v>2023</v>
      </c>
      <c r="G90" s="313">
        <f t="shared" si="1"/>
        <v>7</v>
      </c>
      <c r="H90" s="161">
        <v>45138</v>
      </c>
      <c r="I90" s="317">
        <v>0</v>
      </c>
      <c r="J90" s="5" t="s">
        <v>146</v>
      </c>
      <c r="K90" s="318"/>
    </row>
    <row r="91" spans="1:11">
      <c r="A91" s="312" t="s">
        <v>334</v>
      </c>
      <c r="B91" s="162"/>
      <c r="C91" s="162">
        <v>873.6</v>
      </c>
      <c r="D91" s="313">
        <v>5200072442</v>
      </c>
      <c r="E91" s="314">
        <v>45211</v>
      </c>
      <c r="F91" s="315">
        <f t="shared" si="0"/>
        <v>2023</v>
      </c>
      <c r="G91" s="313">
        <f t="shared" si="1"/>
        <v>11</v>
      </c>
      <c r="H91" s="316">
        <v>45241</v>
      </c>
      <c r="I91" s="317">
        <v>0</v>
      </c>
      <c r="J91" s="5" t="s">
        <v>146</v>
      </c>
      <c r="K91" s="318"/>
    </row>
    <row r="92" spans="1:11">
      <c r="A92" s="312" t="s">
        <v>335</v>
      </c>
      <c r="B92" s="162"/>
      <c r="C92" s="162">
        <v>2393.79</v>
      </c>
      <c r="D92" s="313">
        <v>5200071638</v>
      </c>
      <c r="E92" s="314">
        <v>45183</v>
      </c>
      <c r="F92" s="315">
        <f t="shared" si="0"/>
        <v>2023</v>
      </c>
      <c r="G92" s="313">
        <f t="shared" si="1"/>
        <v>10</v>
      </c>
      <c r="H92" s="316">
        <v>45213</v>
      </c>
      <c r="I92" s="317">
        <v>0</v>
      </c>
      <c r="J92" s="5" t="s">
        <v>146</v>
      </c>
      <c r="K92" s="318"/>
    </row>
    <row r="93" spans="1:11">
      <c r="A93" s="312" t="s">
        <v>336</v>
      </c>
      <c r="B93" s="162"/>
      <c r="C93" s="162">
        <v>873.6</v>
      </c>
      <c r="D93" s="313">
        <v>5200072441</v>
      </c>
      <c r="E93" s="314">
        <v>45211</v>
      </c>
      <c r="F93" s="315">
        <f t="shared" si="0"/>
        <v>2023</v>
      </c>
      <c r="G93" s="313">
        <f t="shared" si="1"/>
        <v>11</v>
      </c>
      <c r="H93" s="316">
        <v>45241</v>
      </c>
      <c r="I93" s="317">
        <v>0</v>
      </c>
      <c r="J93" s="5" t="s">
        <v>146</v>
      </c>
      <c r="K93" s="318"/>
    </row>
    <row r="94" spans="1:11">
      <c r="A94" s="312" t="s">
        <v>337</v>
      </c>
      <c r="B94" s="162"/>
      <c r="C94" s="162">
        <v>5589.27</v>
      </c>
      <c r="D94" s="313">
        <v>5200072333</v>
      </c>
      <c r="E94" s="314">
        <v>45208</v>
      </c>
      <c r="F94" s="315">
        <f t="shared" si="0"/>
        <v>2023</v>
      </c>
      <c r="G94" s="313">
        <f t="shared" si="1"/>
        <v>11</v>
      </c>
      <c r="H94" s="316">
        <v>45238</v>
      </c>
      <c r="I94" s="317">
        <v>0</v>
      </c>
      <c r="J94" s="5" t="s">
        <v>146</v>
      </c>
      <c r="K94" s="318"/>
    </row>
    <row r="95" spans="1:11">
      <c r="A95" s="312" t="s">
        <v>338</v>
      </c>
      <c r="B95" s="162"/>
      <c r="C95" s="162">
        <v>4202.2</v>
      </c>
      <c r="D95" s="313">
        <v>5200072541</v>
      </c>
      <c r="E95" s="314">
        <v>45222</v>
      </c>
      <c r="F95" s="315">
        <f t="shared" si="0"/>
        <v>2023</v>
      </c>
      <c r="G95" s="313">
        <f t="shared" si="1"/>
        <v>11</v>
      </c>
      <c r="H95" s="316">
        <v>45252</v>
      </c>
      <c r="I95" s="317">
        <v>0</v>
      </c>
      <c r="J95" s="5" t="s">
        <v>146</v>
      </c>
      <c r="K95" s="318"/>
    </row>
    <row r="96" spans="1:11">
      <c r="A96" s="312" t="s">
        <v>339</v>
      </c>
      <c r="B96" s="162"/>
      <c r="C96" s="162">
        <v>1327</v>
      </c>
      <c r="D96" s="313">
        <v>5200073166</v>
      </c>
      <c r="E96" s="314">
        <v>45226</v>
      </c>
      <c r="F96" s="315">
        <f t="shared" si="0"/>
        <v>2023</v>
      </c>
      <c r="G96" s="313">
        <f t="shared" si="1"/>
        <v>11</v>
      </c>
      <c r="H96" s="316">
        <v>45256</v>
      </c>
      <c r="I96" s="317">
        <v>0</v>
      </c>
      <c r="J96" s="5" t="s">
        <v>146</v>
      </c>
      <c r="K96" s="318"/>
    </row>
    <row r="97" spans="1:11">
      <c r="A97" s="312" t="s">
        <v>340</v>
      </c>
      <c r="B97" s="162"/>
      <c r="C97" s="162">
        <v>2418.4</v>
      </c>
      <c r="D97" s="313">
        <v>5200073887</v>
      </c>
      <c r="E97" s="314">
        <v>45260</v>
      </c>
      <c r="F97" s="315">
        <f t="shared" si="0"/>
        <v>2023</v>
      </c>
      <c r="G97" s="313">
        <f t="shared" si="1"/>
        <v>12</v>
      </c>
      <c r="H97" s="316">
        <v>45290</v>
      </c>
      <c r="I97" s="317">
        <v>0</v>
      </c>
      <c r="J97" s="5" t="s">
        <v>146</v>
      </c>
      <c r="K97" s="318"/>
    </row>
    <row r="98" spans="1:11">
      <c r="A98" s="312" t="s">
        <v>341</v>
      </c>
      <c r="B98" s="162"/>
      <c r="C98" s="162">
        <v>1105</v>
      </c>
      <c r="D98" s="313">
        <v>5200074050</v>
      </c>
      <c r="E98" s="314">
        <v>45260</v>
      </c>
      <c r="F98" s="315">
        <f t="shared" si="0"/>
        <v>2023</v>
      </c>
      <c r="G98" s="313">
        <f t="shared" si="1"/>
        <v>12</v>
      </c>
      <c r="H98" s="316">
        <v>45290</v>
      </c>
      <c r="I98" s="317">
        <v>0</v>
      </c>
      <c r="J98" s="5" t="s">
        <v>146</v>
      </c>
      <c r="K98" s="318"/>
    </row>
    <row r="99" spans="1:11">
      <c r="A99" s="312" t="s">
        <v>342</v>
      </c>
      <c r="B99" s="162"/>
      <c r="C99" s="162">
        <v>1882.8</v>
      </c>
      <c r="D99" s="313">
        <v>5200074353</v>
      </c>
      <c r="E99" s="314">
        <v>45287</v>
      </c>
      <c r="F99" s="315">
        <f t="shared" si="0"/>
        <v>2024</v>
      </c>
      <c r="G99" s="313">
        <f t="shared" si="1"/>
        <v>2</v>
      </c>
      <c r="H99" s="316">
        <v>45330</v>
      </c>
      <c r="I99" s="317">
        <v>0</v>
      </c>
      <c r="J99" s="5" t="s">
        <v>146</v>
      </c>
      <c r="K99" s="318" t="s">
        <v>343</v>
      </c>
    </row>
    <row r="100" spans="1:11">
      <c r="A100" s="312" t="s">
        <v>344</v>
      </c>
      <c r="B100" s="162"/>
      <c r="C100" s="162">
        <v>1605</v>
      </c>
      <c r="D100" s="313">
        <v>5200074453</v>
      </c>
      <c r="E100" s="314">
        <v>45287</v>
      </c>
      <c r="F100" s="315">
        <f t="shared" si="0"/>
        <v>2024</v>
      </c>
      <c r="G100" s="313">
        <f t="shared" si="1"/>
        <v>1</v>
      </c>
      <c r="H100" s="316">
        <v>45309</v>
      </c>
      <c r="I100" s="317">
        <v>0</v>
      </c>
      <c r="J100" s="5" t="s">
        <v>146</v>
      </c>
      <c r="K100" s="318" t="s">
        <v>345</v>
      </c>
    </row>
    <row r="101" spans="1:11">
      <c r="A101" s="312" t="s">
        <v>346</v>
      </c>
      <c r="B101" s="162"/>
      <c r="C101" s="162">
        <v>1882.8</v>
      </c>
      <c r="D101" s="313">
        <v>5200075141</v>
      </c>
      <c r="E101" s="314">
        <v>45314</v>
      </c>
      <c r="F101" s="315">
        <f t="shared" si="0"/>
        <v>2024</v>
      </c>
      <c r="G101" s="313">
        <f t="shared" si="1"/>
        <v>2</v>
      </c>
      <c r="H101" s="316">
        <v>45330</v>
      </c>
      <c r="I101" s="317">
        <v>0</v>
      </c>
      <c r="J101" s="318" t="s">
        <v>146</v>
      </c>
      <c r="K101" s="318" t="s">
        <v>343</v>
      </c>
    </row>
    <row r="102" spans="1:11">
      <c r="A102" s="312" t="s">
        <v>347</v>
      </c>
      <c r="B102" s="162"/>
      <c r="C102" s="162">
        <v>1501.88</v>
      </c>
      <c r="D102" s="313">
        <v>5200075740</v>
      </c>
      <c r="E102" s="314">
        <v>45323</v>
      </c>
      <c r="F102" s="315">
        <f t="shared" si="0"/>
        <v>2024</v>
      </c>
      <c r="G102" s="313">
        <f t="shared" si="1"/>
        <v>2</v>
      </c>
      <c r="H102" s="316">
        <v>45344</v>
      </c>
      <c r="I102" s="317">
        <v>0</v>
      </c>
      <c r="J102" s="318" t="s">
        <v>146</v>
      </c>
      <c r="K102" s="318" t="s">
        <v>348</v>
      </c>
    </row>
    <row r="103" spans="1:11">
      <c r="A103" s="312" t="s">
        <v>349</v>
      </c>
      <c r="B103" s="162"/>
      <c r="C103" s="162">
        <v>650.35</v>
      </c>
      <c r="D103" s="313">
        <v>5200075741</v>
      </c>
      <c r="E103" s="314">
        <v>45324</v>
      </c>
      <c r="F103" s="315">
        <f t="shared" si="0"/>
        <v>2024</v>
      </c>
      <c r="G103" s="313">
        <f t="shared" si="1"/>
        <v>2</v>
      </c>
      <c r="H103" s="316">
        <v>45344</v>
      </c>
      <c r="I103" s="317">
        <v>0</v>
      </c>
      <c r="J103" s="318" t="s">
        <v>146</v>
      </c>
      <c r="K103" s="318" t="s">
        <v>348</v>
      </c>
    </row>
    <row r="104" spans="1:11">
      <c r="A104" s="97" t="s">
        <v>350</v>
      </c>
      <c r="B104" s="162"/>
      <c r="C104" s="162">
        <v>1258.4000000000001</v>
      </c>
      <c r="D104" s="4">
        <v>5200076555</v>
      </c>
      <c r="E104" s="319">
        <v>45376</v>
      </c>
      <c r="F104" s="315">
        <f t="shared" si="0"/>
        <v>2024</v>
      </c>
      <c r="G104" s="313">
        <f t="shared" si="1"/>
        <v>4</v>
      </c>
      <c r="H104" s="161">
        <v>45400</v>
      </c>
      <c r="I104" s="317">
        <v>0</v>
      </c>
      <c r="J104" s="5" t="s">
        <v>146</v>
      </c>
      <c r="K104" s="318" t="s">
        <v>351</v>
      </c>
    </row>
    <row r="105" spans="1:11">
      <c r="A105" s="312" t="s">
        <v>352</v>
      </c>
      <c r="B105" s="162"/>
      <c r="C105" s="162">
        <v>3020.37</v>
      </c>
      <c r="D105" s="313">
        <v>5200076461</v>
      </c>
      <c r="E105" s="314">
        <v>45365</v>
      </c>
      <c r="F105" s="315">
        <f t="shared" si="0"/>
        <v>2024</v>
      </c>
      <c r="G105" s="313">
        <f t="shared" si="1"/>
        <v>4</v>
      </c>
      <c r="H105" s="316">
        <v>45386</v>
      </c>
      <c r="I105" s="317">
        <v>0</v>
      </c>
      <c r="J105" s="318" t="s">
        <v>146</v>
      </c>
      <c r="K105" s="318" t="s">
        <v>353</v>
      </c>
    </row>
    <row r="106" spans="1:11">
      <c r="A106" s="97" t="s">
        <v>354</v>
      </c>
      <c r="B106" s="162"/>
      <c r="C106" s="162">
        <v>500</v>
      </c>
      <c r="D106" s="4">
        <v>5200078947</v>
      </c>
      <c r="E106" s="319">
        <v>45453</v>
      </c>
      <c r="F106" s="315">
        <f t="shared" si="0"/>
        <v>2024</v>
      </c>
      <c r="G106" s="313">
        <f t="shared" si="1"/>
        <v>7</v>
      </c>
      <c r="H106" s="161">
        <v>45477</v>
      </c>
      <c r="I106" s="317">
        <v>0</v>
      </c>
      <c r="J106" s="5" t="s">
        <v>146</v>
      </c>
      <c r="K106" s="318" t="s">
        <v>355</v>
      </c>
    </row>
    <row r="107" spans="1:11">
      <c r="A107" s="97" t="s">
        <v>356</v>
      </c>
      <c r="B107" s="162"/>
      <c r="C107" s="162">
        <v>6844.4</v>
      </c>
      <c r="D107" s="4">
        <v>5200078052</v>
      </c>
      <c r="E107" s="319">
        <v>45427</v>
      </c>
      <c r="F107" s="315">
        <f t="shared" si="0"/>
        <v>2024</v>
      </c>
      <c r="G107" s="313">
        <f t="shared" si="1"/>
        <v>10</v>
      </c>
      <c r="H107" s="161">
        <v>45575</v>
      </c>
      <c r="I107" s="317">
        <v>0</v>
      </c>
      <c r="J107" s="5" t="s">
        <v>146</v>
      </c>
      <c r="K107" s="318" t="s">
        <v>357</v>
      </c>
    </row>
    <row r="108" spans="1:11">
      <c r="A108" s="97" t="s">
        <v>358</v>
      </c>
      <c r="B108" s="162"/>
      <c r="C108" s="162">
        <v>1105</v>
      </c>
      <c r="D108" s="4">
        <v>5200077260</v>
      </c>
      <c r="E108" s="319">
        <v>45397</v>
      </c>
      <c r="F108" s="315">
        <f t="shared" si="0"/>
        <v>2024</v>
      </c>
      <c r="G108" s="313">
        <f t="shared" si="1"/>
        <v>5</v>
      </c>
      <c r="H108" s="161">
        <v>45435</v>
      </c>
      <c r="I108" s="317">
        <v>0</v>
      </c>
      <c r="J108" s="5" t="s">
        <v>146</v>
      </c>
      <c r="K108" s="318" t="s">
        <v>281</v>
      </c>
    </row>
    <row r="109" spans="1:11">
      <c r="A109" s="97" t="s">
        <v>359</v>
      </c>
      <c r="B109" s="162"/>
      <c r="C109" s="162">
        <v>8758.7999999999993</v>
      </c>
      <c r="D109" s="4">
        <v>5200078171</v>
      </c>
      <c r="E109" s="319">
        <v>45436</v>
      </c>
      <c r="F109" s="315">
        <f t="shared" ref="F109:F146" si="4">YEAR(H109)</f>
        <v>2024</v>
      </c>
      <c r="G109" s="313">
        <f t="shared" ref="G109:G146" si="5">MONTH(H109)</f>
        <v>6</v>
      </c>
      <c r="H109" s="161">
        <v>45463</v>
      </c>
      <c r="I109" s="317">
        <v>0</v>
      </c>
      <c r="J109" s="5" t="s">
        <v>146</v>
      </c>
      <c r="K109" s="318" t="s">
        <v>360</v>
      </c>
    </row>
    <row r="110" spans="1:11">
      <c r="A110" s="97" t="s">
        <v>361</v>
      </c>
      <c r="B110" s="162"/>
      <c r="C110" s="162">
        <v>3800</v>
      </c>
      <c r="D110" s="4">
        <v>5200078006</v>
      </c>
      <c r="E110" s="319">
        <v>45422</v>
      </c>
      <c r="F110" s="315">
        <f t="shared" si="4"/>
        <v>2024</v>
      </c>
      <c r="G110" s="313">
        <f t="shared" si="5"/>
        <v>6</v>
      </c>
      <c r="H110" s="161">
        <v>45456</v>
      </c>
      <c r="I110" s="317">
        <v>0</v>
      </c>
      <c r="J110" s="5" t="s">
        <v>146</v>
      </c>
      <c r="K110" s="318" t="s">
        <v>310</v>
      </c>
    </row>
    <row r="111" spans="1:11">
      <c r="A111" s="97" t="s">
        <v>362</v>
      </c>
      <c r="B111" s="162"/>
      <c r="C111" s="162">
        <f>5274</f>
        <v>5274</v>
      </c>
      <c r="D111" s="4">
        <v>5200078172</v>
      </c>
      <c r="E111" s="319">
        <v>45436</v>
      </c>
      <c r="F111" s="315">
        <f t="shared" si="4"/>
        <v>2024</v>
      </c>
      <c r="G111" s="313">
        <f t="shared" si="5"/>
        <v>9</v>
      </c>
      <c r="H111" s="161">
        <v>45540</v>
      </c>
      <c r="I111" s="317">
        <v>0</v>
      </c>
      <c r="J111" s="5" t="s">
        <v>146</v>
      </c>
      <c r="K111" s="318" t="s">
        <v>363</v>
      </c>
    </row>
    <row r="112" spans="1:11">
      <c r="A112" s="97" t="s">
        <v>364</v>
      </c>
      <c r="B112" s="162"/>
      <c r="C112" s="320">
        <v>-1560</v>
      </c>
      <c r="D112" s="4">
        <v>5200081129</v>
      </c>
      <c r="E112" s="319">
        <v>45523</v>
      </c>
      <c r="F112" s="315">
        <f t="shared" si="4"/>
        <v>2024</v>
      </c>
      <c r="G112" s="313">
        <f t="shared" si="5"/>
        <v>9</v>
      </c>
      <c r="H112" s="161">
        <v>45540</v>
      </c>
      <c r="I112" s="317">
        <v>0</v>
      </c>
      <c r="J112" s="5" t="s">
        <v>146</v>
      </c>
      <c r="K112" s="318" t="s">
        <v>363</v>
      </c>
    </row>
    <row r="113" spans="1:11">
      <c r="A113" s="97" t="s">
        <v>365</v>
      </c>
      <c r="B113" s="162"/>
      <c r="C113" s="162">
        <v>1590</v>
      </c>
      <c r="D113" s="4">
        <v>5200078746</v>
      </c>
      <c r="E113" s="319">
        <v>45442</v>
      </c>
      <c r="F113" s="315">
        <f t="shared" si="4"/>
        <v>2024</v>
      </c>
      <c r="G113" s="313">
        <f t="shared" si="5"/>
        <v>7</v>
      </c>
      <c r="H113" s="161">
        <v>45477</v>
      </c>
      <c r="I113" s="317">
        <v>0</v>
      </c>
      <c r="J113" s="5" t="s">
        <v>146</v>
      </c>
      <c r="K113" s="318" t="s">
        <v>366</v>
      </c>
    </row>
    <row r="114" spans="1:11">
      <c r="A114" s="97" t="s">
        <v>367</v>
      </c>
      <c r="B114" s="162"/>
      <c r="C114" s="162">
        <v>5055.68</v>
      </c>
      <c r="D114" s="4">
        <v>5200079921</v>
      </c>
      <c r="E114" s="319">
        <v>45482</v>
      </c>
      <c r="F114" s="315">
        <f t="shared" si="4"/>
        <v>2024</v>
      </c>
      <c r="G114" s="313">
        <f t="shared" si="5"/>
        <v>7</v>
      </c>
      <c r="H114" s="161">
        <v>45491</v>
      </c>
      <c r="I114" s="317">
        <v>0</v>
      </c>
      <c r="J114" s="5" t="s">
        <v>146</v>
      </c>
      <c r="K114" s="318" t="s">
        <v>368</v>
      </c>
    </row>
    <row r="115" spans="1:11">
      <c r="A115" s="97" t="s">
        <v>369</v>
      </c>
      <c r="B115" s="162"/>
      <c r="C115" s="162">
        <v>13444.8</v>
      </c>
      <c r="D115" s="4">
        <v>5200080497</v>
      </c>
      <c r="E115" s="319">
        <v>45503</v>
      </c>
      <c r="F115" s="315">
        <f t="shared" si="4"/>
        <v>2024</v>
      </c>
      <c r="G115" s="313">
        <f t="shared" si="5"/>
        <v>8</v>
      </c>
      <c r="H115" s="161">
        <v>45526</v>
      </c>
      <c r="I115" s="317">
        <v>0</v>
      </c>
      <c r="J115" s="5" t="s">
        <v>146</v>
      </c>
      <c r="K115" s="318" t="s">
        <v>370</v>
      </c>
    </row>
    <row r="116" spans="1:11">
      <c r="A116" s="97" t="s">
        <v>371</v>
      </c>
      <c r="B116" s="162"/>
      <c r="C116" s="162">
        <v>2285.5</v>
      </c>
      <c r="D116" s="4">
        <v>5200080874</v>
      </c>
      <c r="E116" s="319">
        <v>45510</v>
      </c>
      <c r="F116" s="315">
        <f t="shared" si="4"/>
        <v>2024</v>
      </c>
      <c r="G116" s="313">
        <f t="shared" si="5"/>
        <v>8</v>
      </c>
      <c r="H116" s="161">
        <v>45526</v>
      </c>
      <c r="I116" s="317">
        <v>0</v>
      </c>
      <c r="J116" s="5" t="s">
        <v>146</v>
      </c>
      <c r="K116" s="318" t="s">
        <v>372</v>
      </c>
    </row>
    <row r="117" spans="1:11">
      <c r="A117" s="97" t="s">
        <v>373</v>
      </c>
      <c r="B117" s="162"/>
      <c r="C117" s="162">
        <v>3620.4</v>
      </c>
      <c r="D117" s="4">
        <v>5200081714</v>
      </c>
      <c r="E117" s="319">
        <v>45534</v>
      </c>
      <c r="F117" s="315">
        <f t="shared" si="4"/>
        <v>2024</v>
      </c>
      <c r="G117" s="313">
        <f t="shared" si="5"/>
        <v>9</v>
      </c>
      <c r="H117" s="161">
        <v>45561</v>
      </c>
      <c r="I117" s="317">
        <v>0</v>
      </c>
      <c r="J117" s="5" t="s">
        <v>146</v>
      </c>
      <c r="K117" s="318" t="s">
        <v>374</v>
      </c>
    </row>
    <row r="118" spans="1:11">
      <c r="A118" s="97" t="s">
        <v>375</v>
      </c>
      <c r="B118" s="162"/>
      <c r="C118" s="162">
        <v>3957.88</v>
      </c>
      <c r="D118" s="4">
        <v>5200081299</v>
      </c>
      <c r="E118" s="319">
        <v>45527</v>
      </c>
      <c r="F118" s="315">
        <f t="shared" si="4"/>
        <v>2024</v>
      </c>
      <c r="G118" s="313">
        <f t="shared" si="5"/>
        <v>9</v>
      </c>
      <c r="H118" s="161">
        <v>45547</v>
      </c>
      <c r="I118" s="317">
        <v>0</v>
      </c>
      <c r="J118" s="5" t="s">
        <v>146</v>
      </c>
      <c r="K118" s="318" t="s">
        <v>376</v>
      </c>
    </row>
    <row r="119" spans="1:11">
      <c r="A119" s="97" t="s">
        <v>377</v>
      </c>
      <c r="B119" s="162"/>
      <c r="C119" s="162">
        <v>13239.6</v>
      </c>
      <c r="D119" s="4">
        <v>5200082795</v>
      </c>
      <c r="E119" s="319">
        <v>45574</v>
      </c>
      <c r="F119" s="315">
        <f t="shared" si="4"/>
        <v>2024</v>
      </c>
      <c r="G119" s="313">
        <f t="shared" si="5"/>
        <v>11</v>
      </c>
      <c r="H119" s="161">
        <v>45617</v>
      </c>
      <c r="I119" s="317">
        <v>0</v>
      </c>
      <c r="J119" s="5" t="s">
        <v>146</v>
      </c>
      <c r="K119" s="318" t="s">
        <v>378</v>
      </c>
    </row>
    <row r="120" spans="1:11">
      <c r="A120" s="97" t="s">
        <v>379</v>
      </c>
      <c r="B120" s="162"/>
      <c r="C120" s="162">
        <v>3117.36</v>
      </c>
      <c r="D120" s="4">
        <v>5200082682</v>
      </c>
      <c r="E120" s="319">
        <v>45567</v>
      </c>
      <c r="F120" s="315">
        <f t="shared" si="4"/>
        <v>2024</v>
      </c>
      <c r="G120" s="313">
        <f t="shared" si="5"/>
        <v>10</v>
      </c>
      <c r="H120" s="161">
        <v>45589</v>
      </c>
      <c r="I120" s="317">
        <v>0</v>
      </c>
      <c r="J120" s="5" t="s">
        <v>146</v>
      </c>
      <c r="K120" s="318" t="s">
        <v>380</v>
      </c>
    </row>
    <row r="121" spans="1:11">
      <c r="A121" s="97" t="s">
        <v>381</v>
      </c>
      <c r="B121" s="162"/>
      <c r="C121" s="162">
        <v>2329.6</v>
      </c>
      <c r="D121" s="4">
        <v>5200083437</v>
      </c>
      <c r="E121" s="319">
        <v>45596</v>
      </c>
      <c r="F121" s="315">
        <f t="shared" si="4"/>
        <v>2024</v>
      </c>
      <c r="G121" s="313">
        <f t="shared" si="5"/>
        <v>11</v>
      </c>
      <c r="H121" s="161">
        <v>45617</v>
      </c>
      <c r="I121" s="317">
        <v>0</v>
      </c>
      <c r="J121" s="5" t="s">
        <v>146</v>
      </c>
      <c r="K121" s="318" t="s">
        <v>382</v>
      </c>
    </row>
    <row r="122" spans="1:11">
      <c r="A122" s="97" t="s">
        <v>383</v>
      </c>
      <c r="B122" s="162"/>
      <c r="C122" s="162">
        <v>5805.53</v>
      </c>
      <c r="D122" s="4">
        <v>5200083043</v>
      </c>
      <c r="E122" s="319">
        <v>45589</v>
      </c>
      <c r="F122" s="315">
        <f t="shared" si="4"/>
        <v>2024</v>
      </c>
      <c r="G122" s="313">
        <f t="shared" si="5"/>
        <v>11</v>
      </c>
      <c r="H122" s="161">
        <v>45617</v>
      </c>
      <c r="I122" s="317">
        <v>0</v>
      </c>
      <c r="J122" s="5" t="s">
        <v>146</v>
      </c>
      <c r="K122" s="318" t="s">
        <v>378</v>
      </c>
    </row>
    <row r="123" spans="1:11">
      <c r="A123" s="97" t="s">
        <v>384</v>
      </c>
      <c r="B123" s="162"/>
      <c r="C123" s="162">
        <v>7602.5</v>
      </c>
      <c r="D123" s="4">
        <v>5200083925</v>
      </c>
      <c r="E123" s="319">
        <v>45618</v>
      </c>
      <c r="F123" s="315">
        <f t="shared" si="4"/>
        <v>2025</v>
      </c>
      <c r="G123" s="313">
        <f t="shared" si="5"/>
        <v>1</v>
      </c>
      <c r="H123" s="161">
        <v>45673</v>
      </c>
      <c r="I123" s="317">
        <v>0</v>
      </c>
      <c r="J123" s="5" t="s">
        <v>146</v>
      </c>
      <c r="K123" s="318" t="s">
        <v>385</v>
      </c>
    </row>
    <row r="124" spans="1:11">
      <c r="A124" s="97" t="s">
        <v>386</v>
      </c>
      <c r="B124" s="162"/>
      <c r="C124" s="162">
        <v>2900.36</v>
      </c>
      <c r="D124" s="4">
        <v>5200084578</v>
      </c>
      <c r="E124" s="319">
        <v>45643</v>
      </c>
      <c r="F124" s="315">
        <f t="shared" si="4"/>
        <v>2025</v>
      </c>
      <c r="G124" s="313">
        <f t="shared" si="5"/>
        <v>1</v>
      </c>
      <c r="H124" s="161">
        <v>45659</v>
      </c>
      <c r="I124" s="317">
        <v>0</v>
      </c>
      <c r="J124" s="5" t="s">
        <v>146</v>
      </c>
      <c r="K124" s="318" t="s">
        <v>387</v>
      </c>
    </row>
    <row r="125" spans="1:11">
      <c r="A125" s="97" t="s">
        <v>388</v>
      </c>
      <c r="B125" s="162"/>
      <c r="C125" s="162">
        <v>2185.5</v>
      </c>
      <c r="D125" s="4">
        <v>5200084886</v>
      </c>
      <c r="E125" s="319">
        <v>45656</v>
      </c>
      <c r="F125" s="315">
        <f t="shared" si="4"/>
        <v>2025</v>
      </c>
      <c r="G125" s="313">
        <f t="shared" si="5"/>
        <v>2</v>
      </c>
      <c r="H125" s="161">
        <v>45694</v>
      </c>
      <c r="I125" s="317">
        <v>0</v>
      </c>
      <c r="J125" s="5" t="s">
        <v>146</v>
      </c>
      <c r="K125" s="318" t="s">
        <v>389</v>
      </c>
    </row>
    <row r="126" spans="1:11">
      <c r="A126" s="97" t="s">
        <v>390</v>
      </c>
      <c r="B126" s="162"/>
      <c r="C126" s="162">
        <v>2513.92</v>
      </c>
      <c r="D126" s="4">
        <v>5200085157</v>
      </c>
      <c r="E126" s="319">
        <v>45656</v>
      </c>
      <c r="F126" s="315">
        <f t="shared" si="4"/>
        <v>2025</v>
      </c>
      <c r="G126" s="313">
        <f t="shared" si="5"/>
        <v>1</v>
      </c>
      <c r="H126" s="161">
        <v>45673</v>
      </c>
      <c r="I126" s="317">
        <v>0</v>
      </c>
      <c r="J126" s="5" t="s">
        <v>146</v>
      </c>
      <c r="K126" s="318" t="s">
        <v>391</v>
      </c>
    </row>
    <row r="127" spans="1:11">
      <c r="A127" s="97" t="s">
        <v>392</v>
      </c>
      <c r="B127" s="162"/>
      <c r="C127" s="162">
        <v>5363.5</v>
      </c>
      <c r="D127" s="4">
        <v>5200085928</v>
      </c>
      <c r="E127" s="319">
        <v>45687</v>
      </c>
      <c r="F127" s="315">
        <f t="shared" si="4"/>
        <v>2025</v>
      </c>
      <c r="G127" s="313">
        <f t="shared" si="5"/>
        <v>2</v>
      </c>
      <c r="H127" s="161">
        <v>45708</v>
      </c>
      <c r="I127" s="317">
        <v>0</v>
      </c>
      <c r="J127" s="5" t="s">
        <v>146</v>
      </c>
      <c r="K127" s="318" t="s">
        <v>393</v>
      </c>
    </row>
    <row r="128" spans="1:11">
      <c r="A128" s="97" t="s">
        <v>394</v>
      </c>
      <c r="B128" s="162"/>
      <c r="C128" s="162">
        <v>2674.34</v>
      </c>
      <c r="D128" s="4">
        <v>5200086152</v>
      </c>
      <c r="E128" s="319">
        <v>45698</v>
      </c>
      <c r="F128" s="315">
        <f t="shared" si="4"/>
        <v>2025</v>
      </c>
      <c r="G128" s="313">
        <f t="shared" si="5"/>
        <v>2</v>
      </c>
      <c r="H128" s="161">
        <v>45708</v>
      </c>
      <c r="I128" s="317">
        <v>0</v>
      </c>
      <c r="J128" s="5" t="s">
        <v>146</v>
      </c>
      <c r="K128" s="318" t="s">
        <v>395</v>
      </c>
    </row>
    <row r="129" spans="1:11">
      <c r="A129" s="97" t="s">
        <v>396</v>
      </c>
      <c r="B129" s="162"/>
      <c r="C129" s="162">
        <v>4189.5</v>
      </c>
      <c r="D129" s="4">
        <v>5200087679</v>
      </c>
      <c r="E129" s="319">
        <v>45747</v>
      </c>
      <c r="F129" s="315">
        <f t="shared" si="4"/>
        <v>2025</v>
      </c>
      <c r="G129" s="313">
        <f t="shared" si="5"/>
        <v>5</v>
      </c>
      <c r="H129" s="161">
        <v>45799</v>
      </c>
      <c r="I129" s="317">
        <v>0</v>
      </c>
      <c r="J129" s="5" t="s">
        <v>146</v>
      </c>
      <c r="K129" s="318" t="s">
        <v>397</v>
      </c>
    </row>
    <row r="130" spans="1:11">
      <c r="A130" s="97" t="s">
        <v>398</v>
      </c>
      <c r="B130" s="162"/>
      <c r="C130" s="162">
        <v>2184.5300000000002</v>
      </c>
      <c r="D130" s="4">
        <v>5200086867</v>
      </c>
      <c r="E130" s="319">
        <v>45726</v>
      </c>
      <c r="F130" s="315">
        <f t="shared" si="4"/>
        <v>2025</v>
      </c>
      <c r="G130" s="313">
        <f t="shared" si="5"/>
        <v>3</v>
      </c>
      <c r="H130" s="161">
        <v>45736</v>
      </c>
      <c r="I130" s="317">
        <v>0</v>
      </c>
      <c r="J130" s="5" t="s">
        <v>146</v>
      </c>
      <c r="K130" s="318" t="s">
        <v>399</v>
      </c>
    </row>
    <row r="131" spans="1:11">
      <c r="A131" s="97" t="s">
        <v>400</v>
      </c>
      <c r="B131" s="162"/>
      <c r="C131" s="162">
        <v>8979.7999999999993</v>
      </c>
      <c r="D131" s="4">
        <v>5200088531</v>
      </c>
      <c r="E131" s="319">
        <v>45776</v>
      </c>
      <c r="F131" s="315">
        <f t="shared" si="4"/>
        <v>2025</v>
      </c>
      <c r="G131" s="313">
        <f t="shared" si="5"/>
        <v>5</v>
      </c>
      <c r="H131" s="161">
        <v>45799</v>
      </c>
      <c r="I131" s="317">
        <v>0</v>
      </c>
      <c r="J131" s="5" t="s">
        <v>146</v>
      </c>
      <c r="K131" s="318" t="s">
        <v>289</v>
      </c>
    </row>
    <row r="132" spans="1:11">
      <c r="A132" s="97" t="s">
        <v>401</v>
      </c>
      <c r="B132" s="162"/>
      <c r="C132" s="162">
        <v>2135</v>
      </c>
      <c r="D132" s="4">
        <v>5200087800</v>
      </c>
      <c r="E132" s="319">
        <v>45747</v>
      </c>
      <c r="F132" s="315">
        <f t="shared" si="4"/>
        <v>2025</v>
      </c>
      <c r="G132" s="313">
        <f t="shared" si="5"/>
        <v>4</v>
      </c>
      <c r="H132" s="161">
        <v>45764</v>
      </c>
      <c r="I132" s="317">
        <v>0</v>
      </c>
      <c r="J132" s="5" t="s">
        <v>146</v>
      </c>
      <c r="K132" s="318" t="s">
        <v>402</v>
      </c>
    </row>
    <row r="133" spans="1:11">
      <c r="A133" s="97" t="s">
        <v>403</v>
      </c>
      <c r="B133" s="162"/>
      <c r="C133" s="162">
        <v>6753.4</v>
      </c>
      <c r="D133" s="4">
        <v>5200089294</v>
      </c>
      <c r="E133" s="319">
        <v>45797</v>
      </c>
      <c r="F133" s="315">
        <f t="shared" si="4"/>
        <v>2025</v>
      </c>
      <c r="G133" s="313">
        <f t="shared" si="5"/>
        <v>6</v>
      </c>
      <c r="H133" s="161">
        <v>45827</v>
      </c>
      <c r="I133" s="317">
        <v>0</v>
      </c>
      <c r="J133" s="5" t="s">
        <v>146</v>
      </c>
      <c r="K133" s="318" t="s">
        <v>404</v>
      </c>
    </row>
    <row r="134" spans="1:11">
      <c r="A134" s="97" t="s">
        <v>405</v>
      </c>
      <c r="B134" s="162"/>
      <c r="C134" s="162">
        <v>3754.71</v>
      </c>
      <c r="D134" s="4">
        <v>5200089005</v>
      </c>
      <c r="E134" s="319">
        <v>45783</v>
      </c>
      <c r="F134" s="315">
        <f t="shared" si="4"/>
        <v>2025</v>
      </c>
      <c r="G134" s="313">
        <f t="shared" si="5"/>
        <v>5</v>
      </c>
      <c r="H134" s="161">
        <v>45799</v>
      </c>
      <c r="I134" s="317">
        <v>0</v>
      </c>
      <c r="J134" s="5" t="s">
        <v>146</v>
      </c>
      <c r="K134" s="318" t="s">
        <v>289</v>
      </c>
    </row>
    <row r="135" spans="1:11">
      <c r="A135" s="97" t="s">
        <v>406</v>
      </c>
      <c r="B135" s="162"/>
      <c r="C135" s="162">
        <v>12952.2</v>
      </c>
      <c r="D135" s="4">
        <v>5200090391</v>
      </c>
      <c r="E135" s="319">
        <v>45832</v>
      </c>
      <c r="F135" s="315">
        <f t="shared" si="4"/>
        <v>2025</v>
      </c>
      <c r="G135" s="313">
        <f t="shared" si="5"/>
        <v>7</v>
      </c>
      <c r="H135" s="161">
        <v>45869</v>
      </c>
      <c r="I135" s="317">
        <v>0</v>
      </c>
      <c r="J135" s="5" t="s">
        <v>146</v>
      </c>
      <c r="K135" s="318" t="s">
        <v>407</v>
      </c>
    </row>
    <row r="136" spans="1:11">
      <c r="A136" s="97" t="s">
        <v>408</v>
      </c>
      <c r="B136" s="162"/>
      <c r="C136" s="162">
        <v>4132.5600000000004</v>
      </c>
      <c r="D136" s="4">
        <v>5200089619</v>
      </c>
      <c r="E136" s="319">
        <v>45805</v>
      </c>
      <c r="F136" s="315">
        <f t="shared" si="4"/>
        <v>2025</v>
      </c>
      <c r="G136" s="313">
        <f t="shared" si="5"/>
        <v>7</v>
      </c>
      <c r="H136" s="161">
        <v>45841</v>
      </c>
      <c r="I136" s="317">
        <v>0</v>
      </c>
      <c r="J136" s="5" t="s">
        <v>146</v>
      </c>
      <c r="K136" s="318" t="s">
        <v>291</v>
      </c>
    </row>
    <row r="137" spans="1:11">
      <c r="A137" s="97" t="s">
        <v>409</v>
      </c>
      <c r="B137" s="162"/>
      <c r="C137" s="162">
        <v>2826.6</v>
      </c>
      <c r="D137" s="4">
        <v>5200091728</v>
      </c>
      <c r="E137" s="319">
        <v>45869</v>
      </c>
      <c r="F137" s="315">
        <f t="shared" si="4"/>
        <v>2025</v>
      </c>
      <c r="G137" s="313">
        <f t="shared" si="5"/>
        <v>8</v>
      </c>
      <c r="H137" s="161">
        <v>45897</v>
      </c>
      <c r="I137" s="317">
        <v>0</v>
      </c>
      <c r="J137" s="5" t="s">
        <v>146</v>
      </c>
      <c r="K137" s="318" t="s">
        <v>410</v>
      </c>
    </row>
    <row r="138" spans="1:11">
      <c r="A138" s="97" t="s">
        <v>411</v>
      </c>
      <c r="B138" s="162"/>
      <c r="C138" s="162">
        <v>2751.42</v>
      </c>
      <c r="D138" s="4">
        <v>5200090833</v>
      </c>
      <c r="E138" s="319">
        <v>45845</v>
      </c>
      <c r="F138" s="315">
        <f t="shared" si="4"/>
        <v>2025</v>
      </c>
      <c r="G138" s="313">
        <f t="shared" si="5"/>
        <v>7</v>
      </c>
      <c r="H138" s="161">
        <v>45869</v>
      </c>
      <c r="I138" s="317">
        <v>0</v>
      </c>
      <c r="J138" s="5" t="s">
        <v>146</v>
      </c>
      <c r="K138" s="318" t="s">
        <v>407</v>
      </c>
    </row>
    <row r="139" spans="1:11">
      <c r="A139" s="97" t="s">
        <v>412</v>
      </c>
      <c r="B139" s="162"/>
      <c r="C139" s="162">
        <v>4472.8</v>
      </c>
      <c r="D139" s="4">
        <v>5200092328</v>
      </c>
      <c r="E139" s="319">
        <v>45887</v>
      </c>
      <c r="F139" s="315">
        <f t="shared" si="4"/>
        <v>2025</v>
      </c>
      <c r="G139" s="313">
        <f t="shared" si="5"/>
        <v>9</v>
      </c>
      <c r="H139" s="161">
        <v>45911</v>
      </c>
      <c r="I139" s="317">
        <v>0</v>
      </c>
      <c r="J139" s="5" t="s">
        <v>146</v>
      </c>
      <c r="K139" s="318" t="s">
        <v>413</v>
      </c>
    </row>
    <row r="140" spans="1:11">
      <c r="A140" s="97" t="s">
        <v>414</v>
      </c>
      <c r="B140" s="162"/>
      <c r="C140" s="162">
        <v>4439.84</v>
      </c>
      <c r="D140" s="4">
        <v>5200091989</v>
      </c>
      <c r="E140" s="319">
        <v>45869</v>
      </c>
      <c r="F140" s="315">
        <f t="shared" si="4"/>
        <v>2025</v>
      </c>
      <c r="G140" s="313">
        <f t="shared" si="5"/>
        <v>8</v>
      </c>
      <c r="H140" s="161">
        <v>45897</v>
      </c>
      <c r="I140" s="317">
        <v>0</v>
      </c>
      <c r="J140" s="5" t="s">
        <v>146</v>
      </c>
      <c r="K140" s="318" t="s">
        <v>410</v>
      </c>
    </row>
    <row r="141" spans="1:11">
      <c r="A141" s="97" t="s">
        <v>415</v>
      </c>
      <c r="B141" s="162"/>
      <c r="C141" s="162">
        <v>3743.3</v>
      </c>
      <c r="D141" s="4">
        <v>5200092403</v>
      </c>
      <c r="E141" s="319">
        <v>45887</v>
      </c>
      <c r="F141" s="315">
        <f t="shared" si="4"/>
        <v>2025</v>
      </c>
      <c r="G141" s="313">
        <f t="shared" si="5"/>
        <v>9</v>
      </c>
      <c r="H141" s="161">
        <v>45911</v>
      </c>
      <c r="I141" s="317">
        <v>0</v>
      </c>
      <c r="J141" s="5" t="s">
        <v>146</v>
      </c>
      <c r="K141" s="318" t="s">
        <v>413</v>
      </c>
    </row>
    <row r="142" spans="1:11">
      <c r="A142" s="97" t="s">
        <v>416</v>
      </c>
      <c r="B142" s="162"/>
      <c r="C142" s="162">
        <v>13710.5</v>
      </c>
      <c r="D142" s="4">
        <v>5200093742</v>
      </c>
      <c r="E142" s="319">
        <v>45929</v>
      </c>
      <c r="F142" s="315">
        <f t="shared" si="4"/>
        <v>2025</v>
      </c>
      <c r="G142" s="313">
        <f t="shared" si="5"/>
        <v>10</v>
      </c>
      <c r="H142" s="161">
        <v>45960</v>
      </c>
      <c r="I142" s="317">
        <v>0</v>
      </c>
      <c r="J142" s="5" t="s">
        <v>146</v>
      </c>
      <c r="K142" s="318" t="s">
        <v>417</v>
      </c>
    </row>
    <row r="143" spans="1:11">
      <c r="A143" s="97" t="s">
        <v>418</v>
      </c>
      <c r="B143" s="162"/>
      <c r="C143" s="162">
        <v>3908.5</v>
      </c>
      <c r="D143" s="4">
        <v>5200092979</v>
      </c>
      <c r="E143" s="319">
        <v>45897</v>
      </c>
      <c r="F143" s="315">
        <f t="shared" si="4"/>
        <v>2025</v>
      </c>
      <c r="G143" s="313">
        <f t="shared" si="5"/>
        <v>9</v>
      </c>
      <c r="H143" s="161">
        <v>45911</v>
      </c>
      <c r="I143" s="317">
        <v>0</v>
      </c>
      <c r="J143" s="5" t="s">
        <v>146</v>
      </c>
      <c r="K143" s="318" t="s">
        <v>413</v>
      </c>
    </row>
    <row r="144" spans="1:11">
      <c r="A144" s="97" t="s">
        <v>419</v>
      </c>
      <c r="B144" s="162"/>
      <c r="C144" s="162">
        <v>7371.02</v>
      </c>
      <c r="D144" s="4">
        <v>5200093853</v>
      </c>
      <c r="E144" s="319">
        <v>45930</v>
      </c>
      <c r="F144" s="315">
        <f t="shared" si="4"/>
        <v>2025</v>
      </c>
      <c r="G144" s="313">
        <f t="shared" si="5"/>
        <v>10</v>
      </c>
      <c r="H144" s="161">
        <v>45960</v>
      </c>
      <c r="I144" s="317">
        <v>0</v>
      </c>
      <c r="J144" s="5" t="s">
        <v>146</v>
      </c>
      <c r="K144" s="318" t="s">
        <v>417</v>
      </c>
    </row>
    <row r="145" spans="1:11">
      <c r="A145" s="97" t="s">
        <v>420</v>
      </c>
      <c r="B145" s="162"/>
      <c r="C145" s="162">
        <v>9419.5</v>
      </c>
      <c r="D145" s="4">
        <v>5200094602</v>
      </c>
      <c r="E145" s="319">
        <v>45957</v>
      </c>
      <c r="F145" s="315">
        <f t="shared" si="4"/>
        <v>2025</v>
      </c>
      <c r="G145" s="313">
        <f t="shared" si="5"/>
        <v>11</v>
      </c>
      <c r="H145" s="161">
        <v>45988</v>
      </c>
      <c r="I145" s="317">
        <v>0</v>
      </c>
      <c r="J145" s="5" t="s">
        <v>146</v>
      </c>
      <c r="K145" s="318"/>
    </row>
    <row r="146" spans="1:11">
      <c r="A146" s="97" t="s">
        <v>421</v>
      </c>
      <c r="B146" s="162"/>
      <c r="C146" s="162">
        <v>4892.45</v>
      </c>
      <c r="D146" s="4">
        <v>5200094778</v>
      </c>
      <c r="E146" s="319">
        <v>45958</v>
      </c>
      <c r="F146" s="315">
        <f t="shared" si="4"/>
        <v>2025</v>
      </c>
      <c r="G146" s="313">
        <f t="shared" si="5"/>
        <v>11</v>
      </c>
      <c r="H146" s="161">
        <v>45988</v>
      </c>
      <c r="I146" s="317">
        <v>0</v>
      </c>
      <c r="J146" s="5" t="s">
        <v>146</v>
      </c>
      <c r="K146" s="318"/>
    </row>
    <row r="147" spans="1:11">
      <c r="A147" s="97" t="s">
        <v>422</v>
      </c>
      <c r="B147" s="162"/>
      <c r="C147" s="162">
        <v>5675.5</v>
      </c>
      <c r="D147" s="4">
        <v>5200095880</v>
      </c>
      <c r="E147" s="319">
        <v>45990</v>
      </c>
      <c r="F147" s="315">
        <f t="shared" ref="F147:F148" si="6">YEAR(H147)</f>
        <v>2025</v>
      </c>
      <c r="G147" s="313">
        <f t="shared" ref="G147:G148" si="7">MONTH(H147)</f>
        <v>12</v>
      </c>
      <c r="H147" s="161">
        <v>46015</v>
      </c>
      <c r="I147" s="317">
        <v>0</v>
      </c>
      <c r="J147" s="5" t="s">
        <v>146</v>
      </c>
      <c r="K147" s="318" t="s">
        <v>423</v>
      </c>
    </row>
    <row r="148" spans="1:11">
      <c r="A148" s="97" t="s">
        <v>424</v>
      </c>
      <c r="B148" s="162"/>
      <c r="C148" s="162">
        <v>3021.78</v>
      </c>
      <c r="D148" s="4">
        <v>5200095885</v>
      </c>
      <c r="E148" s="319">
        <v>45990</v>
      </c>
      <c r="F148" s="315">
        <f t="shared" si="6"/>
        <v>2025</v>
      </c>
      <c r="G148" s="313">
        <f t="shared" si="7"/>
        <v>12</v>
      </c>
      <c r="H148" s="161">
        <v>46015</v>
      </c>
      <c r="I148" s="317">
        <v>0</v>
      </c>
      <c r="J148" s="5" t="s">
        <v>146</v>
      </c>
      <c r="K148" s="318" t="s">
        <v>423</v>
      </c>
    </row>
    <row r="149" spans="1:11">
      <c r="A149" s="97" t="s">
        <v>425</v>
      </c>
      <c r="B149" s="162"/>
      <c r="C149" s="162">
        <v>5935.5</v>
      </c>
      <c r="D149" s="4">
        <v>5200097072</v>
      </c>
      <c r="E149" s="319">
        <v>46020</v>
      </c>
      <c r="F149" s="315">
        <v>2026</v>
      </c>
      <c r="G149" s="313">
        <v>1</v>
      </c>
      <c r="H149" s="161">
        <v>46044</v>
      </c>
      <c r="I149" s="317">
        <v>0</v>
      </c>
      <c r="J149" s="5" t="s">
        <v>146</v>
      </c>
      <c r="K149" s="318" t="s">
        <v>426</v>
      </c>
    </row>
    <row r="150" spans="1:11">
      <c r="A150" s="97" t="s">
        <v>427</v>
      </c>
      <c r="B150" s="162"/>
      <c r="C150" s="162">
        <v>4942.47</v>
      </c>
      <c r="D150" s="4">
        <v>5200097162</v>
      </c>
      <c r="E150" s="319">
        <v>46014</v>
      </c>
      <c r="F150" s="315">
        <v>2026</v>
      </c>
      <c r="G150" s="313">
        <v>1</v>
      </c>
      <c r="H150" s="161">
        <v>46044</v>
      </c>
      <c r="I150" s="317">
        <v>0</v>
      </c>
      <c r="J150" s="5" t="s">
        <v>146</v>
      </c>
      <c r="K150" s="318" t="s">
        <v>426</v>
      </c>
    </row>
    <row r="151" spans="1:11">
      <c r="A151" s="97" t="s">
        <v>428</v>
      </c>
      <c r="B151" s="162"/>
      <c r="C151" s="162">
        <v>23296.5</v>
      </c>
      <c r="D151" s="4">
        <v>5200098538</v>
      </c>
      <c r="E151" s="319">
        <v>46052</v>
      </c>
      <c r="F151" s="315">
        <v>2026</v>
      </c>
      <c r="G151" s="313">
        <v>2</v>
      </c>
      <c r="H151" s="161">
        <v>46079</v>
      </c>
      <c r="I151" s="317">
        <v>0</v>
      </c>
      <c r="J151" s="5" t="s">
        <v>146</v>
      </c>
      <c r="K151" s="318" t="s">
        <v>429</v>
      </c>
    </row>
    <row r="152" spans="1:11">
      <c r="A152" s="97" t="s">
        <v>430</v>
      </c>
      <c r="B152" s="162"/>
      <c r="C152" s="162">
        <v>3223.4</v>
      </c>
      <c r="D152" s="4">
        <v>5200098613</v>
      </c>
      <c r="E152" s="319">
        <v>46055</v>
      </c>
      <c r="F152" s="315">
        <v>2026</v>
      </c>
      <c r="G152" s="313">
        <v>2</v>
      </c>
      <c r="H152" s="161">
        <v>46079</v>
      </c>
      <c r="I152" s="317">
        <v>0</v>
      </c>
      <c r="J152" s="5" t="s">
        <v>146</v>
      </c>
      <c r="K152" s="318" t="s">
        <v>429</v>
      </c>
    </row>
    <row r="153" spans="1:11">
      <c r="A153" s="97" t="s">
        <v>431</v>
      </c>
      <c r="B153" s="162"/>
      <c r="C153" s="162">
        <v>7677.5</v>
      </c>
      <c r="D153" s="4">
        <v>5200099630</v>
      </c>
      <c r="E153" s="319">
        <v>46080</v>
      </c>
      <c r="F153" s="315">
        <v>2026</v>
      </c>
      <c r="G153" s="313">
        <v>3</v>
      </c>
      <c r="H153" s="161">
        <v>46107</v>
      </c>
      <c r="I153" s="317">
        <v>0</v>
      </c>
      <c r="J153" s="5" t="s">
        <v>146</v>
      </c>
      <c r="K153" s="318" t="s">
        <v>432</v>
      </c>
    </row>
    <row r="154" spans="1:11">
      <c r="A154" s="97" t="s">
        <v>433</v>
      </c>
      <c r="B154" s="162"/>
      <c r="C154" s="162">
        <v>3926.49</v>
      </c>
      <c r="D154" s="4">
        <v>5200099562</v>
      </c>
      <c r="E154" s="319">
        <v>46079</v>
      </c>
      <c r="F154" s="315">
        <v>2026</v>
      </c>
      <c r="G154" s="313">
        <v>3</v>
      </c>
      <c r="H154" s="161">
        <v>46107</v>
      </c>
      <c r="I154" s="317">
        <v>0</v>
      </c>
      <c r="J154" s="5" t="s">
        <v>146</v>
      </c>
      <c r="K154" s="318" t="s">
        <v>432</v>
      </c>
    </row>
    <row r="155" spans="1:11">
      <c r="A155" s="97" t="s">
        <v>434</v>
      </c>
      <c r="B155" s="162"/>
      <c r="C155" s="162">
        <v>5667.3</v>
      </c>
      <c r="D155" s="4">
        <v>5200100787</v>
      </c>
      <c r="E155" s="319">
        <v>46108</v>
      </c>
      <c r="F155" s="315">
        <v>2026</v>
      </c>
      <c r="G155" s="313">
        <v>4</v>
      </c>
      <c r="H155" s="161">
        <v>46121</v>
      </c>
      <c r="I155" s="317">
        <v>0</v>
      </c>
      <c r="J155" s="5" t="s">
        <v>146</v>
      </c>
      <c r="K155" s="318" t="s">
        <v>435</v>
      </c>
    </row>
    <row r="156" spans="1:11">
      <c r="A156" s="97" t="s">
        <v>436</v>
      </c>
      <c r="B156" s="162"/>
      <c r="C156" s="162">
        <v>4236.96</v>
      </c>
      <c r="D156" s="4">
        <v>5200100650</v>
      </c>
      <c r="E156" s="319">
        <v>46105</v>
      </c>
      <c r="F156" s="315">
        <v>2026</v>
      </c>
      <c r="G156" s="313">
        <v>4</v>
      </c>
      <c r="H156" s="161">
        <v>46121</v>
      </c>
      <c r="I156" s="317">
        <v>0</v>
      </c>
      <c r="J156" s="5" t="s">
        <v>146</v>
      </c>
      <c r="K156" s="318" t="s">
        <v>435</v>
      </c>
    </row>
    <row r="157" spans="1:11">
      <c r="A157" s="97" t="s">
        <v>437</v>
      </c>
      <c r="B157" s="162"/>
      <c r="C157" s="162">
        <v>2000</v>
      </c>
      <c r="D157" s="4">
        <v>5200102042</v>
      </c>
      <c r="E157" s="319">
        <v>46141</v>
      </c>
      <c r="F157" s="315">
        <v>2026</v>
      </c>
      <c r="G157" s="313">
        <v>5</v>
      </c>
      <c r="H157" s="161">
        <v>46163</v>
      </c>
      <c r="I157" s="317">
        <v>0</v>
      </c>
      <c r="J157" s="5" t="s">
        <v>146</v>
      </c>
      <c r="K157" s="318" t="s">
        <v>438</v>
      </c>
    </row>
    <row r="158" spans="1:11">
      <c r="A158" s="97" t="s">
        <v>439</v>
      </c>
      <c r="B158" s="162"/>
      <c r="C158" s="162">
        <v>2075</v>
      </c>
      <c r="D158" s="4">
        <v>5200102254</v>
      </c>
      <c r="E158" s="319">
        <v>46142</v>
      </c>
      <c r="F158" s="315">
        <v>2026</v>
      </c>
      <c r="G158" s="313">
        <v>5</v>
      </c>
      <c r="H158" s="161">
        <v>46163</v>
      </c>
      <c r="I158" s="317">
        <v>0</v>
      </c>
      <c r="J158" s="5" t="s">
        <v>146</v>
      </c>
      <c r="K158" s="318" t="s">
        <v>438</v>
      </c>
    </row>
    <row r="159" spans="1:11">
      <c r="A159" s="97" t="s">
        <v>440</v>
      </c>
      <c r="B159" s="162"/>
      <c r="C159" s="162">
        <v>5944.4</v>
      </c>
      <c r="D159" s="4">
        <v>5200101636</v>
      </c>
      <c r="E159" s="319">
        <v>46133</v>
      </c>
      <c r="F159" s="315">
        <v>2026</v>
      </c>
      <c r="G159" s="313">
        <v>5</v>
      </c>
      <c r="H159" s="161">
        <v>46163</v>
      </c>
      <c r="I159" s="317">
        <v>0</v>
      </c>
      <c r="J159" s="5" t="s">
        <v>146</v>
      </c>
      <c r="K159" s="318" t="s">
        <v>441</v>
      </c>
    </row>
    <row r="160" spans="1:11">
      <c r="A160" s="97" t="s">
        <v>442</v>
      </c>
      <c r="B160" s="162"/>
      <c r="C160" s="162">
        <v>4291.66</v>
      </c>
      <c r="D160" s="4">
        <v>5200102384</v>
      </c>
      <c r="E160" s="319">
        <v>46148</v>
      </c>
      <c r="F160" s="315">
        <v>2026</v>
      </c>
      <c r="G160" s="313">
        <v>5</v>
      </c>
      <c r="H160" s="161">
        <v>46163</v>
      </c>
      <c r="I160" s="317">
        <v>0</v>
      </c>
      <c r="J160" s="5" t="s">
        <v>146</v>
      </c>
      <c r="K160" s="318" t="s">
        <v>441</v>
      </c>
    </row>
    <row r="161" spans="1:11">
      <c r="A161" s="97" t="s">
        <v>443</v>
      </c>
      <c r="B161" s="162"/>
      <c r="C161" s="162">
        <v>1840.8</v>
      </c>
      <c r="D161" s="4">
        <v>5200103157</v>
      </c>
      <c r="E161" s="319">
        <v>46170</v>
      </c>
      <c r="F161" s="315">
        <v>2026</v>
      </c>
      <c r="G161" s="313">
        <v>7</v>
      </c>
      <c r="H161" s="161">
        <v>46212</v>
      </c>
      <c r="I161" s="317">
        <v>0</v>
      </c>
      <c r="J161" s="5" t="s">
        <v>146</v>
      </c>
      <c r="K161" s="318" t="s">
        <v>444</v>
      </c>
    </row>
    <row r="162" spans="1:11">
      <c r="A162" s="97" t="s">
        <v>445</v>
      </c>
      <c r="B162" s="162"/>
      <c r="C162" s="162">
        <v>3811.97</v>
      </c>
      <c r="D162" s="4">
        <v>5200102957</v>
      </c>
      <c r="E162" s="319">
        <v>46168</v>
      </c>
      <c r="F162" s="315">
        <v>2026</v>
      </c>
      <c r="G162" s="313">
        <v>6</v>
      </c>
      <c r="H162" s="161">
        <v>46191</v>
      </c>
      <c r="I162" s="317">
        <v>0</v>
      </c>
      <c r="J162" s="5" t="s">
        <v>146</v>
      </c>
      <c r="K162" s="318" t="s">
        <v>319</v>
      </c>
    </row>
    <row r="163" spans="1:11">
      <c r="A163" s="97" t="s">
        <v>446</v>
      </c>
      <c r="B163" s="162"/>
      <c r="C163" s="162">
        <v>500</v>
      </c>
      <c r="D163" s="4">
        <v>5200103033</v>
      </c>
      <c r="E163" s="319">
        <v>46168</v>
      </c>
      <c r="F163" s="315">
        <v>2026</v>
      </c>
      <c r="G163" s="313">
        <v>7</v>
      </c>
      <c r="H163" s="161">
        <v>46212</v>
      </c>
      <c r="I163" s="317">
        <v>0</v>
      </c>
      <c r="J163" s="5" t="s">
        <v>146</v>
      </c>
      <c r="K163" s="318" t="s">
        <v>444</v>
      </c>
    </row>
    <row r="164" spans="1:11">
      <c r="A164" s="97" t="s">
        <v>743</v>
      </c>
      <c r="B164" s="162"/>
      <c r="C164" s="162">
        <v>10151.4</v>
      </c>
      <c r="D164" s="4">
        <v>5200104377</v>
      </c>
      <c r="E164" s="319">
        <v>46225</v>
      </c>
      <c r="F164" s="315">
        <v>2026</v>
      </c>
      <c r="G164" s="313">
        <v>8</v>
      </c>
      <c r="H164" s="161"/>
      <c r="I164" s="317">
        <v>0</v>
      </c>
      <c r="J164" s="5"/>
      <c r="K164" s="318"/>
    </row>
    <row r="165" spans="1:11">
      <c r="A165" s="97" t="s">
        <v>739</v>
      </c>
      <c r="B165" s="162"/>
      <c r="C165" s="162">
        <v>500</v>
      </c>
      <c r="D165" s="4">
        <v>5200104078</v>
      </c>
      <c r="E165" s="319">
        <v>46190</v>
      </c>
      <c r="F165" s="315">
        <v>2026</v>
      </c>
      <c r="G165" s="313">
        <v>7</v>
      </c>
      <c r="H165" s="161">
        <v>46226</v>
      </c>
      <c r="I165" s="317">
        <v>0</v>
      </c>
      <c r="J165" s="5" t="s">
        <v>146</v>
      </c>
      <c r="K165" s="318" t="s">
        <v>447</v>
      </c>
    </row>
    <row r="166" spans="1:11">
      <c r="A166" s="97" t="s">
        <v>740</v>
      </c>
      <c r="B166" s="162"/>
      <c r="C166" s="162">
        <v>3156.14</v>
      </c>
      <c r="D166" s="4">
        <v>5200104883</v>
      </c>
      <c r="E166" s="319">
        <v>46213</v>
      </c>
      <c r="F166" s="315">
        <v>2026</v>
      </c>
      <c r="G166" s="313">
        <v>8</v>
      </c>
      <c r="H166" s="161"/>
      <c r="I166" s="317">
        <v>0</v>
      </c>
      <c r="J166" s="5"/>
      <c r="K166" s="318"/>
    </row>
    <row r="167" spans="1:11">
      <c r="A167" s="97"/>
      <c r="B167" s="162"/>
      <c r="C167" s="162"/>
      <c r="D167" s="4"/>
      <c r="E167" s="319"/>
      <c r="F167" s="315"/>
      <c r="G167" s="313"/>
      <c r="H167" s="161"/>
      <c r="I167" s="317"/>
      <c r="J167" s="5"/>
      <c r="K167" s="318"/>
    </row>
    <row r="168" spans="1:11">
      <c r="A168" s="97"/>
      <c r="B168" s="162"/>
      <c r="C168" s="162"/>
      <c r="D168" s="4"/>
      <c r="E168" s="319"/>
      <c r="F168" s="315"/>
      <c r="G168" s="313"/>
      <c r="H168" s="161"/>
      <c r="I168" s="317"/>
      <c r="J168" s="5"/>
      <c r="K168" s="318"/>
    </row>
    <row r="169" spans="1:11">
      <c r="A169" s="97"/>
      <c r="B169" s="162"/>
      <c r="C169" s="162"/>
      <c r="D169" s="4"/>
      <c r="E169" s="319"/>
      <c r="F169" s="315"/>
      <c r="G169" s="313"/>
      <c r="H169" s="161"/>
      <c r="I169" s="317"/>
      <c r="J169" s="5"/>
      <c r="K169" s="318"/>
    </row>
    <row r="170" spans="1:11">
      <c r="A170" s="97"/>
      <c r="B170" s="162"/>
      <c r="C170" s="162"/>
      <c r="D170" s="4"/>
      <c r="E170" s="319"/>
      <c r="F170" s="315"/>
      <c r="G170" s="313"/>
      <c r="H170" s="161"/>
      <c r="I170" s="317"/>
      <c r="J170" s="5"/>
      <c r="K170" s="318"/>
    </row>
    <row r="171" spans="1:11">
      <c r="A171" s="97"/>
      <c r="B171" s="162"/>
      <c r="C171" s="162"/>
      <c r="D171" s="4"/>
      <c r="E171" s="319"/>
      <c r="F171" s="315"/>
      <c r="G171" s="313"/>
      <c r="H171" s="161"/>
      <c r="I171" s="317"/>
      <c r="J171" s="5"/>
      <c r="K171" s="318"/>
    </row>
    <row r="172" spans="1:11">
      <c r="A172" s="97"/>
      <c r="B172" s="162"/>
      <c r="C172" s="162"/>
      <c r="D172" s="4"/>
      <c r="E172" s="319"/>
      <c r="F172" s="315"/>
      <c r="G172" s="313"/>
      <c r="H172" s="161"/>
      <c r="I172" s="317"/>
      <c r="J172" s="5"/>
      <c r="K172" s="318"/>
    </row>
    <row r="173" spans="1:11">
      <c r="A173" s="97"/>
      <c r="B173" s="162"/>
      <c r="C173" s="162"/>
      <c r="D173" s="4"/>
      <c r="E173" s="319"/>
      <c r="F173" s="315"/>
      <c r="G173" s="313"/>
      <c r="H173" s="161"/>
      <c r="I173" s="317"/>
      <c r="J173" s="5"/>
      <c r="K173" s="318"/>
    </row>
    <row r="174" spans="1:11">
      <c r="A174" s="97"/>
      <c r="B174" s="162"/>
      <c r="C174" s="162"/>
      <c r="D174" s="4"/>
      <c r="E174" s="319"/>
      <c r="F174" s="315"/>
      <c r="G174" s="313"/>
      <c r="H174" s="161"/>
      <c r="I174" s="317"/>
      <c r="J174" s="5"/>
      <c r="K174" s="318"/>
    </row>
    <row r="175" spans="1:11">
      <c r="A175" s="97"/>
      <c r="B175" s="162"/>
      <c r="C175" s="162"/>
      <c r="D175" s="4"/>
      <c r="E175" s="319"/>
      <c r="F175" s="315"/>
      <c r="G175" s="313"/>
      <c r="H175" s="161"/>
      <c r="I175" s="317"/>
      <c r="J175" s="5"/>
      <c r="K175" s="318"/>
    </row>
    <row r="176" spans="1:11">
      <c r="A176" s="97"/>
      <c r="B176" s="162"/>
      <c r="C176" s="162"/>
      <c r="D176" s="4"/>
      <c r="E176" s="319"/>
      <c r="F176" s="315"/>
      <c r="G176" s="313"/>
      <c r="H176" s="161"/>
      <c r="I176" s="317"/>
      <c r="J176" s="5"/>
      <c r="K176" s="318"/>
    </row>
    <row r="177" spans="1:11">
      <c r="A177" s="97"/>
      <c r="B177" s="162"/>
      <c r="C177" s="162"/>
      <c r="D177" s="4"/>
      <c r="E177" s="319"/>
      <c r="F177" s="315"/>
      <c r="G177" s="313"/>
      <c r="H177" s="161"/>
      <c r="I177" s="317"/>
      <c r="J177" s="5"/>
      <c r="K177" s="318"/>
    </row>
    <row r="178" spans="1:11">
      <c r="A178" s="97"/>
      <c r="B178" s="162"/>
      <c r="C178" s="162"/>
      <c r="D178" s="4"/>
      <c r="E178" s="319"/>
      <c r="F178" s="315"/>
      <c r="G178" s="313"/>
      <c r="H178" s="161"/>
      <c r="I178" s="317"/>
      <c r="J178" s="5"/>
      <c r="K178" s="318"/>
    </row>
    <row r="179" spans="1:11">
      <c r="A179" s="97"/>
      <c r="B179" s="162"/>
      <c r="C179" s="162"/>
      <c r="D179" s="4"/>
      <c r="E179" s="319"/>
      <c r="F179" s="315"/>
      <c r="G179" s="313"/>
      <c r="H179" s="161"/>
      <c r="I179" s="317"/>
      <c r="J179" s="5"/>
      <c r="K179" s="318"/>
    </row>
    <row r="180" spans="1:11">
      <c r="A180" s="97"/>
      <c r="B180" s="162"/>
      <c r="C180" s="162"/>
      <c r="D180" s="4"/>
      <c r="E180" s="319"/>
      <c r="F180" s="315"/>
      <c r="G180" s="313"/>
      <c r="H180" s="161"/>
      <c r="I180" s="317"/>
      <c r="J180" s="5"/>
      <c r="K180" s="318"/>
    </row>
    <row r="181" spans="1:11">
      <c r="A181" s="97"/>
      <c r="B181" s="162"/>
      <c r="C181" s="162"/>
      <c r="D181" s="4"/>
      <c r="E181" s="319"/>
      <c r="F181" s="315"/>
      <c r="G181" s="313"/>
      <c r="H181" s="161"/>
      <c r="I181" s="317"/>
      <c r="J181" s="5"/>
      <c r="K181" s="318"/>
    </row>
    <row r="182" spans="1:11">
      <c r="A182" s="97"/>
      <c r="B182" s="162"/>
      <c r="C182" s="162"/>
      <c r="D182" s="4"/>
      <c r="E182" s="319"/>
      <c r="F182" s="315"/>
      <c r="G182" s="313"/>
      <c r="H182" s="161"/>
      <c r="I182" s="317"/>
      <c r="J182" s="5"/>
      <c r="K182" s="318"/>
    </row>
    <row r="183" spans="1:11">
      <c r="A183" s="97"/>
      <c r="B183" s="162"/>
      <c r="C183" s="162"/>
      <c r="D183" s="4"/>
      <c r="E183" s="319"/>
      <c r="F183" s="315"/>
      <c r="G183" s="313"/>
      <c r="H183" s="161"/>
      <c r="I183" s="317"/>
      <c r="J183" s="5"/>
      <c r="K183" s="318"/>
    </row>
    <row r="184" spans="1:11">
      <c r="A184" s="97"/>
      <c r="B184" s="162"/>
      <c r="C184" s="162"/>
      <c r="D184" s="4"/>
      <c r="E184" s="319"/>
      <c r="F184" s="315"/>
      <c r="G184" s="313"/>
      <c r="H184" s="161"/>
      <c r="I184" s="317"/>
      <c r="J184" s="5"/>
      <c r="K184" s="318"/>
    </row>
    <row r="185" spans="1:11">
      <c r="A185" s="97"/>
      <c r="B185" s="162"/>
      <c r="C185" s="162"/>
      <c r="D185" s="4"/>
      <c r="E185" s="319"/>
      <c r="F185" s="315"/>
      <c r="G185" s="313"/>
      <c r="H185" s="161"/>
      <c r="I185" s="317"/>
      <c r="J185" s="5"/>
      <c r="K185" s="318"/>
    </row>
    <row r="186" spans="1:11">
      <c r="A186" s="97"/>
      <c r="B186" s="162"/>
      <c r="C186" s="162"/>
      <c r="D186" s="4"/>
      <c r="E186" s="319"/>
      <c r="F186" s="315"/>
      <c r="G186" s="313"/>
      <c r="H186" s="161"/>
      <c r="I186" s="317"/>
      <c r="J186" s="5"/>
      <c r="K186" s="318"/>
    </row>
    <row r="187" spans="1:11">
      <c r="A187" s="97"/>
      <c r="B187" s="162"/>
      <c r="C187" s="162"/>
      <c r="D187" s="4"/>
      <c r="E187" s="319"/>
      <c r="F187" s="315"/>
      <c r="G187" s="313"/>
      <c r="H187" s="161"/>
      <c r="I187" s="317"/>
      <c r="J187" s="5"/>
      <c r="K187" s="318"/>
    </row>
    <row r="188" spans="1:11">
      <c r="A188" s="97"/>
      <c r="B188" s="162"/>
      <c r="C188" s="162"/>
      <c r="D188" s="4"/>
      <c r="E188" s="319"/>
      <c r="F188" s="315"/>
      <c r="G188" s="313"/>
      <c r="H188" s="161"/>
      <c r="I188" s="317"/>
      <c r="J188" s="5"/>
      <c r="K188" s="318"/>
    </row>
    <row r="189" spans="1:11">
      <c r="A189" s="97"/>
      <c r="B189" s="162"/>
      <c r="C189" s="162"/>
      <c r="D189" s="4"/>
      <c r="E189" s="319"/>
      <c r="F189" s="315"/>
      <c r="G189" s="313"/>
      <c r="H189" s="161"/>
      <c r="I189" s="317"/>
      <c r="J189" s="5"/>
      <c r="K189" s="318"/>
    </row>
    <row r="190" spans="1:11">
      <c r="A190" s="97"/>
      <c r="B190" s="162"/>
      <c r="C190" s="162"/>
      <c r="D190" s="4"/>
      <c r="E190" s="319"/>
      <c r="F190" s="315"/>
      <c r="G190" s="313"/>
      <c r="H190" s="161"/>
      <c r="I190" s="317"/>
      <c r="J190" s="5"/>
      <c r="K190" s="318"/>
    </row>
    <row r="191" spans="1:11">
      <c r="A191" s="97"/>
      <c r="B191" s="162"/>
      <c r="C191" s="162"/>
      <c r="D191" s="4"/>
      <c r="E191" s="319"/>
      <c r="F191" s="315"/>
      <c r="G191" s="313"/>
      <c r="H191" s="161"/>
      <c r="I191" s="317"/>
      <c r="J191" s="5"/>
      <c r="K191" s="318"/>
    </row>
    <row r="192" spans="1:11">
      <c r="A192" s="97"/>
      <c r="B192" s="162"/>
      <c r="C192" s="162"/>
      <c r="D192" s="4"/>
      <c r="E192" s="319"/>
      <c r="F192" s="315"/>
      <c r="G192" s="313"/>
      <c r="H192" s="161"/>
      <c r="I192" s="317"/>
      <c r="J192" s="5"/>
      <c r="K192" s="318"/>
    </row>
    <row r="193" spans="1:11">
      <c r="A193" s="323" t="s">
        <v>129</v>
      </c>
      <c r="B193" s="324">
        <f>219669+2770+212042+26486+208036+6048+14129+9897+7782</f>
        <v>706859</v>
      </c>
      <c r="C193" s="324">
        <f>SUM(C40:C192)</f>
        <v>595205.93000000028</v>
      </c>
      <c r="D193" s="325"/>
      <c r="E193" s="325"/>
      <c r="F193" s="326"/>
      <c r="G193" s="325"/>
      <c r="H193" s="327"/>
      <c r="I193" s="328"/>
      <c r="J193" s="330"/>
      <c r="K193" s="33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8916F-A187-4BB9-8407-B141DD6C25B2}">
  <sheetPr>
    <tabColor theme="4" tint="0.79998168889431442"/>
  </sheetPr>
  <dimension ref="A1:R76"/>
  <sheetViews>
    <sheetView tabSelected="1" workbookViewId="0">
      <selection activeCell="M56" sqref="M56"/>
    </sheetView>
  </sheetViews>
  <sheetFormatPr defaultColWidth="8.69921875" defaultRowHeight="13.2"/>
  <cols>
    <col min="1" max="1" width="58.5" style="6" bestFit="1" customWidth="1"/>
    <col min="2" max="2" width="17.09765625" style="6" customWidth="1"/>
    <col min="3" max="3" width="18.09765625" style="6" customWidth="1"/>
    <col min="4" max="4" width="18.5" style="6" customWidth="1"/>
    <col min="5" max="5" width="16.8984375" style="6" customWidth="1"/>
    <col min="6" max="6" width="15.69921875" style="6" customWidth="1"/>
    <col min="7" max="7" width="11.19921875" style="6" customWidth="1"/>
    <col min="8" max="8" width="13.59765625" style="6" customWidth="1"/>
    <col min="9" max="9" width="16.69921875" style="6" bestFit="1" customWidth="1"/>
    <col min="10" max="10" width="14.69921875" style="6" customWidth="1"/>
    <col min="11" max="11" width="16.59765625" style="6" customWidth="1"/>
    <col min="12" max="12" width="16" style="6" customWidth="1"/>
    <col min="13" max="13" width="18.19921875" style="6" customWidth="1"/>
    <col min="14" max="16384" width="8.69921875" style="6"/>
  </cols>
  <sheetData>
    <row r="1" spans="1:18">
      <c r="A1" s="47" t="s">
        <v>448</v>
      </c>
      <c r="B1" s="51"/>
      <c r="C1" s="51"/>
      <c r="D1" s="13"/>
      <c r="E1" s="48"/>
      <c r="G1" s="54"/>
      <c r="H1" s="54"/>
    </row>
    <row r="2" spans="1:18">
      <c r="A2" s="16"/>
      <c r="B2" s="46" t="s">
        <v>47</v>
      </c>
      <c r="C2" s="46" t="s">
        <v>449</v>
      </c>
      <c r="D2" s="17" t="s">
        <v>49</v>
      </c>
      <c r="E2" s="46" t="s">
        <v>50</v>
      </c>
      <c r="G2" s="54"/>
      <c r="H2" s="54"/>
    </row>
    <row r="3" spans="1:18">
      <c r="A3" s="1"/>
      <c r="B3" s="52"/>
      <c r="C3" s="52"/>
      <c r="D3" s="49"/>
      <c r="E3" s="49"/>
      <c r="G3" s="54"/>
      <c r="H3" s="54"/>
    </row>
    <row r="4" spans="1:18">
      <c r="A4" s="50" t="s">
        <v>1</v>
      </c>
      <c r="B4" s="53"/>
      <c r="C4" s="53"/>
      <c r="D4" s="11" t="s">
        <v>2</v>
      </c>
      <c r="E4" s="308">
        <f ca="1">TODAY()</f>
        <v>46226</v>
      </c>
      <c r="G4" s="54"/>
      <c r="H4" s="54"/>
      <c r="Q4" s="55"/>
      <c r="R4" s="56"/>
    </row>
    <row r="5" spans="1:18">
      <c r="A5" s="1"/>
      <c r="B5" s="52"/>
      <c r="C5" s="52"/>
      <c r="D5" s="123"/>
      <c r="G5" s="54"/>
      <c r="H5" s="54"/>
      <c r="Q5" s="55"/>
      <c r="R5" s="56"/>
    </row>
    <row r="6" spans="1:18" ht="13.8" thickBot="1">
      <c r="A6" s="1" t="s">
        <v>263</v>
      </c>
      <c r="B6" s="52"/>
      <c r="C6" s="52"/>
      <c r="D6" s="123"/>
      <c r="G6" s="54"/>
      <c r="H6" s="54"/>
      <c r="Q6" s="55"/>
      <c r="R6" s="56"/>
    </row>
    <row r="7" spans="1:18">
      <c r="A7" s="125" t="s">
        <v>52</v>
      </c>
      <c r="B7" s="332" t="s">
        <v>450</v>
      </c>
      <c r="C7" s="59" t="s">
        <v>26</v>
      </c>
    </row>
    <row r="8" spans="1:18">
      <c r="A8" s="124" t="s">
        <v>54</v>
      </c>
      <c r="B8" s="333">
        <f>B76</f>
        <v>249693702</v>
      </c>
      <c r="C8" s="129"/>
    </row>
    <row r="9" spans="1:18">
      <c r="A9" s="131" t="s">
        <v>24</v>
      </c>
      <c r="B9" s="334">
        <f>C14+C19+C24</f>
        <v>82331344</v>
      </c>
      <c r="C9" s="133">
        <f>B9/B8</f>
        <v>0.32972935777130652</v>
      </c>
    </row>
    <row r="10" spans="1:18" ht="13.8" thickBot="1">
      <c r="A10" s="126" t="s">
        <v>25</v>
      </c>
      <c r="B10" s="335">
        <f>B8-B9</f>
        <v>167362358</v>
      </c>
      <c r="C10" s="130">
        <f>B10/B8</f>
        <v>0.67027064222869348</v>
      </c>
      <c r="E10" s="167"/>
    </row>
    <row r="12" spans="1:18">
      <c r="A12" s="1" t="s">
        <v>264</v>
      </c>
    </row>
    <row r="13" spans="1:18">
      <c r="I13" s="54"/>
      <c r="Q13" s="55"/>
      <c r="R13" s="56"/>
    </row>
    <row r="14" spans="1:18" s="149" customFormat="1">
      <c r="A14" s="153">
        <v>2025</v>
      </c>
      <c r="B14" s="159">
        <f>SUM(A16:L16)</f>
        <v>0</v>
      </c>
      <c r="C14" s="160">
        <f>SUM(A17:L17)</f>
        <v>15142569</v>
      </c>
      <c r="I14" s="158"/>
      <c r="Q14" s="150"/>
      <c r="R14" s="150"/>
    </row>
    <row r="15" spans="1:18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>
      <c r="A16" s="310">
        <f>SUMIFS($C$31:$C$76,$F$31:$F$76,2025,$G$31:$G$76,1,$L$31:$L$76,"Y")</f>
        <v>0</v>
      </c>
      <c r="B16" s="310">
        <f>SUMIFS($C$31:$C$76,$F$31:$F$76,2025,$G$31:$G$76,2,$L$31:$L$76,"Y")</f>
        <v>0</v>
      </c>
      <c r="C16" s="310">
        <f>SUMIFS($C$31:$C$76,$F$31:$F$76,2025,$G$31:$G$76,3,$L$31:$L$76,"Y")</f>
        <v>0</v>
      </c>
      <c r="D16" s="310">
        <f>SUMIFS($C$31:$C$76,$F$31:$F$76,2025,$G$31:$G$76,4,$L$31:$L$76,"Y")</f>
        <v>0</v>
      </c>
      <c r="E16" s="310">
        <f>SUMIFS($C$31:$C$76,$F$31:$F$76,2025,$G$31:$G$76,5,$L$31:$L$76,"Y")</f>
        <v>0</v>
      </c>
      <c r="F16" s="310">
        <f>SUMIFS($C$31:$C$76,$F$31:$F$76,2025,$G$31:$G$76,6,$L$31:$L$76,"Y")</f>
        <v>0</v>
      </c>
      <c r="G16" s="310">
        <f>SUMIFS($C$31:$C$76,$F$31:$F$76,2025,$G$31:$G$76,7,$L$31:$L$76,"Y")</f>
        <v>0</v>
      </c>
      <c r="H16" s="310">
        <f>SUMIFS($C$31:$C$76,$F$31:$F$76,2025,$G$31:$G$76,8,$L$31:$L$76,"Y")</f>
        <v>0</v>
      </c>
      <c r="I16" s="310">
        <f>SUMIFS($C$31:$C$76,$F$31:$F$76,2025,$G$31:$G$76,9,$L$31:$L$76,"Y")</f>
        <v>0</v>
      </c>
      <c r="J16" s="310">
        <f>SUMIFS($C$31:$C$76,$F$31:$F$76,2025,$G$31:$G$76,10,$L$31:$L$76,"Y")</f>
        <v>0</v>
      </c>
      <c r="K16" s="310">
        <f>SUMIFS($C$31:$C$76,$F$31:$F$76,2025,$G$31:$G$76,11,$L$31:$L$76,"Y")</f>
        <v>0</v>
      </c>
      <c r="L16" s="310">
        <f>SUMIFS($C$31:$C$76,$F$31:$F$76,2025,$G$31:$G$76,12,$L$31:$L$76,"Y")</f>
        <v>0</v>
      </c>
      <c r="Q16" s="55"/>
      <c r="R16" s="56"/>
    </row>
    <row r="17" spans="1:18">
      <c r="A17" s="311">
        <f>SUMIFS($I$31:$I$76,$F$31:$F$76,2025,$G$31:$G$76,1,$L$31:$L$76,"Y")</f>
        <v>0</v>
      </c>
      <c r="B17" s="311">
        <f>SUMIFS($I$31:$I$76,$F$31:$F$76,2025,$G$31:$G$76,2,$L$31:$L$76,"Y")</f>
        <v>0</v>
      </c>
      <c r="C17" s="311">
        <f>SUMIFS($I$31:$I$76,$F$31:$F$76,2025,$G$31:$G$76,3,$L$31:$L$76,"Y")</f>
        <v>0</v>
      </c>
      <c r="D17" s="311">
        <f>SUMIFS($I$31:$I$76,$F$31:$F$76,2025,$G$31:$G$76,4,$L$31:$L$76,"Y")</f>
        <v>0</v>
      </c>
      <c r="E17" s="311">
        <f>SUMIFS($I$31:$I$76,$F$31:$F$76,2025,$G$31:$G$76,5,$L$31:$L$76,"Y")</f>
        <v>0</v>
      </c>
      <c r="F17" s="311">
        <f>SUMIFS($I$31:$I$76,$F$31:$F$76,2025,$G$31:$G$76,6,$L$31:$L$76,"Y")</f>
        <v>0</v>
      </c>
      <c r="G17" s="311">
        <f>SUMIFS($I$31:$I$76,$F$31:$F$76,2025,$G$31:$G$76,7,$L$31:$L$76,"Y")</f>
        <v>0</v>
      </c>
      <c r="H17" s="311">
        <f>SUMIFS($I$31:$I$76,$F$31:$F$76,2025,$G$31:$G$76,8,$L$31:$L$76,"Y")</f>
        <v>0</v>
      </c>
      <c r="I17" s="311">
        <f>SUMIFS($I$31:$I$76,$F$31:$F$76,2025,$G$31:$G$76,9,$L$31:$L$76,"Y")</f>
        <v>4838959</v>
      </c>
      <c r="J17" s="311">
        <f>SUMIFS($I$31:$I$76,$F$31:$F$76,2025,$G$31:$G$76,10,$L$31:$L$76,"Y")</f>
        <v>3344264</v>
      </c>
      <c r="K17" s="311">
        <f>SUMIFS($I$31:$I$76,$F$31:$F$76,2025,$G$31:$G$76,11,$L$31:$L$76,"Y")</f>
        <v>3663082</v>
      </c>
      <c r="L17" s="311">
        <f>SUMIFS($I$31:$I$76,$F$31:$F$76,2025,$G$31:$G$76,12,$L$31:$L$76,"Y")</f>
        <v>3296264</v>
      </c>
      <c r="Q17" s="55"/>
      <c r="R17" s="56"/>
    </row>
    <row r="18" spans="1:18">
      <c r="I18" s="54"/>
      <c r="Q18" s="55"/>
      <c r="R18" s="56"/>
    </row>
    <row r="19" spans="1:18" s="149" customFormat="1">
      <c r="A19" s="153">
        <v>2026</v>
      </c>
      <c r="B19" s="159">
        <f>SUM(A21:L21)</f>
        <v>0</v>
      </c>
      <c r="C19" s="160">
        <f>SUM(A22:L22)</f>
        <v>67188775</v>
      </c>
      <c r="I19" s="158"/>
      <c r="Q19" s="150"/>
      <c r="R19" s="150"/>
    </row>
    <row r="20" spans="1:18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>
      <c r="A21" s="310">
        <f>SUMIFS($C$31:$C$76,$F$31:$F$76,2026,$G$31:$G$76,1,$L$31:$L$76,"Y")</f>
        <v>0</v>
      </c>
      <c r="B21" s="310">
        <f>SUMIFS($C$31:$C$76,$F$31:$F$76,2026,$G$31:$G$76,2,$L$31:$L$76,"Y")</f>
        <v>0</v>
      </c>
      <c r="C21" s="310">
        <f>SUMIFS($C$31:$C$76,$F$31:$F$76,2026,$G$31:$G$76,3,$L$31:$L$76,"Y")</f>
        <v>0</v>
      </c>
      <c r="D21" s="310">
        <f>SUMIFS($C$31:$C$76,$F$31:$F$76,2026,$G$31:$G$76,4,$L$31:$L$76,"Y")</f>
        <v>0</v>
      </c>
      <c r="E21" s="310">
        <f>SUMIFS($C$31:$C$76,$F$31:$F$76,2026,$G$31:$G$76,5,$L$31:$L$76,"Y")</f>
        <v>0</v>
      </c>
      <c r="F21" s="310">
        <f>SUMIFS($C$31:$C$76,$F$31:$F$76,2026,$G$31:$G$76,6,$L$31:$L$76,"Y")</f>
        <v>0</v>
      </c>
      <c r="G21" s="310">
        <f>SUMIFS($C$31:$C$76,$F$31:$F$76,2026,$G$31:$G$76,7,$L$31:$L$76,"Y")</f>
        <v>0</v>
      </c>
      <c r="H21" s="310">
        <f>SUMIFS($C$31:$C$76,$F$31:$F$76,2026,$G$31:$G$76,8,$L$31:$L$76,"Y")</f>
        <v>0</v>
      </c>
      <c r="I21" s="310">
        <f>SUMIFS($C$31:$C$76,$F$31:$F$76,2026,$G$31:$G$76,9,$L$31:$L$76,"Y")</f>
        <v>0</v>
      </c>
      <c r="J21" s="310">
        <f>SUMIFS($C$31:$C$76,$F$31:$F$76,2026,$G$31:$G$76,10,$L$31:$L$76,"Y")</f>
        <v>0</v>
      </c>
      <c r="K21" s="310">
        <f>SUMIFS($C$31:$C$76,$F$31:$F$76,2026,$G$31:$G$76,11,$L$31:$L$76,"Y")</f>
        <v>0</v>
      </c>
      <c r="L21" s="310">
        <f>SUMIFS($C$31:$C$76,$F$31:$F$76,2026,$G$31:$G$76,12,$L$31:$L$76,"Y")</f>
        <v>0</v>
      </c>
      <c r="Q21" s="55"/>
      <c r="R21" s="56"/>
    </row>
    <row r="22" spans="1:18">
      <c r="A22" s="311">
        <f>SUMIFS($I$31:$I$76,$F$31:$F$76,2026,$G$31:$G$76,1,$L$31:$L$76,"Y")</f>
        <v>30552133</v>
      </c>
      <c r="B22" s="311">
        <f>SUMIFS($I$31:$I$76,$F$31:$F$76,2026,$G$31:$G$76,2,$L$31:$L$76,"Y")</f>
        <v>2499191</v>
      </c>
      <c r="C22" s="311">
        <f>SUMIFS($I$31:$I$76,$F$31:$F$76,2026,$G$31:$G$76,3,$L$31:$L$76,"Y")</f>
        <v>14479210</v>
      </c>
      <c r="D22" s="311">
        <f>SUMIFS($I$31:$I$76,$F$31:$F$76,2026,$G$31:$G$76,4,$L$31:$L$76,"Y")</f>
        <v>5197074</v>
      </c>
      <c r="E22" s="311">
        <f>SUMIFS($I$31:$I$76,$F$31:$F$76,2026,$G$31:$G$76,5,$L$31:$L$76,"Y")</f>
        <v>4006625</v>
      </c>
      <c r="F22" s="311">
        <f>SUMIFS($I$31:$I$76,$F$31:$F$76,2026,$G$31:$G$76,6,$L$31:$L$76,"Y")</f>
        <v>4954690</v>
      </c>
      <c r="G22" s="311">
        <f>SUMIFS($I$31:$I$76,$F$31:$F$76,2026,$G$31:$G$76,7,$L$31:$L$76,"Y")</f>
        <v>5499852</v>
      </c>
      <c r="H22" s="311">
        <f>SUMIFS($I$31:$I$76,$F$31:$F$76,2026,$G$31:$G$76,8,$L$31:$L$76,"Y")</f>
        <v>0</v>
      </c>
      <c r="I22" s="311">
        <f>SUMIFS($I$31:$I$76,$F$31:$F$76,2026,$G$31:$G$76,9,$L$31:$L$76,"Y")</f>
        <v>0</v>
      </c>
      <c r="J22" s="311">
        <f>SUMIFS($I$31:$I$76,$F$31:$F$76,2026,$G$31:$G$76,10,$L$31:$L$76,"Y")</f>
        <v>0</v>
      </c>
      <c r="K22" s="311">
        <f>SUMIFS($I$31:$I$76,$F$31:$F$76,2026,$G$31:$G$76,11,$L$31:$L$76,"Y")</f>
        <v>0</v>
      </c>
      <c r="L22" s="311">
        <f>SUMIFS($I$31:$I$76,$F$31:$F$76,2026,$G$31:$G$76,12,$L$31:$L$76,"Y")</f>
        <v>0</v>
      </c>
    </row>
    <row r="23" spans="1:18" s="52" customFormat="1">
      <c r="A23" s="6"/>
      <c r="B23" s="6"/>
      <c r="C23" s="6"/>
      <c r="D23" s="6"/>
      <c r="E23" s="6"/>
      <c r="F23" s="6"/>
      <c r="G23" s="6"/>
      <c r="H23" s="6"/>
      <c r="I23" s="54"/>
      <c r="J23" s="6"/>
      <c r="K23" s="6"/>
      <c r="L23" s="6"/>
    </row>
    <row r="24" spans="1:18" s="149" customFormat="1">
      <c r="A24" s="153">
        <v>2027</v>
      </c>
      <c r="B24" s="159">
        <f>SUM(A26:L26)</f>
        <v>0</v>
      </c>
      <c r="C24" s="160">
        <f>SUM(A27:L27)</f>
        <v>0</v>
      </c>
      <c r="I24" s="158"/>
    </row>
    <row r="25" spans="1:18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>
      <c r="A26" s="310">
        <f>SUMIFS($C$31:$C$76,$F$31:$F$76,2027,$G$31:$G$76,1,$L$31:$L$76,"Y")</f>
        <v>0</v>
      </c>
      <c r="B26" s="310">
        <f>SUMIFS($C$31:$C$76,$F$31:$F$76,2027,$G$31:$G$76,2,$L$31:$L$76,"Y")</f>
        <v>0</v>
      </c>
      <c r="C26" s="310">
        <f>SUMIFS($C$31:$C$76,$F$31:$F$76,2027,$G$31:$G$76,3,$L$31:$L$76,"Y")</f>
        <v>0</v>
      </c>
      <c r="D26" s="310">
        <f>SUMIFS($C$31:$C$76,$F$31:$F$76,2027,$G$31:$G$76,4,$L$31:$L$76,"Y")</f>
        <v>0</v>
      </c>
      <c r="E26" s="310">
        <f>SUMIFS($C$31:$C$76,$F$31:$F$76,2027,$G$31:$G$76,5,$L$31:$L$76,"Y")</f>
        <v>0</v>
      </c>
      <c r="F26" s="310">
        <f>SUMIFS($C$31:$C$76,$F$31:$F$76,2027,$G$31:$G$76,6,$L$31:$L$76,"Y")</f>
        <v>0</v>
      </c>
      <c r="G26" s="310">
        <f>SUMIFS($C$31:$C$76,$F$31:$F$76,2027,$G$31:$G$76,7,$L$31:$L$76,"Y")</f>
        <v>0</v>
      </c>
      <c r="H26" s="310">
        <f>SUMIFS($C$31:$C$76,$F$31:$F$76,2027,$G$31:$G$76,8,$L$31:$L$76,"Y")</f>
        <v>0</v>
      </c>
      <c r="I26" s="310">
        <f>SUMIFS($C$31:$C$76,$F$31:$F$76,2027,$G$31:$G$76,9,$L$31:$L$76,"Y")</f>
        <v>0</v>
      </c>
      <c r="J26" s="310">
        <f>SUMIFS($C$31:$C$76,$F$31:$F$76,2027,$G$31:$G$76,10,$L$31:$L$76,"Y")</f>
        <v>0</v>
      </c>
      <c r="K26" s="310">
        <f>SUMIFS($C$31:$C$76,$F$31:$F$76,2027,$G$31:$G$76,11,$L$31:$L$76,"Y")</f>
        <v>0</v>
      </c>
      <c r="L26" s="310">
        <f>SUMIFS($C$31:$C$76,$F$31:$F$76,2027,$G$31:$G$76,12,$L$31:$L$76,"Y")</f>
        <v>0</v>
      </c>
    </row>
    <row r="27" spans="1:18">
      <c r="A27" s="311">
        <f>SUMIFS($I$31:$I$76,$F$31:$F$76,2027,$G$31:$G$76,1,$L$31:$L$76,"Y")</f>
        <v>0</v>
      </c>
      <c r="B27" s="311">
        <f>SUMIFS($I$31:$I$76,$F$31:$F$76,2027,$G$31:$G$76,2,$L$31:$L$76,"Y")</f>
        <v>0</v>
      </c>
      <c r="C27" s="311">
        <f>SUMIFS($I$31:$I$76,$F$31:$F$76,2027,$G$31:$G$76,3,$L$31:$L$76,"Y")</f>
        <v>0</v>
      </c>
      <c r="D27" s="311">
        <f>SUMIFS($I$31:$I$76,$F$31:$F$76,2027,$G$31:$G$76,4,$L$31:$L$76,"Y")</f>
        <v>0</v>
      </c>
      <c r="E27" s="311">
        <f>SUMIFS($I$31:$I$76,$F$31:$F$76,2027,$G$31:$G$76,5,$L$31:$L$76,"Y")</f>
        <v>0</v>
      </c>
      <c r="F27" s="311">
        <f>SUMIFS($I$31:$I$76,$F$31:$F$76,2027,$G$31:$G$76,6,$L$31:$L$76,"Y")</f>
        <v>0</v>
      </c>
      <c r="G27" s="311">
        <f>SUMIFS($I$31:$I$76,$F$31:$F$76,2027,$G$31:$G$76,7,$L$31:$L$76,"Y")</f>
        <v>0</v>
      </c>
      <c r="H27" s="311">
        <f>SUMIFS($I$31:$I$76,$F$31:$F$76,2027,$G$31:$G$76,8,$L$31:$L$76,"Y")</f>
        <v>0</v>
      </c>
      <c r="I27" s="311">
        <f>SUMIFS($I$31:$I$76,$F$31:$F$76,2027,$G$31:$G$76,9,$L$31:$L$76,"Y")</f>
        <v>0</v>
      </c>
      <c r="J27" s="311">
        <f>SUMIFS($I$31:$I$76,$F$31:$F$76,2027,$G$31:$G$76,10,$L$31:$L$76,"Y")</f>
        <v>0</v>
      </c>
      <c r="K27" s="311">
        <f>SUMIFS($I$31:$I$76,$F$31:$F$76,2027,$G$31:$G$76,11,$L$31:$L$76,"Y")</f>
        <v>0</v>
      </c>
      <c r="L27" s="311">
        <f>SUMIFS($I$31:$I$76,$F$31:$F$76,2027,$G$31:$G$76,12,$L$31:$L$76,"Y")</f>
        <v>0</v>
      </c>
    </row>
    <row r="29" spans="1:18">
      <c r="A29" s="1" t="s">
        <v>259</v>
      </c>
      <c r="I29" s="166"/>
    </row>
    <row r="30" spans="1:18" ht="15.6">
      <c r="A30" s="14" t="s">
        <v>265</v>
      </c>
      <c r="B30" s="14" t="s">
        <v>451</v>
      </c>
      <c r="C30" s="14" t="s">
        <v>452</v>
      </c>
      <c r="D30" s="14" t="s">
        <v>137</v>
      </c>
      <c r="E30" s="14" t="s">
        <v>138</v>
      </c>
      <c r="F30" s="14" t="s">
        <v>139</v>
      </c>
      <c r="G30" s="14" t="s">
        <v>140</v>
      </c>
      <c r="H30" s="14" t="s">
        <v>141</v>
      </c>
      <c r="I30" s="14" t="s">
        <v>453</v>
      </c>
      <c r="J30" s="14" t="s">
        <v>454</v>
      </c>
      <c r="K30" s="14" t="s">
        <v>142</v>
      </c>
      <c r="L30" s="14" t="s">
        <v>143</v>
      </c>
      <c r="M30" s="172" t="s">
        <v>144</v>
      </c>
    </row>
    <row r="31" spans="1:18">
      <c r="A31" s="312" t="s">
        <v>455</v>
      </c>
      <c r="B31" s="317"/>
      <c r="C31" s="162"/>
      <c r="D31" s="313">
        <v>7316</v>
      </c>
      <c r="E31" s="314">
        <v>45893</v>
      </c>
      <c r="F31" s="315">
        <f>YEAR(H31)</f>
        <v>2025</v>
      </c>
      <c r="G31" s="313">
        <f>MONTH(H31)</f>
        <v>9</v>
      </c>
      <c r="H31" s="316">
        <v>45918</v>
      </c>
      <c r="I31" s="317">
        <f>2648318+971905</f>
        <v>3620223</v>
      </c>
      <c r="J31" s="336">
        <f>ROUNDUP(I31*10%,0.5)</f>
        <v>362023</v>
      </c>
      <c r="K31" s="22">
        <f t="shared" ref="K31:K40" si="0">I31+J31</f>
        <v>3982246</v>
      </c>
      <c r="L31" s="318" t="s">
        <v>146</v>
      </c>
      <c r="M31" s="318" t="s">
        <v>456</v>
      </c>
    </row>
    <row r="32" spans="1:18">
      <c r="A32" s="312" t="s">
        <v>457</v>
      </c>
      <c r="B32" s="317"/>
      <c r="C32" s="162"/>
      <c r="D32" s="313">
        <v>7316</v>
      </c>
      <c r="E32" s="314">
        <v>45893</v>
      </c>
      <c r="F32" s="315">
        <f t="shared" ref="F32:F35" si="1">YEAR(H32)</f>
        <v>2025</v>
      </c>
      <c r="G32" s="313">
        <f t="shared" ref="G32:G35" si="2">MONTH(H32)</f>
        <v>9</v>
      </c>
      <c r="H32" s="316">
        <v>45918</v>
      </c>
      <c r="I32" s="317">
        <v>1218736</v>
      </c>
      <c r="J32" s="336">
        <f>ROUNDUP(I32*10%,0.5)-1</f>
        <v>121873</v>
      </c>
      <c r="K32" s="22">
        <f t="shared" si="0"/>
        <v>1340609</v>
      </c>
      <c r="L32" s="318" t="s">
        <v>146</v>
      </c>
      <c r="M32" s="318" t="s">
        <v>456</v>
      </c>
    </row>
    <row r="33" spans="1:13">
      <c r="A33" s="97" t="s">
        <v>458</v>
      </c>
      <c r="B33" s="317"/>
      <c r="C33" s="162"/>
      <c r="D33" s="313">
        <v>7443</v>
      </c>
      <c r="E33" s="314">
        <v>45923</v>
      </c>
      <c r="F33" s="315">
        <f t="shared" si="1"/>
        <v>2025</v>
      </c>
      <c r="G33" s="313">
        <f t="shared" si="2"/>
        <v>10</v>
      </c>
      <c r="H33" s="316">
        <v>45946</v>
      </c>
      <c r="I33" s="317">
        <v>3344264</v>
      </c>
      <c r="J33" s="336">
        <v>334426</v>
      </c>
      <c r="K33" s="22">
        <f t="shared" si="0"/>
        <v>3678690</v>
      </c>
      <c r="L33" s="5" t="s">
        <v>146</v>
      </c>
      <c r="M33" s="318" t="s">
        <v>459</v>
      </c>
    </row>
    <row r="34" spans="1:13">
      <c r="A34" s="97" t="s">
        <v>460</v>
      </c>
      <c r="B34" s="317"/>
      <c r="C34" s="162"/>
      <c r="D34" s="4">
        <v>7590</v>
      </c>
      <c r="E34" s="319">
        <v>45954</v>
      </c>
      <c r="F34" s="315">
        <f t="shared" si="1"/>
        <v>2025</v>
      </c>
      <c r="G34" s="313">
        <f t="shared" si="2"/>
        <v>11</v>
      </c>
      <c r="H34" s="161">
        <v>45974</v>
      </c>
      <c r="I34" s="317">
        <v>3663082</v>
      </c>
      <c r="J34" s="336">
        <v>366308</v>
      </c>
      <c r="K34" s="22">
        <f t="shared" si="0"/>
        <v>4029390</v>
      </c>
      <c r="L34" s="5" t="s">
        <v>146</v>
      </c>
      <c r="M34" s="318" t="s">
        <v>461</v>
      </c>
    </row>
    <row r="35" spans="1:13">
      <c r="A35" s="97" t="s">
        <v>462</v>
      </c>
      <c r="B35" s="317"/>
      <c r="C35" s="162"/>
      <c r="D35" s="4">
        <v>7718</v>
      </c>
      <c r="E35" s="319">
        <v>45985</v>
      </c>
      <c r="F35" s="315">
        <f t="shared" si="1"/>
        <v>2025</v>
      </c>
      <c r="G35" s="313">
        <f t="shared" si="2"/>
        <v>12</v>
      </c>
      <c r="H35" s="161">
        <v>45995</v>
      </c>
      <c r="I35" s="317">
        <v>3296264</v>
      </c>
      <c r="J35" s="336">
        <v>329626</v>
      </c>
      <c r="K35" s="22">
        <f t="shared" si="0"/>
        <v>3625890</v>
      </c>
      <c r="L35" s="5" t="s">
        <v>146</v>
      </c>
      <c r="M35" s="318" t="s">
        <v>463</v>
      </c>
    </row>
    <row r="36" spans="1:13">
      <c r="A36" s="97" t="s">
        <v>464</v>
      </c>
      <c r="B36" s="449"/>
      <c r="C36" s="162"/>
      <c r="D36" s="4">
        <v>7867</v>
      </c>
      <c r="E36" s="319">
        <v>46013</v>
      </c>
      <c r="F36" s="315">
        <v>2026</v>
      </c>
      <c r="G36" s="313">
        <v>1</v>
      </c>
      <c r="H36" s="161">
        <v>46037</v>
      </c>
      <c r="I36" s="317">
        <v>30552133</v>
      </c>
      <c r="J36" s="336">
        <v>3055213</v>
      </c>
      <c r="K36" s="22">
        <f t="shared" si="0"/>
        <v>33607346</v>
      </c>
      <c r="L36" s="5" t="s">
        <v>146</v>
      </c>
      <c r="M36" s="318" t="s">
        <v>465</v>
      </c>
    </row>
    <row r="37" spans="1:13">
      <c r="A37" s="97" t="s">
        <v>466</v>
      </c>
      <c r="B37" s="449"/>
      <c r="C37" s="162"/>
      <c r="D37" s="4">
        <v>8020</v>
      </c>
      <c r="E37" s="319">
        <v>46045</v>
      </c>
      <c r="F37" s="315">
        <v>2026</v>
      </c>
      <c r="G37" s="313">
        <v>2</v>
      </c>
      <c r="H37" s="161">
        <v>46058</v>
      </c>
      <c r="I37" s="317">
        <v>2499191</v>
      </c>
      <c r="J37" s="336">
        <v>249919</v>
      </c>
      <c r="K37" s="22">
        <f t="shared" si="0"/>
        <v>2749110</v>
      </c>
      <c r="L37" s="5" t="s">
        <v>146</v>
      </c>
      <c r="M37" s="318" t="s">
        <v>467</v>
      </c>
    </row>
    <row r="38" spans="1:13">
      <c r="A38" s="97" t="s">
        <v>468</v>
      </c>
      <c r="B38" s="449"/>
      <c r="C38" s="162"/>
      <c r="D38" s="4">
        <v>8231</v>
      </c>
      <c r="E38" s="319">
        <v>46075</v>
      </c>
      <c r="F38" s="315">
        <v>2026</v>
      </c>
      <c r="G38" s="313">
        <v>3</v>
      </c>
      <c r="H38" s="161">
        <v>46093</v>
      </c>
      <c r="I38" s="317">
        <v>4655550</v>
      </c>
      <c r="J38" s="336">
        <v>465555</v>
      </c>
      <c r="K38" s="22">
        <f t="shared" si="0"/>
        <v>5121105</v>
      </c>
      <c r="L38" s="5" t="s">
        <v>146</v>
      </c>
      <c r="M38" s="318" t="s">
        <v>469</v>
      </c>
    </row>
    <row r="39" spans="1:13">
      <c r="A39" s="97" t="s">
        <v>470</v>
      </c>
      <c r="B39" s="449"/>
      <c r="C39" s="162"/>
      <c r="D39" s="4">
        <v>8232</v>
      </c>
      <c r="E39" s="319">
        <v>46075</v>
      </c>
      <c r="F39" s="315">
        <v>2026</v>
      </c>
      <c r="G39" s="313">
        <v>3</v>
      </c>
      <c r="H39" s="161">
        <v>46093</v>
      </c>
      <c r="I39" s="317">
        <v>1131752</v>
      </c>
      <c r="J39" s="336">
        <v>113175</v>
      </c>
      <c r="K39" s="22">
        <f t="shared" si="0"/>
        <v>1244927</v>
      </c>
      <c r="L39" s="5" t="s">
        <v>146</v>
      </c>
      <c r="M39" s="318" t="s">
        <v>469</v>
      </c>
    </row>
    <row r="40" spans="1:13">
      <c r="A40" s="97" t="s">
        <v>471</v>
      </c>
      <c r="B40" s="449"/>
      <c r="C40" s="162"/>
      <c r="D40" s="4">
        <v>8233</v>
      </c>
      <c r="E40" s="319">
        <v>46075</v>
      </c>
      <c r="F40" s="315">
        <v>2026</v>
      </c>
      <c r="G40" s="313">
        <v>3</v>
      </c>
      <c r="H40" s="161">
        <v>46093</v>
      </c>
      <c r="I40" s="317">
        <v>361870</v>
      </c>
      <c r="J40" s="336">
        <v>36187</v>
      </c>
      <c r="K40" s="22">
        <f t="shared" si="0"/>
        <v>398057</v>
      </c>
      <c r="L40" s="5" t="s">
        <v>146</v>
      </c>
      <c r="M40" s="318" t="s">
        <v>469</v>
      </c>
    </row>
    <row r="41" spans="1:13">
      <c r="A41" s="97" t="s">
        <v>472</v>
      </c>
      <c r="B41" s="449"/>
      <c r="C41" s="162"/>
      <c r="D41" s="4">
        <v>8234</v>
      </c>
      <c r="E41" s="319">
        <v>46075</v>
      </c>
      <c r="F41" s="315">
        <v>2026</v>
      </c>
      <c r="G41" s="313">
        <v>3</v>
      </c>
      <c r="H41" s="161">
        <v>46093</v>
      </c>
      <c r="I41" s="317">
        <v>361870</v>
      </c>
      <c r="J41" s="336">
        <v>36187</v>
      </c>
      <c r="K41" s="22">
        <f t="shared" ref="K41:K56" si="3">I41+J41</f>
        <v>398057</v>
      </c>
      <c r="L41" s="5" t="s">
        <v>146</v>
      </c>
      <c r="M41" s="318" t="s">
        <v>469</v>
      </c>
    </row>
    <row r="42" spans="1:13">
      <c r="A42" s="97" t="s">
        <v>473</v>
      </c>
      <c r="B42" s="449"/>
      <c r="C42" s="162"/>
      <c r="D42" s="4">
        <v>8180</v>
      </c>
      <c r="E42" s="319">
        <v>46075</v>
      </c>
      <c r="F42" s="315">
        <v>2026</v>
      </c>
      <c r="G42" s="313">
        <v>3</v>
      </c>
      <c r="H42" s="161">
        <v>46093</v>
      </c>
      <c r="I42" s="317">
        <v>6195043</v>
      </c>
      <c r="J42" s="336">
        <v>619504</v>
      </c>
      <c r="K42" s="22">
        <f t="shared" si="3"/>
        <v>6814547</v>
      </c>
      <c r="L42" s="5" t="s">
        <v>146</v>
      </c>
      <c r="M42" s="318" t="s">
        <v>469</v>
      </c>
    </row>
    <row r="43" spans="1:13">
      <c r="A43" s="97" t="s">
        <v>474</v>
      </c>
      <c r="B43" s="449"/>
      <c r="C43" s="162"/>
      <c r="D43" s="4">
        <v>8235</v>
      </c>
      <c r="E43" s="319">
        <v>46075</v>
      </c>
      <c r="F43" s="315">
        <v>2026</v>
      </c>
      <c r="G43" s="313">
        <v>3</v>
      </c>
      <c r="H43" s="161">
        <v>46093</v>
      </c>
      <c r="I43" s="317">
        <v>1773125</v>
      </c>
      <c r="J43" s="336">
        <v>177313</v>
      </c>
      <c r="K43" s="22">
        <f t="shared" si="3"/>
        <v>1950438</v>
      </c>
      <c r="L43" s="5" t="s">
        <v>146</v>
      </c>
      <c r="M43" s="318" t="s">
        <v>469</v>
      </c>
    </row>
    <row r="44" spans="1:13">
      <c r="A44" s="97" t="s">
        <v>475</v>
      </c>
      <c r="B44" s="449"/>
      <c r="C44" s="162"/>
      <c r="D44" s="4">
        <v>8392</v>
      </c>
      <c r="E44" s="319">
        <v>46103</v>
      </c>
      <c r="F44" s="315">
        <v>2026</v>
      </c>
      <c r="G44" s="313">
        <v>4</v>
      </c>
      <c r="H44" s="161">
        <v>46128</v>
      </c>
      <c r="I44" s="317">
        <v>1131409</v>
      </c>
      <c r="J44" s="336">
        <v>113141</v>
      </c>
      <c r="K44" s="22">
        <f t="shared" si="3"/>
        <v>1244550</v>
      </c>
      <c r="L44" s="5" t="s">
        <v>146</v>
      </c>
      <c r="M44" s="318" t="s">
        <v>476</v>
      </c>
    </row>
    <row r="45" spans="1:13">
      <c r="A45" s="97" t="s">
        <v>477</v>
      </c>
      <c r="B45" s="449"/>
      <c r="C45" s="162"/>
      <c r="D45" s="4">
        <v>8391</v>
      </c>
      <c r="E45" s="319">
        <v>46103</v>
      </c>
      <c r="F45" s="315">
        <v>2026</v>
      </c>
      <c r="G45" s="313">
        <v>4</v>
      </c>
      <c r="H45" s="161">
        <v>46128</v>
      </c>
      <c r="I45" s="317">
        <v>723739</v>
      </c>
      <c r="J45" s="336">
        <v>72374</v>
      </c>
      <c r="K45" s="22">
        <f t="shared" si="3"/>
        <v>796113</v>
      </c>
      <c r="L45" s="5" t="s">
        <v>146</v>
      </c>
      <c r="M45" s="318" t="s">
        <v>476</v>
      </c>
    </row>
    <row r="46" spans="1:13">
      <c r="A46" s="97" t="s">
        <v>478</v>
      </c>
      <c r="B46" s="449"/>
      <c r="C46" s="162"/>
      <c r="D46" s="4">
        <v>8390</v>
      </c>
      <c r="E46" s="319">
        <v>46103</v>
      </c>
      <c r="F46" s="315">
        <v>2026</v>
      </c>
      <c r="G46" s="313">
        <v>4</v>
      </c>
      <c r="H46" s="161">
        <v>46128</v>
      </c>
      <c r="I46" s="317">
        <v>3341926</v>
      </c>
      <c r="J46" s="336">
        <v>334193</v>
      </c>
      <c r="K46" s="22">
        <f t="shared" si="3"/>
        <v>3676119</v>
      </c>
      <c r="L46" s="5" t="s">
        <v>146</v>
      </c>
      <c r="M46" s="318" t="s">
        <v>476</v>
      </c>
    </row>
    <row r="47" spans="1:13">
      <c r="A47" s="97" t="s">
        <v>479</v>
      </c>
      <c r="B47" s="449"/>
      <c r="C47" s="162"/>
      <c r="D47" s="4">
        <v>8440</v>
      </c>
      <c r="E47" s="319">
        <v>46138</v>
      </c>
      <c r="F47" s="315">
        <v>2026</v>
      </c>
      <c r="G47" s="313">
        <v>5</v>
      </c>
      <c r="H47" s="161">
        <v>46149</v>
      </c>
      <c r="I47" s="317">
        <v>1773125</v>
      </c>
      <c r="J47" s="336">
        <v>177313</v>
      </c>
      <c r="K47" s="22">
        <f t="shared" si="3"/>
        <v>1950438</v>
      </c>
      <c r="L47" s="5" t="s">
        <v>146</v>
      </c>
      <c r="M47" s="318" t="s">
        <v>480</v>
      </c>
    </row>
    <row r="48" spans="1:13">
      <c r="A48" s="97" t="s">
        <v>481</v>
      </c>
      <c r="B48" s="449"/>
      <c r="C48" s="162"/>
      <c r="D48" s="4">
        <v>8441</v>
      </c>
      <c r="E48" s="319">
        <v>46138</v>
      </c>
      <c r="F48" s="315"/>
      <c r="G48" s="313"/>
      <c r="H48" s="161"/>
      <c r="I48" s="317">
        <v>361870</v>
      </c>
      <c r="J48" s="336"/>
      <c r="K48" s="22">
        <f t="shared" si="3"/>
        <v>361870</v>
      </c>
      <c r="L48" s="5" t="s">
        <v>482</v>
      </c>
      <c r="M48" s="318"/>
    </row>
    <row r="49" spans="1:13">
      <c r="A49" s="97" t="s">
        <v>483</v>
      </c>
      <c r="B49" s="449"/>
      <c r="C49" s="162"/>
      <c r="D49" s="322" t="s">
        <v>484</v>
      </c>
      <c r="E49" s="319">
        <v>46154</v>
      </c>
      <c r="F49" s="315"/>
      <c r="G49" s="313"/>
      <c r="H49" s="161"/>
      <c r="I49" s="504">
        <v>-361870</v>
      </c>
      <c r="J49" s="505"/>
      <c r="K49" s="506">
        <f t="shared" si="3"/>
        <v>-361870</v>
      </c>
      <c r="L49" s="5" t="s">
        <v>482</v>
      </c>
      <c r="M49" s="318"/>
    </row>
    <row r="50" spans="1:13">
      <c r="A50" s="97" t="s">
        <v>485</v>
      </c>
      <c r="B50" s="449"/>
      <c r="C50" s="162"/>
      <c r="D50" s="4">
        <v>8439</v>
      </c>
      <c r="E50" s="319">
        <v>46138</v>
      </c>
      <c r="F50" s="315">
        <v>2026</v>
      </c>
      <c r="G50" s="313">
        <v>5</v>
      </c>
      <c r="H50" s="161">
        <v>46149</v>
      </c>
      <c r="I50" s="317">
        <v>2233500</v>
      </c>
      <c r="J50" s="336">
        <v>223350</v>
      </c>
      <c r="K50" s="22">
        <f t="shared" si="3"/>
        <v>2456850</v>
      </c>
      <c r="L50" s="5" t="s">
        <v>146</v>
      </c>
      <c r="M50" s="318" t="s">
        <v>480</v>
      </c>
    </row>
    <row r="51" spans="1:13">
      <c r="A51" s="97" t="s">
        <v>486</v>
      </c>
      <c r="B51" s="449"/>
      <c r="C51" s="162"/>
      <c r="D51" s="4">
        <v>8677</v>
      </c>
      <c r="E51" s="319">
        <v>46168</v>
      </c>
      <c r="F51" s="315">
        <v>2026</v>
      </c>
      <c r="G51" s="313">
        <v>6</v>
      </c>
      <c r="H51" s="161">
        <v>46184</v>
      </c>
      <c r="I51" s="317">
        <v>4465320</v>
      </c>
      <c r="J51" s="336">
        <v>446532</v>
      </c>
      <c r="K51" s="22">
        <f t="shared" si="3"/>
        <v>4911852</v>
      </c>
      <c r="L51" s="5" t="s">
        <v>146</v>
      </c>
      <c r="M51" s="318" t="s">
        <v>487</v>
      </c>
    </row>
    <row r="52" spans="1:13">
      <c r="A52" s="97" t="s">
        <v>481</v>
      </c>
      <c r="B52" s="449"/>
      <c r="C52" s="162"/>
      <c r="D52" s="4">
        <v>8678</v>
      </c>
      <c r="E52" s="319">
        <v>46167</v>
      </c>
      <c r="F52" s="315">
        <v>2026</v>
      </c>
      <c r="G52" s="313">
        <v>6</v>
      </c>
      <c r="H52" s="161">
        <v>46184</v>
      </c>
      <c r="I52" s="317">
        <v>361870</v>
      </c>
      <c r="J52" s="336">
        <v>36187</v>
      </c>
      <c r="K52" s="22">
        <f t="shared" si="3"/>
        <v>398057</v>
      </c>
      <c r="L52" s="5" t="s">
        <v>146</v>
      </c>
      <c r="M52" s="318" t="s">
        <v>487</v>
      </c>
    </row>
    <row r="53" spans="1:13">
      <c r="A53" s="97" t="s">
        <v>488</v>
      </c>
      <c r="B53" s="449"/>
      <c r="C53" s="162"/>
      <c r="D53" s="4">
        <v>8679</v>
      </c>
      <c r="E53" s="319">
        <v>46168</v>
      </c>
      <c r="F53" s="315">
        <v>2026</v>
      </c>
      <c r="G53" s="313">
        <v>6</v>
      </c>
      <c r="H53" s="161">
        <v>46184</v>
      </c>
      <c r="I53" s="317">
        <v>127500</v>
      </c>
      <c r="J53" s="336">
        <v>12750</v>
      </c>
      <c r="K53" s="22">
        <f t="shared" si="3"/>
        <v>140250</v>
      </c>
      <c r="L53" s="5" t="s">
        <v>146</v>
      </c>
      <c r="M53" s="318" t="s">
        <v>487</v>
      </c>
    </row>
    <row r="54" spans="1:13">
      <c r="A54" s="97" t="s">
        <v>489</v>
      </c>
      <c r="B54" s="449"/>
      <c r="C54" s="162"/>
      <c r="D54" s="4">
        <v>9214</v>
      </c>
      <c r="E54" s="319">
        <v>46194</v>
      </c>
      <c r="F54" s="315">
        <v>2026</v>
      </c>
      <c r="G54" s="313">
        <v>7</v>
      </c>
      <c r="H54" s="161">
        <v>46212</v>
      </c>
      <c r="I54" s="317">
        <v>2233500</v>
      </c>
      <c r="J54" s="336">
        <v>223350</v>
      </c>
      <c r="K54" s="22">
        <f t="shared" si="3"/>
        <v>2456850</v>
      </c>
      <c r="L54" s="5" t="s">
        <v>146</v>
      </c>
      <c r="M54" s="318" t="s">
        <v>745</v>
      </c>
    </row>
    <row r="55" spans="1:13">
      <c r="A55" s="97" t="s">
        <v>490</v>
      </c>
      <c r="B55" s="449"/>
      <c r="C55" s="162"/>
      <c r="D55" s="4">
        <v>92141</v>
      </c>
      <c r="E55" s="319">
        <v>46194</v>
      </c>
      <c r="F55" s="315">
        <v>2026</v>
      </c>
      <c r="G55" s="313">
        <v>7</v>
      </c>
      <c r="H55" s="161">
        <v>46212</v>
      </c>
      <c r="I55" s="317">
        <v>2904482</v>
      </c>
      <c r="J55" s="336">
        <v>290448</v>
      </c>
      <c r="K55" s="22">
        <f t="shared" si="3"/>
        <v>3194930</v>
      </c>
      <c r="L55" s="5" t="s">
        <v>146</v>
      </c>
      <c r="M55" s="318" t="s">
        <v>745</v>
      </c>
    </row>
    <row r="56" spans="1:13">
      <c r="A56" s="97" t="s">
        <v>491</v>
      </c>
      <c r="B56" s="449"/>
      <c r="C56" s="162"/>
      <c r="D56" s="4">
        <v>92142</v>
      </c>
      <c r="E56" s="319">
        <v>46194</v>
      </c>
      <c r="F56" s="315">
        <v>2026</v>
      </c>
      <c r="G56" s="313">
        <v>7</v>
      </c>
      <c r="H56" s="161">
        <v>46212</v>
      </c>
      <c r="I56" s="317">
        <v>361870</v>
      </c>
      <c r="J56" s="336">
        <v>36187</v>
      </c>
      <c r="K56" s="22">
        <f t="shared" si="3"/>
        <v>398057</v>
      </c>
      <c r="L56" s="5" t="s">
        <v>146</v>
      </c>
      <c r="M56" s="318" t="s">
        <v>745</v>
      </c>
    </row>
    <row r="57" spans="1:13">
      <c r="A57" s="97"/>
      <c r="B57" s="449"/>
      <c r="C57" s="162"/>
      <c r="D57" s="4"/>
      <c r="E57" s="319"/>
      <c r="F57" s="315"/>
      <c r="G57" s="313"/>
      <c r="H57" s="161"/>
      <c r="I57" s="317"/>
      <c r="J57" s="336"/>
      <c r="K57" s="22"/>
      <c r="L57" s="5"/>
      <c r="M57" s="318"/>
    </row>
    <row r="58" spans="1:13">
      <c r="A58" s="97"/>
      <c r="B58" s="449"/>
      <c r="C58" s="162"/>
      <c r="D58" s="4"/>
      <c r="E58" s="319"/>
      <c r="F58" s="315"/>
      <c r="G58" s="313"/>
      <c r="H58" s="161"/>
      <c r="I58" s="317"/>
      <c r="J58" s="336"/>
      <c r="K58" s="22"/>
      <c r="L58" s="5"/>
      <c r="M58" s="318"/>
    </row>
    <row r="59" spans="1:13">
      <c r="A59" s="97"/>
      <c r="B59" s="449"/>
      <c r="C59" s="162"/>
      <c r="D59" s="4"/>
      <c r="E59" s="319"/>
      <c r="F59" s="315"/>
      <c r="G59" s="313"/>
      <c r="H59" s="161"/>
      <c r="I59" s="317"/>
      <c r="J59" s="336"/>
      <c r="K59" s="22"/>
      <c r="L59" s="5"/>
      <c r="M59" s="318"/>
    </row>
    <row r="60" spans="1:13">
      <c r="A60" s="97"/>
      <c r="B60" s="449"/>
      <c r="C60" s="162"/>
      <c r="D60" s="4"/>
      <c r="E60" s="319"/>
      <c r="F60" s="315"/>
      <c r="G60" s="313"/>
      <c r="H60" s="161"/>
      <c r="I60" s="317"/>
      <c r="J60" s="336"/>
      <c r="K60" s="22"/>
      <c r="L60" s="5"/>
      <c r="M60" s="318"/>
    </row>
    <row r="61" spans="1:13">
      <c r="A61" s="97"/>
      <c r="B61" s="449"/>
      <c r="C61" s="162"/>
      <c r="D61" s="4"/>
      <c r="E61" s="319"/>
      <c r="F61" s="315"/>
      <c r="G61" s="313"/>
      <c r="H61" s="161"/>
      <c r="I61" s="317"/>
      <c r="J61" s="336"/>
      <c r="K61" s="22"/>
      <c r="L61" s="5"/>
      <c r="M61" s="318"/>
    </row>
    <row r="62" spans="1:13">
      <c r="A62" s="97"/>
      <c r="B62" s="449"/>
      <c r="C62" s="162"/>
      <c r="D62" s="4"/>
      <c r="E62" s="319"/>
      <c r="F62" s="315"/>
      <c r="G62" s="313"/>
      <c r="H62" s="161"/>
      <c r="I62" s="317"/>
      <c r="J62" s="336"/>
      <c r="K62" s="22"/>
      <c r="L62" s="5"/>
      <c r="M62" s="318"/>
    </row>
    <row r="63" spans="1:13">
      <c r="A63" s="97"/>
      <c r="B63" s="449"/>
      <c r="C63" s="162"/>
      <c r="D63" s="4"/>
      <c r="E63" s="319"/>
      <c r="F63" s="315"/>
      <c r="G63" s="313"/>
      <c r="H63" s="161"/>
      <c r="I63" s="317"/>
      <c r="J63" s="336"/>
      <c r="K63" s="22"/>
      <c r="L63" s="5"/>
      <c r="M63" s="318"/>
    </row>
    <row r="64" spans="1:13">
      <c r="A64" s="97"/>
      <c r="B64" s="449"/>
      <c r="C64" s="162"/>
      <c r="D64" s="4"/>
      <c r="E64" s="319"/>
      <c r="F64" s="315"/>
      <c r="G64" s="313"/>
      <c r="H64" s="161"/>
      <c r="I64" s="317"/>
      <c r="J64" s="336"/>
      <c r="K64" s="22"/>
      <c r="L64" s="5"/>
      <c r="M64" s="318"/>
    </row>
    <row r="65" spans="1:13">
      <c r="A65" s="97"/>
      <c r="B65" s="449"/>
      <c r="C65" s="162"/>
      <c r="D65" s="4"/>
      <c r="E65" s="319"/>
      <c r="F65" s="315"/>
      <c r="G65" s="313"/>
      <c r="H65" s="161"/>
      <c r="I65" s="317"/>
      <c r="J65" s="336"/>
      <c r="K65" s="22"/>
      <c r="L65" s="5"/>
      <c r="M65" s="318"/>
    </row>
    <row r="66" spans="1:13">
      <c r="A66" s="97"/>
      <c r="B66" s="449"/>
      <c r="C66" s="162"/>
      <c r="D66" s="4"/>
      <c r="E66" s="319"/>
      <c r="F66" s="315"/>
      <c r="G66" s="313"/>
      <c r="H66" s="161"/>
      <c r="I66" s="317"/>
      <c r="J66" s="336"/>
      <c r="K66" s="22"/>
      <c r="L66" s="5"/>
      <c r="M66" s="318"/>
    </row>
    <row r="67" spans="1:13">
      <c r="A67" s="97"/>
      <c r="B67" s="449"/>
      <c r="C67" s="162"/>
      <c r="D67" s="4"/>
      <c r="E67" s="319"/>
      <c r="F67" s="315"/>
      <c r="G67" s="313"/>
      <c r="H67" s="161"/>
      <c r="I67" s="317"/>
      <c r="J67" s="336"/>
      <c r="K67" s="22"/>
      <c r="L67" s="5"/>
      <c r="M67" s="318"/>
    </row>
    <row r="68" spans="1:13">
      <c r="A68" s="97"/>
      <c r="B68" s="449"/>
      <c r="C68" s="162"/>
      <c r="D68" s="4"/>
      <c r="E68" s="319"/>
      <c r="F68" s="315"/>
      <c r="G68" s="313"/>
      <c r="H68" s="161"/>
      <c r="I68" s="317"/>
      <c r="J68" s="336"/>
      <c r="K68" s="22"/>
      <c r="L68" s="5"/>
      <c r="M68" s="318"/>
    </row>
    <row r="69" spans="1:13">
      <c r="A69" s="97"/>
      <c r="B69" s="449"/>
      <c r="C69" s="162"/>
      <c r="D69" s="4"/>
      <c r="E69" s="319"/>
      <c r="F69" s="315"/>
      <c r="G69" s="313"/>
      <c r="H69" s="161"/>
      <c r="I69" s="317"/>
      <c r="J69" s="336"/>
      <c r="K69" s="22"/>
      <c r="L69" s="5"/>
      <c r="M69" s="318"/>
    </row>
    <row r="70" spans="1:13">
      <c r="A70" s="97"/>
      <c r="B70" s="449"/>
      <c r="C70" s="162"/>
      <c r="D70" s="4"/>
      <c r="E70" s="319"/>
      <c r="F70" s="315"/>
      <c r="G70" s="313"/>
      <c r="H70" s="161"/>
      <c r="I70" s="317"/>
      <c r="J70" s="336"/>
      <c r="K70" s="22"/>
      <c r="L70" s="5"/>
      <c r="M70" s="318"/>
    </row>
    <row r="71" spans="1:13">
      <c r="A71" s="97"/>
      <c r="B71" s="449"/>
      <c r="C71" s="162"/>
      <c r="D71" s="4"/>
      <c r="E71" s="319"/>
      <c r="F71" s="315"/>
      <c r="G71" s="313"/>
      <c r="H71" s="161"/>
      <c r="I71" s="317"/>
      <c r="J71" s="336"/>
      <c r="K71" s="22"/>
      <c r="L71" s="5"/>
      <c r="M71" s="318"/>
    </row>
    <row r="72" spans="1:13">
      <c r="A72" s="97"/>
      <c r="B72" s="449"/>
      <c r="C72" s="162"/>
      <c r="D72" s="4"/>
      <c r="E72" s="319"/>
      <c r="F72" s="315"/>
      <c r="G72" s="313"/>
      <c r="H72" s="161"/>
      <c r="I72" s="317"/>
      <c r="J72" s="336"/>
      <c r="K72" s="22"/>
      <c r="L72" s="5"/>
      <c r="M72" s="318"/>
    </row>
    <row r="73" spans="1:13">
      <c r="A73" s="97"/>
      <c r="B73" s="449"/>
      <c r="C73" s="162"/>
      <c r="D73" s="4"/>
      <c r="E73" s="319"/>
      <c r="F73" s="315"/>
      <c r="G73" s="313"/>
      <c r="H73" s="161"/>
      <c r="I73" s="317"/>
      <c r="J73" s="336"/>
      <c r="K73" s="22"/>
      <c r="L73" s="5"/>
      <c r="M73" s="318"/>
    </row>
    <row r="74" spans="1:13">
      <c r="A74" s="97"/>
      <c r="B74" s="162"/>
      <c r="C74" s="162"/>
      <c r="D74" s="4"/>
      <c r="E74" s="319"/>
      <c r="F74" s="337"/>
      <c r="G74" s="4"/>
      <c r="H74" s="161"/>
      <c r="I74" s="317"/>
      <c r="J74" s="336"/>
      <c r="K74" s="22"/>
      <c r="L74" s="5"/>
      <c r="M74" s="318"/>
    </row>
    <row r="75" spans="1:13">
      <c r="A75" s="97"/>
      <c r="B75" s="162"/>
      <c r="C75" s="162"/>
      <c r="D75" s="4"/>
      <c r="E75" s="319"/>
      <c r="F75" s="337"/>
      <c r="G75" s="4"/>
      <c r="H75" s="161"/>
      <c r="I75" s="317"/>
      <c r="J75" s="336"/>
      <c r="K75" s="22"/>
      <c r="L75" s="5"/>
      <c r="M75" s="318"/>
    </row>
    <row r="76" spans="1:13">
      <c r="A76" s="323" t="s">
        <v>129</v>
      </c>
      <c r="B76" s="338">
        <v>249693702</v>
      </c>
      <c r="C76" s="324">
        <f>SUM(C31:C75)</f>
        <v>0</v>
      </c>
      <c r="D76" s="325"/>
      <c r="E76" s="325"/>
      <c r="F76" s="326"/>
      <c r="G76" s="325"/>
      <c r="H76" s="327"/>
      <c r="I76" s="328"/>
      <c r="J76" s="339"/>
      <c r="K76" s="329"/>
      <c r="L76" s="330"/>
      <c r="M76" s="33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1BBD-1414-4ECB-8282-0A8E6CD844E1}">
  <sheetPr>
    <tabColor theme="4" tint="0.79998168889431442"/>
  </sheetPr>
  <dimension ref="A1:R69"/>
  <sheetViews>
    <sheetView topLeftCell="A28" workbookViewId="0">
      <selection activeCell="H55" sqref="H55"/>
    </sheetView>
  </sheetViews>
  <sheetFormatPr defaultColWidth="8.69921875" defaultRowHeight="13.2"/>
  <cols>
    <col min="1" max="1" width="58.8984375" style="6" customWidth="1"/>
    <col min="2" max="2" width="17.09765625" style="6" customWidth="1"/>
    <col min="3" max="3" width="18.09765625" style="6" customWidth="1"/>
    <col min="4" max="4" width="18.5" style="6" customWidth="1"/>
    <col min="5" max="5" width="16.8984375" style="6" customWidth="1"/>
    <col min="6" max="6" width="15.69921875" style="6" customWidth="1"/>
    <col min="7" max="7" width="11.19921875" style="6" customWidth="1"/>
    <col min="8" max="8" width="13.59765625" style="6" customWidth="1"/>
    <col min="9" max="9" width="20.59765625" style="6" bestFit="1" customWidth="1"/>
    <col min="10" max="10" width="17.8984375" style="6" bestFit="1" customWidth="1"/>
    <col min="11" max="11" width="16.59765625" style="6" customWidth="1"/>
    <col min="12" max="12" width="16" style="6" customWidth="1"/>
    <col min="13" max="13" width="18.19921875" style="6" customWidth="1"/>
    <col min="14" max="16384" width="8.69921875" style="6"/>
  </cols>
  <sheetData>
    <row r="1" spans="1:18">
      <c r="A1" s="47" t="s">
        <v>492</v>
      </c>
      <c r="B1" s="51"/>
      <c r="C1" s="51"/>
      <c r="D1" s="13"/>
      <c r="E1" s="48"/>
      <c r="G1" s="54"/>
      <c r="H1" s="54"/>
    </row>
    <row r="2" spans="1:18">
      <c r="A2" s="16"/>
      <c r="B2" s="46" t="s">
        <v>47</v>
      </c>
      <c r="C2" s="46"/>
      <c r="D2" s="17" t="s">
        <v>49</v>
      </c>
      <c r="E2" s="46" t="s">
        <v>50</v>
      </c>
      <c r="G2" s="54"/>
      <c r="H2" s="54"/>
    </row>
    <row r="3" spans="1:18" ht="4.5" customHeight="1">
      <c r="A3" s="1"/>
      <c r="B3" s="52"/>
      <c r="C3" s="52"/>
      <c r="D3" s="49"/>
      <c r="E3" s="49"/>
      <c r="G3" s="54"/>
      <c r="H3" s="54"/>
    </row>
    <row r="4" spans="1:18">
      <c r="A4" s="50" t="s">
        <v>1</v>
      </c>
      <c r="B4" s="53"/>
      <c r="C4" s="53"/>
      <c r="D4" s="11" t="s">
        <v>2</v>
      </c>
      <c r="E4" s="308">
        <f ca="1">TODAY()</f>
        <v>46226</v>
      </c>
      <c r="G4" s="54"/>
      <c r="H4" s="54"/>
      <c r="Q4" s="55"/>
      <c r="R4" s="56"/>
    </row>
    <row r="5" spans="1:18">
      <c r="A5" s="1"/>
      <c r="B5" s="52"/>
      <c r="C5" s="52"/>
      <c r="D5" s="123"/>
      <c r="G5" s="54"/>
      <c r="H5" s="54"/>
      <c r="Q5" s="55"/>
      <c r="R5" s="56"/>
    </row>
    <row r="6" spans="1:18" ht="13.8" thickBot="1">
      <c r="A6" s="1" t="s">
        <v>263</v>
      </c>
      <c r="B6" s="52"/>
      <c r="C6" s="52"/>
      <c r="D6" s="123"/>
      <c r="G6" s="54"/>
      <c r="H6" s="54"/>
      <c r="Q6" s="55"/>
      <c r="R6" s="56"/>
    </row>
    <row r="7" spans="1:18">
      <c r="A7" s="125" t="s">
        <v>52</v>
      </c>
      <c r="B7" s="332" t="s">
        <v>450</v>
      </c>
      <c r="C7" s="59" t="s">
        <v>26</v>
      </c>
    </row>
    <row r="8" spans="1:18">
      <c r="A8" s="124" t="s">
        <v>54</v>
      </c>
      <c r="B8" s="333">
        <f>B69</f>
        <v>149805492</v>
      </c>
      <c r="C8" s="129"/>
    </row>
    <row r="9" spans="1:18">
      <c r="A9" s="131" t="s">
        <v>24</v>
      </c>
      <c r="B9" s="334">
        <f>C14+C19+C24+C29+C34</f>
        <v>149805492</v>
      </c>
      <c r="C9" s="133">
        <f>B9/B8</f>
        <v>1</v>
      </c>
    </row>
    <row r="10" spans="1:18" ht="13.8" thickBot="1">
      <c r="A10" s="126" t="s">
        <v>25</v>
      </c>
      <c r="B10" s="335">
        <f>B8-B9</f>
        <v>0</v>
      </c>
      <c r="C10" s="130">
        <f>B10/B8</f>
        <v>0</v>
      </c>
      <c r="E10" s="167"/>
    </row>
    <row r="12" spans="1:18">
      <c r="A12" s="1" t="s">
        <v>264</v>
      </c>
    </row>
    <row r="13" spans="1:18" ht="5.4" customHeight="1">
      <c r="I13" s="54"/>
      <c r="Q13" s="55"/>
      <c r="R13" s="56"/>
    </row>
    <row r="14" spans="1:18" s="149" customFormat="1">
      <c r="A14" s="153">
        <v>2023</v>
      </c>
      <c r="B14" s="159">
        <f>SUM(A16:L16)</f>
        <v>0</v>
      </c>
      <c r="C14" s="160">
        <f>SUM(A17:L17)</f>
        <v>6874940</v>
      </c>
      <c r="I14" s="158"/>
      <c r="Q14" s="150"/>
      <c r="R14" s="150"/>
    </row>
    <row r="15" spans="1:18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>
      <c r="A16" s="310">
        <f>SUMIFS($C$42:$C$69,$F$42:$F$69,2025,$G$42:$G$69,1,$L$42:$L$69,"Y")</f>
        <v>0</v>
      </c>
      <c r="B16" s="310">
        <f>SUMIFS($C$42:$C$69,$F$42:$F$69,2025,$G$42:$G$69,2,$L$42:$L$69,"Y")</f>
        <v>0</v>
      </c>
      <c r="C16" s="310">
        <f>SUMIFS($C$42:$C$69,$F$42:$F$69,2025,$G$42:$G$69,3,$L$42:$L$69,"Y")</f>
        <v>0</v>
      </c>
      <c r="D16" s="310">
        <f>SUMIFS($C$42:$C$69,$F$42:$F$69,2025,$G$42:$G$69,4,$L$42:$L$69,"Y")</f>
        <v>0</v>
      </c>
      <c r="E16" s="310">
        <f>SUMIFS($C$42:$C$69,$F$42:$F$69,2025,$G$42:$G$69,5,$L$42:$L$69,"Y")</f>
        <v>0</v>
      </c>
      <c r="F16" s="310">
        <f>SUMIFS($C$42:$C$69,$F$42:$F$69,2025,$G$42:$G$69,6,$L$42:$L$69,"Y")</f>
        <v>0</v>
      </c>
      <c r="G16" s="310">
        <f>SUMIFS($C$42:$C$69,$F$42:$F$69,2025,$G$42:$G$69,7,$L$42:$L$69,"Y")</f>
        <v>0</v>
      </c>
      <c r="H16" s="310">
        <f>SUMIFS($C$42:$C$69,$F$42:$F$69,2025,$G$42:$G$69,8,$L$42:$L$69,"Y")</f>
        <v>0</v>
      </c>
      <c r="I16" s="310">
        <f>SUMIFS($C$42:$C$69,$F$42:$F$69,2025,$G$42:$G$69,9,$L$42:$L$69,"Y")</f>
        <v>0</v>
      </c>
      <c r="J16" s="310">
        <f>SUMIFS($C$42:$C$69,$F$42:$F$69,2025,$G$42:$G$69,10,$L$42:$L$69,"Y")</f>
        <v>0</v>
      </c>
      <c r="K16" s="310">
        <f>SUMIFS($C$42:$C$69,$F$42:$F$69,2025,$G$42:$G$69,11,$L$42:$L$69,"Y")</f>
        <v>0</v>
      </c>
      <c r="L16" s="310">
        <f>SUMIFS($C$42:$C$69,$F$42:$F$69,2025,$G$42:$G$69,12,$L$42:$L$69,"Y")</f>
        <v>0</v>
      </c>
      <c r="Q16" s="55"/>
      <c r="R16" s="56"/>
    </row>
    <row r="17" spans="1:18">
      <c r="A17" s="311">
        <f>SUMIFS($K$42:$K$69,$F$42:$F$69,2023,$G$42:$G$69,1,$L$42:$L$69,"Y")</f>
        <v>0</v>
      </c>
      <c r="B17" s="311">
        <f>SUMIFS($K$42:$K$69,$F$42:$F$69,2023,$G$42:$G$69,2,$L$42:$L$69,"Y")</f>
        <v>0</v>
      </c>
      <c r="C17" s="311">
        <f>SUMIFS($K$42:$K$69,$F$42:$F$69,2023,$G$42:$G$69,3,$L$42:$L$69,"Y")</f>
        <v>0</v>
      </c>
      <c r="D17" s="311">
        <f>SUMIFS($K$42:$K$69,$F$42:$F$69,2023,$G$42:$G$69,4,$L$42:$L$69,"Y")</f>
        <v>0</v>
      </c>
      <c r="E17" s="311">
        <f>SUMIFS($K$42:$K$69,$F$42:$F$69,2023,$G$42:$G$69,5,$L$42:$L$69,"Y")</f>
        <v>0</v>
      </c>
      <c r="F17" s="311">
        <f>SUMIFS($K$42:$K$69,$F$42:$F$69,2023,$G$42:$G$69,6,$L$42:$L$69,"Y")</f>
        <v>6832940</v>
      </c>
      <c r="G17" s="311">
        <f>SUMIFS($K$42:$K$69,$F$42:$F$69,2023,$G$42:$G$69,7,$L$42:$L$69,"Y")</f>
        <v>0</v>
      </c>
      <c r="H17" s="311">
        <f>SUMIFS($K$42:$K$69,$F$42:$F$69,2023,$G$42:$G$69,8,$L$42:$L$69,"Y")</f>
        <v>42000</v>
      </c>
      <c r="I17" s="311">
        <f>SUMIFS($K$42:$K$69,$F$42:$F$69,2023,$G$42:$G$69,9,$L$42:$L$69,"Y")</f>
        <v>0</v>
      </c>
      <c r="J17" s="311">
        <f>SUMIFS($K$42:$K$69,$F$42:$F$69,2023,$G$42:$G$69,10,$L$42:$L$69,"Y")</f>
        <v>0</v>
      </c>
      <c r="K17" s="311">
        <f>SUMIFS($K$42:$K$69,$F$42:$F$69,2023,$G$42:$G$69,11,$L$42:$L$69,"Y")</f>
        <v>0</v>
      </c>
      <c r="L17" s="311">
        <f>SUMIFS($K$42:$K$69,$F$42:$F$69,2023,$G$42:$G$69,12,$L$42:$L$69,"Y")</f>
        <v>0</v>
      </c>
      <c r="Q17" s="55"/>
      <c r="R17" s="56"/>
    </row>
    <row r="18" spans="1:18">
      <c r="A18" s="340"/>
      <c r="B18" s="340"/>
      <c r="C18" s="340"/>
      <c r="D18" s="340"/>
      <c r="E18" s="340"/>
      <c r="F18" s="340"/>
      <c r="G18" s="340"/>
      <c r="H18" s="340"/>
      <c r="I18" s="340"/>
      <c r="J18" s="340"/>
      <c r="K18" s="340"/>
      <c r="L18" s="340"/>
      <c r="Q18" s="55"/>
      <c r="R18" s="56"/>
    </row>
    <row r="19" spans="1:18" s="149" customFormat="1">
      <c r="A19" s="153">
        <v>2024</v>
      </c>
      <c r="B19" s="159">
        <f>SUM(A21:L21)</f>
        <v>0</v>
      </c>
      <c r="C19" s="160">
        <f>SUM(A22:L22)</f>
        <v>39872732</v>
      </c>
      <c r="I19" s="158"/>
      <c r="Q19" s="150"/>
      <c r="R19" s="150"/>
    </row>
    <row r="20" spans="1:18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>
      <c r="A21" s="310">
        <f>SUMIFS($C$42:$C$69,$F$42:$F$69,2025,$G$42:$G$69,1,$L$42:$L$69,"Y")</f>
        <v>0</v>
      </c>
      <c r="B21" s="310">
        <f>SUMIFS($C$42:$C$69,$F$42:$F$69,2025,$G$42:$G$69,2,$L$42:$L$69,"Y")</f>
        <v>0</v>
      </c>
      <c r="C21" s="310">
        <f>SUMIFS($C$42:$C$69,$F$42:$F$69,2025,$G$42:$G$69,3,$L$42:$L$69,"Y")</f>
        <v>0</v>
      </c>
      <c r="D21" s="310">
        <f>SUMIFS($C$42:$C$69,$F$42:$F$69,2025,$G$42:$G$69,4,$L$42:$L$69,"Y")</f>
        <v>0</v>
      </c>
      <c r="E21" s="310">
        <f>SUMIFS($C$42:$C$69,$F$42:$F$69,2025,$G$42:$G$69,5,$L$42:$L$69,"Y")</f>
        <v>0</v>
      </c>
      <c r="F21" s="310">
        <f>SUMIFS($C$42:$C$69,$F$42:$F$69,2025,$G$42:$G$69,6,$L$42:$L$69,"Y")</f>
        <v>0</v>
      </c>
      <c r="G21" s="310">
        <f>SUMIFS($C$42:$C$69,$F$42:$F$69,2025,$G$42:$G$69,7,$L$42:$L$69,"Y")</f>
        <v>0</v>
      </c>
      <c r="H21" s="310">
        <f>SUMIFS($C$42:$C$69,$F$42:$F$69,2025,$G$42:$G$69,8,$L$42:$L$69,"Y")</f>
        <v>0</v>
      </c>
      <c r="I21" s="310">
        <f>SUMIFS($C$42:$C$69,$F$42:$F$69,2025,$G$42:$G$69,9,$L$42:$L$69,"Y")</f>
        <v>0</v>
      </c>
      <c r="J21" s="310">
        <f>SUMIFS($C$42:$C$69,$F$42:$F$69,2025,$G$42:$G$69,10,$L$42:$L$69,"Y")</f>
        <v>0</v>
      </c>
      <c r="K21" s="310">
        <f>SUMIFS($C$42:$C$69,$F$42:$F$69,2025,$G$42:$G$69,11,$L$42:$L$69,"Y")</f>
        <v>0</v>
      </c>
      <c r="L21" s="310">
        <f>SUMIFS($C$42:$C$69,$F$42:$F$69,2025,$G$42:$G$69,12,$L$42:$L$69,"Y")</f>
        <v>0</v>
      </c>
      <c r="Q21" s="55"/>
      <c r="R21" s="56"/>
    </row>
    <row r="22" spans="1:18">
      <c r="A22" s="311">
        <f>SUMIFS($K$42:$K$69,$F$42:$F$69,2024,$G$42:$G$69,1,$L$42:$L$69,"Y")</f>
        <v>0</v>
      </c>
      <c r="B22" s="311">
        <f>SUMIFS($K$42:$K$69,$F$42:$F$69,2024,$G$42:$G$69,2,$L$42:$L$69,"Y")</f>
        <v>0</v>
      </c>
      <c r="C22" s="311">
        <f>SUMIFS($K$42:$K$69,$F$42:$F$69,2024,$G$42:$G$69,3,$L$42:$L$69,"Y")</f>
        <v>0</v>
      </c>
      <c r="D22" s="311">
        <f>SUMIFS($K$42:$K$69,$F$42:$F$69,2024,$G$42:$G$69,4,$L$42:$L$69,"Y")</f>
        <v>0</v>
      </c>
      <c r="E22" s="311">
        <f>SUMIFS($K$42:$K$69,$F$42:$F$69,2024,$G$42:$G$69,5,$L$42:$L$69,"Y")</f>
        <v>0</v>
      </c>
      <c r="F22" s="311">
        <f>SUMIFS($K$42:$K$69,$F$42:$F$69,2024,$G$42:$G$69,6,$L$42:$L$69,"Y")</f>
        <v>29201942</v>
      </c>
      <c r="G22" s="311">
        <f>SUMIFS($K$42:$K$69,$F$42:$F$69,2024,$G$42:$G$69,7,$L$42:$L$69,"Y")</f>
        <v>0</v>
      </c>
      <c r="H22" s="311">
        <f>SUMIFS($K$42:$K$69,$F$42:$F$69,2024,$G$42:$G$69,8,$L$42:$L$69,"Y")</f>
        <v>0</v>
      </c>
      <c r="I22" s="311">
        <f>SUMIFS($K$42:$K$69,$F$42:$F$69,2024,$G$42:$G$69,9,$L$42:$L$69,"Y")</f>
        <v>0</v>
      </c>
      <c r="J22" s="311">
        <f>SUMIFS($K$42:$K$69,$F$42:$F$69,2024,$G$42:$G$69,10,$L$42:$L$69,"Y")</f>
        <v>10670790</v>
      </c>
      <c r="K22" s="311">
        <f>SUMIFS($K$42:$K$69,$F$42:$F$69,2024,$G$42:$G$69,11,$L$42:$L$69,"Y")</f>
        <v>0</v>
      </c>
      <c r="L22" s="311">
        <f>SUMIFS($K$42:$K$69,$F$42:$F$69,2024,$G$42:$G$69,12,$L$42:$L$69,"Y")</f>
        <v>0</v>
      </c>
      <c r="Q22" s="55"/>
      <c r="R22" s="56"/>
    </row>
    <row r="23" spans="1:18">
      <c r="A23" s="340"/>
      <c r="B23" s="340"/>
      <c r="C23" s="340"/>
      <c r="D23" s="340"/>
      <c r="E23" s="340"/>
      <c r="F23" s="340"/>
      <c r="G23" s="340"/>
      <c r="H23" s="340"/>
      <c r="I23" s="340"/>
      <c r="J23" s="340"/>
      <c r="K23" s="340"/>
      <c r="L23" s="340"/>
      <c r="Q23" s="55"/>
      <c r="R23" s="56"/>
    </row>
    <row r="24" spans="1:18" s="149" customFormat="1">
      <c r="A24" s="153">
        <v>2025</v>
      </c>
      <c r="B24" s="159">
        <f>SUM(A26:L26)</f>
        <v>0</v>
      </c>
      <c r="C24" s="160">
        <f>SUM(A27:L27)</f>
        <v>85621177</v>
      </c>
      <c r="I24" s="158"/>
      <c r="Q24" s="150"/>
      <c r="R24" s="150"/>
    </row>
    <row r="25" spans="1:18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>
      <c r="A26" s="310">
        <f>SUMIFS($C$42:$C$69,$F$42:$F$69,2025,$G$42:$G$69,1,$L$42:$L$69,"Y")</f>
        <v>0</v>
      </c>
      <c r="B26" s="310">
        <f>SUMIFS($C$42:$C$69,$F$42:$F$69,2025,$G$42:$G$69,2,$L$42:$L$69,"Y")</f>
        <v>0</v>
      </c>
      <c r="C26" s="310">
        <f>SUMIFS($C$42:$C$69,$F$42:$F$69,2025,$G$42:$G$69,3,$L$42:$L$69,"Y")</f>
        <v>0</v>
      </c>
      <c r="D26" s="310">
        <f>SUMIFS($C$42:$C$69,$F$42:$F$69,2025,$G$42:$G$69,4,$L$42:$L$69,"Y")</f>
        <v>0</v>
      </c>
      <c r="E26" s="310">
        <f>SUMIFS($C$42:$C$69,$F$42:$F$69,2025,$G$42:$G$69,5,$L$42:$L$69,"Y")</f>
        <v>0</v>
      </c>
      <c r="F26" s="310">
        <f>SUMIFS($C$42:$C$69,$F$42:$F$69,2025,$G$42:$G$69,6,$L$42:$L$69,"Y")</f>
        <v>0</v>
      </c>
      <c r="G26" s="310">
        <f>SUMIFS($C$42:$C$69,$F$42:$F$69,2025,$G$42:$G$69,7,$L$42:$L$69,"Y")</f>
        <v>0</v>
      </c>
      <c r="H26" s="310">
        <f>SUMIFS($C$42:$C$69,$F$42:$F$69,2025,$G$42:$G$69,8,$L$42:$L$69,"Y")</f>
        <v>0</v>
      </c>
      <c r="I26" s="310">
        <f>SUMIFS($C$42:$C$69,$F$42:$F$69,2025,$G$42:$G$69,9,$L$42:$L$69,"Y")</f>
        <v>0</v>
      </c>
      <c r="J26" s="310">
        <f>SUMIFS($C$42:$C$69,$F$42:$F$69,2025,$G$42:$G$69,10,$L$42:$L$69,"Y")</f>
        <v>0</v>
      </c>
      <c r="K26" s="310">
        <f>SUMIFS($C$42:$C$69,$F$42:$F$69,2025,$G$42:$G$69,11,$L$42:$L$69,"Y")</f>
        <v>0</v>
      </c>
      <c r="L26" s="310">
        <f>SUMIFS($C$42:$C$69,$F$42:$F$69,2025,$G$42:$G$69,12,$L$42:$L$69,"Y")</f>
        <v>0</v>
      </c>
      <c r="Q26" s="55"/>
      <c r="R26" s="56"/>
    </row>
    <row r="27" spans="1:18">
      <c r="A27" s="311">
        <f>SUMIFS($K$42:$K$69,$F$42:$F$69,2025,$G$42:$G$69,1,$L$42:$L$69,"Y")</f>
        <v>0</v>
      </c>
      <c r="B27" s="311">
        <f>SUMIFS($K$42:$K$69,$F$42:$F$69,2025,$G$42:$G$69,2,$L$42:$L$69,"Y")</f>
        <v>0</v>
      </c>
      <c r="C27" s="311">
        <f>SUMIFS($K$42:$K$69,$F$42:$F$69,2025,$G$42:$G$69,3,$L$42:$L$69,"Y")</f>
        <v>0</v>
      </c>
      <c r="D27" s="311">
        <f>SUMIFS($K$42:$K$69,$F$42:$F$69,2025,$G$42:$G$69,4,$L$42:$L$69,"Y")</f>
        <v>0</v>
      </c>
      <c r="E27" s="311">
        <f>SUMIFS($K$42:$K$69,$F$42:$F$69,2025,$G$42:$G$69,5,$L$42:$L$69,"Y")</f>
        <v>0</v>
      </c>
      <c r="F27" s="311">
        <f>SUMIFS($K$42:$K$69,$F$42:$F$69,2025,$G$42:$G$69,6,$L$42:$L$69,"Y")</f>
        <v>2942881</v>
      </c>
      <c r="G27" s="311">
        <f>SUMIFS($K$42:$K$69,$F$42:$F$69,2025,$G$42:$G$69,7,$L$42:$L$69,"Y")</f>
        <v>0</v>
      </c>
      <c r="H27" s="311">
        <f>SUMIFS($K$42:$K$69,$F$42:$F$69,2025,$G$42:$G$69,8,$L$42:$L$69,"Y")</f>
        <v>34675243</v>
      </c>
      <c r="I27" s="311">
        <f>SUMIFS($K$42:$K$69,$F$42:$F$69,2025,$G$42:$G$69,9,$L$42:$L$69,"Y")</f>
        <v>5119000</v>
      </c>
      <c r="J27" s="311">
        <f>SUMIFS($K$42:$K$69,$F$42:$F$69,2025,$G$42:$G$69,10,$L$42:$L$69,"Y")</f>
        <v>42884053</v>
      </c>
      <c r="K27" s="311">
        <f>SUMIFS($K$42:$K$69,$F$42:$F$69,2025,$G$42:$G$69,11,$L$42:$L$69,"Y")</f>
        <v>0</v>
      </c>
      <c r="L27" s="311">
        <f>SUMIFS($K$42:$K$69,$F$42:$F$69,2025,$G$42:$G$69,12,$L$42:$L$69,"Y")</f>
        <v>0</v>
      </c>
      <c r="Q27" s="55"/>
      <c r="R27" s="56"/>
    </row>
    <row r="28" spans="1:18" ht="5.4" customHeight="1">
      <c r="I28" s="54"/>
      <c r="Q28" s="55"/>
      <c r="R28" s="56"/>
    </row>
    <row r="29" spans="1:18" s="149" customFormat="1">
      <c r="A29" s="153">
        <v>2026</v>
      </c>
      <c r="B29" s="159">
        <f>SUM(A31:L31)</f>
        <v>0</v>
      </c>
      <c r="C29" s="160">
        <f>SUM(A32:L32)</f>
        <v>17436643</v>
      </c>
      <c r="I29" s="158"/>
      <c r="Q29" s="150"/>
      <c r="R29" s="150"/>
    </row>
    <row r="30" spans="1:18" ht="13.8">
      <c r="A30" s="136" t="s">
        <v>58</v>
      </c>
      <c r="B30" s="136" t="s">
        <v>59</v>
      </c>
      <c r="C30" s="136" t="s">
        <v>60</v>
      </c>
      <c r="D30" s="136" t="s">
        <v>61</v>
      </c>
      <c r="E30" s="136" t="s">
        <v>62</v>
      </c>
      <c r="F30" s="136" t="s">
        <v>63</v>
      </c>
      <c r="G30" s="136" t="s">
        <v>64</v>
      </c>
      <c r="H30" s="136" t="s">
        <v>65</v>
      </c>
      <c r="I30" s="136" t="s">
        <v>66</v>
      </c>
      <c r="J30" s="136" t="s">
        <v>67</v>
      </c>
      <c r="K30" s="136" t="s">
        <v>68</v>
      </c>
      <c r="L30" s="136" t="s">
        <v>69</v>
      </c>
      <c r="Q30" s="55"/>
      <c r="R30" s="56"/>
    </row>
    <row r="31" spans="1:18">
      <c r="A31" s="310">
        <f>SUMIFS($C$42:$C$69,$F$42:$F$69,2026,$G$42:$G$69,1,$L$42:$L$69,"Y")</f>
        <v>0</v>
      </c>
      <c r="B31" s="310">
        <f>SUMIFS($C$42:$C$69,$F$42:$F$69,2026,$G$42:$G$69,2,$L$42:$L$69,"Y")</f>
        <v>0</v>
      </c>
      <c r="C31" s="310">
        <f>SUMIFS($C$42:$C$69,$F$42:$F$69,2026,$G$42:$G$69,3,$L$42:$L$69,"Y")</f>
        <v>0</v>
      </c>
      <c r="D31" s="310">
        <f>SUMIFS($C$42:$C$69,$F$42:$F$69,2026,$G$42:$G$69,4,$L$42:$L$69,"Y")</f>
        <v>0</v>
      </c>
      <c r="E31" s="310">
        <f>SUMIFS($C$42:$C$69,$F$42:$F$69,2026,$G$42:$G$69,5,$L$42:$L$69,"Y")</f>
        <v>0</v>
      </c>
      <c r="F31" s="310">
        <f>SUMIFS($C$42:$C$69,$F$42:$F$69,2026,$G$42:$G$69,6,$L$42:$L$69,"Y")</f>
        <v>0</v>
      </c>
      <c r="G31" s="310">
        <f>SUMIFS($C$42:$C$69,$F$42:$F$69,2026,$G$42:$G$69,7,$L$42:$L$69,"Y")</f>
        <v>0</v>
      </c>
      <c r="H31" s="310">
        <f>SUMIFS($C$42:$C$69,$F$42:$F$69,2026,$G$42:$G$69,8,$L$42:$L$69,"Y")</f>
        <v>0</v>
      </c>
      <c r="I31" s="310">
        <f>SUMIFS($C$42:$C$69,$F$42:$F$69,2026,$G$42:$G$69,9,$L$42:$L$69,"Y")</f>
        <v>0</v>
      </c>
      <c r="J31" s="310">
        <f>SUMIFS($C$42:$C$69,$F$42:$F$69,2026,$G$42:$G$69,10,$L$42:$L$69,"Y")</f>
        <v>0</v>
      </c>
      <c r="K31" s="310">
        <f>SUMIFS($C$42:$C$69,$F$42:$F$69,2026,$G$42:$G$69,11,$L$42:$L$69,"Y")</f>
        <v>0</v>
      </c>
      <c r="L31" s="310">
        <f>SUMIFS($C$42:$C$69,$F$42:$F$69,2026,$G$42:$G$69,12,$L$42:$L$69,"Y")</f>
        <v>0</v>
      </c>
      <c r="Q31" s="55"/>
      <c r="R31" s="56"/>
    </row>
    <row r="32" spans="1:18">
      <c r="A32" s="311">
        <f>SUMIFS($K$42:$K$69,$F$42:$F$69,2026,$G$42:$G$69,1,$L$42:$L$69,"Y")</f>
        <v>11907417</v>
      </c>
      <c r="B32" s="311">
        <f>SUMIFS($K$42:$K$69,$F$42:$F$69,2026,$G$42:$G$69,2,$L$42:$L$69,"Y")</f>
        <v>0</v>
      </c>
      <c r="C32" s="311">
        <f>SUMIFS($K$42:$K$69,$F$42:$F$69,2026,$G$42:$G$69,3,$L$42:$L$69,"Y")</f>
        <v>0</v>
      </c>
      <c r="D32" s="311">
        <f>SUMIFS($K$42:$K$69,$F$42:$F$69,2026,$G$42:$G$69,4,$L$42:$L$69,"Y")</f>
        <v>0</v>
      </c>
      <c r="E32" s="311">
        <f>SUMIFS($K$42:$K$69,$F$42:$F$69,2026,$G$42:$G$69,5,$L$42:$L$69,"Y")</f>
        <v>0</v>
      </c>
      <c r="F32" s="311">
        <f>SUMIFS($K$42:$K$69,$F$42:$F$69,2026,$G$42:$G$69,6,$L$42:$L$69,"Y")</f>
        <v>0</v>
      </c>
      <c r="G32" s="311">
        <f>SUMIFS($K$42:$K$69,$F$42:$F$69,2026,$G$42:$G$69,7,$L$42:$L$69,"Y")</f>
        <v>0</v>
      </c>
      <c r="H32" s="311">
        <f>SUMIFS($K$42:$K$69,$F$42:$F$69,2026,$G$42:$G$69,8,$L$42:$L$69,"Y")</f>
        <v>5529226</v>
      </c>
      <c r="I32" s="311">
        <f>SUMIFS($K$42:$K$69,$F$42:$F$69,2026,$G$42:$G$69,9,$L$42:$L$69,"Y")</f>
        <v>0</v>
      </c>
      <c r="J32" s="311">
        <f>SUMIFS($K$42:$K$69,$F$42:$F$69,2026,$G$42:$G$69,10,$L$42:$L$69,"Y")</f>
        <v>0</v>
      </c>
      <c r="K32" s="311">
        <f>SUMIFS($K$42:$K$69,$F$42:$F$69,2026,$G$42:$G$69,11,$L$42:$L$69,"Y")</f>
        <v>0</v>
      </c>
      <c r="L32" s="311">
        <f>SUMIFS($K$42:$K$69,$F$42:$F$69,2026,$G$42:$G$69,12,$L$42:$L$69,"Y")</f>
        <v>0</v>
      </c>
    </row>
    <row r="33" spans="1:18" s="52" customFormat="1" ht="5.4" customHeight="1">
      <c r="A33" s="6"/>
      <c r="B33" s="6"/>
      <c r="C33" s="6"/>
      <c r="D33" s="6"/>
      <c r="E33" s="6"/>
      <c r="F33" s="6"/>
      <c r="G33" s="6"/>
      <c r="H33" s="6"/>
      <c r="I33" s="54"/>
      <c r="J33" s="6"/>
      <c r="K33" s="6"/>
      <c r="L33" s="6"/>
    </row>
    <row r="34" spans="1:18" s="149" customFormat="1">
      <c r="A34" s="153">
        <v>2027</v>
      </c>
      <c r="B34" s="159">
        <f>SUM(A36:L36)</f>
        <v>0</v>
      </c>
      <c r="C34" s="160">
        <f>SUM(A37:L37)</f>
        <v>0</v>
      </c>
      <c r="I34" s="158"/>
    </row>
    <row r="35" spans="1:18" ht="13.8">
      <c r="A35" s="136" t="s">
        <v>58</v>
      </c>
      <c r="B35" s="136" t="s">
        <v>59</v>
      </c>
      <c r="C35" s="136" t="s">
        <v>60</v>
      </c>
      <c r="D35" s="136" t="s">
        <v>61</v>
      </c>
      <c r="E35" s="136" t="s">
        <v>62</v>
      </c>
      <c r="F35" s="136" t="s">
        <v>63</v>
      </c>
      <c r="G35" s="136" t="s">
        <v>64</v>
      </c>
      <c r="H35" s="136" t="s">
        <v>65</v>
      </c>
      <c r="I35" s="136" t="s">
        <v>66</v>
      </c>
      <c r="J35" s="136" t="s">
        <v>67</v>
      </c>
      <c r="K35" s="136" t="s">
        <v>68</v>
      </c>
      <c r="L35" s="136" t="s">
        <v>69</v>
      </c>
      <c r="Q35" s="55"/>
      <c r="R35" s="56"/>
    </row>
    <row r="36" spans="1:18">
      <c r="A36" s="310">
        <f>SUMIFS($C$42:$C$69,$F$42:$F$69,2027,$G$42:$G$69,1,$L$42:$L$69,"Y")</f>
        <v>0</v>
      </c>
      <c r="B36" s="310">
        <f>SUMIFS($C$42:$C$69,$F$42:$F$69,2027,$G$42:$G$69,2,$L$42:$L$69,"Y")</f>
        <v>0</v>
      </c>
      <c r="C36" s="310">
        <f>SUMIFS($C$42:$C$69,$F$42:$F$69,2027,$G$42:$G$69,3,$L$42:$L$69,"Y")</f>
        <v>0</v>
      </c>
      <c r="D36" s="310">
        <f>SUMIFS($C$42:$C$69,$F$42:$F$69,2027,$G$42:$G$69,4,$L$42:$L$69,"Y")</f>
        <v>0</v>
      </c>
      <c r="E36" s="310">
        <f>SUMIFS($C$42:$C$69,$F$42:$F$69,2027,$G$42:$G$69,5,$L$42:$L$69,"Y")</f>
        <v>0</v>
      </c>
      <c r="F36" s="310">
        <f>SUMIFS($C$42:$C$69,$F$42:$F$69,2027,$G$42:$G$69,6,$L$42:$L$69,"Y")</f>
        <v>0</v>
      </c>
      <c r="G36" s="310">
        <f>SUMIFS($C$42:$C$69,$F$42:$F$69,2027,$G$42:$G$69,7,$L$42:$L$69,"Y")</f>
        <v>0</v>
      </c>
      <c r="H36" s="310">
        <f>SUMIFS($C$42:$C$69,$F$42:$F$69,2027,$G$42:$G$69,8,$L$42:$L$69,"Y")</f>
        <v>0</v>
      </c>
      <c r="I36" s="310">
        <f>SUMIFS($C$42:$C$69,$F$42:$F$69,2027,$G$42:$G$69,9,$L$42:$L$69,"Y")</f>
        <v>0</v>
      </c>
      <c r="J36" s="310">
        <f>SUMIFS($C$42:$C$69,$F$42:$F$69,2027,$G$42:$G$69,10,$L$42:$L$69,"Y")</f>
        <v>0</v>
      </c>
      <c r="K36" s="310">
        <f>SUMIFS($C$42:$C$69,$F$42:$F$69,2027,$G$42:$G$69,11,$L$42:$L$69,"Y")</f>
        <v>0</v>
      </c>
      <c r="L36" s="310">
        <f>SUMIFS($C$42:$C$69,$F$42:$F$69,2027,$G$42:$G$69,12,$L$42:$L$69,"Y")</f>
        <v>0</v>
      </c>
    </row>
    <row r="37" spans="1:18">
      <c r="A37" s="311">
        <f>SUMIFS($K$42:$K$69,$F$42:$F$69,2027,$G$42:$G$69,1,$L$42:$L$69,"Y")</f>
        <v>0</v>
      </c>
      <c r="B37" s="311">
        <f>SUMIFS($K$42:$K$69,$F$42:$F$69,2027,$G$42:$G$69,2,$L$42:$L$69,"Y")</f>
        <v>0</v>
      </c>
      <c r="C37" s="311">
        <f>SUMIFS($K$42:$K$69,$F$42:$F$69,2027,$G$42:$G$69,3,$L$42:$L$69,"Y")</f>
        <v>0</v>
      </c>
      <c r="D37" s="311">
        <f>SUMIFS($K$42:$K$69,$F$42:$F$69,2027,$G$42:$G$69,4,$L$42:$L$69,"Y")</f>
        <v>0</v>
      </c>
      <c r="E37" s="311">
        <f>SUMIFS($K$42:$K$69,$F$42:$F$69,2027,$G$42:$G$69,5,$L$42:$L$69,"Y")</f>
        <v>0</v>
      </c>
      <c r="F37" s="311">
        <f>SUMIFS($K$42:$K$69,$F$42:$F$69,2027,$G$42:$G$69,6,$L$42:$L$69,"Y")</f>
        <v>0</v>
      </c>
      <c r="G37" s="311">
        <f>SUMIFS($K$42:$K$69,$F$42:$F$69,2027,$G$42:$G$69,7,$L$42:$L$69,"Y")</f>
        <v>0</v>
      </c>
      <c r="H37" s="311">
        <f>SUMIFS($K$42:$K$69,$F$42:$F$69,2027,$G$42:$G$69,8,$L$42:$L$69,"Y")</f>
        <v>0</v>
      </c>
      <c r="I37" s="311">
        <f>SUMIFS($K$42:$K$69,$F$42:$F$69,2027,$G$42:$G$69,9,$L$42:$L$69,"Y")</f>
        <v>0</v>
      </c>
      <c r="J37" s="311">
        <f>SUMIFS($K$42:$K$69,$F$42:$F$69,2027,$G$42:$G$69,10,$L$42:$L$69,"Y")</f>
        <v>0</v>
      </c>
      <c r="K37" s="311">
        <f>SUMIFS($K$42:$K$69,$F$42:$F$69,2027,$G$42:$G$69,11,$L$42:$L$69,"Y")</f>
        <v>0</v>
      </c>
      <c r="L37" s="311">
        <f>SUMIFS($K$42:$K$69,$F$42:$F$69,2027,$G$42:$G$69,12,$L$42:$L$69,"Y")</f>
        <v>0</v>
      </c>
    </row>
    <row r="39" spans="1:18">
      <c r="A39" s="1" t="s">
        <v>259</v>
      </c>
      <c r="I39" s="166"/>
    </row>
    <row r="40" spans="1:18" ht="15.6">
      <c r="A40" s="14" t="s">
        <v>265</v>
      </c>
      <c r="B40" s="14" t="s">
        <v>451</v>
      </c>
      <c r="C40" s="14" t="s">
        <v>452</v>
      </c>
      <c r="D40" s="14" t="s">
        <v>137</v>
      </c>
      <c r="E40" s="14" t="s">
        <v>138</v>
      </c>
      <c r="F40" s="14" t="s">
        <v>139</v>
      </c>
      <c r="G40" s="14" t="s">
        <v>140</v>
      </c>
      <c r="H40" s="14" t="s">
        <v>141</v>
      </c>
      <c r="I40" s="14" t="s">
        <v>493</v>
      </c>
      <c r="J40" s="14" t="s">
        <v>494</v>
      </c>
      <c r="K40" s="14" t="s">
        <v>142</v>
      </c>
      <c r="L40" s="14" t="s">
        <v>143</v>
      </c>
      <c r="M40" s="172" t="s">
        <v>144</v>
      </c>
    </row>
    <row r="41" spans="1:18">
      <c r="A41" s="312" t="s">
        <v>495</v>
      </c>
      <c r="B41" s="317">
        <f>K41</f>
        <v>976003</v>
      </c>
      <c r="C41" s="317"/>
      <c r="D41" s="341" t="s">
        <v>496</v>
      </c>
      <c r="E41" s="314">
        <v>45043</v>
      </c>
      <c r="F41" s="315">
        <f>YEAR(H41)</f>
        <v>2023</v>
      </c>
      <c r="G41" s="313">
        <f>MONTH(H41)</f>
        <v>5</v>
      </c>
      <c r="H41" s="316">
        <v>45071</v>
      </c>
      <c r="I41" s="317">
        <v>976003</v>
      </c>
      <c r="J41" s="336">
        <v>0</v>
      </c>
      <c r="K41" s="22">
        <f>I41+J41</f>
        <v>976003</v>
      </c>
      <c r="L41" s="318" t="s">
        <v>146</v>
      </c>
      <c r="M41" s="318" t="s">
        <v>497</v>
      </c>
    </row>
    <row r="42" spans="1:18">
      <c r="A42" s="312" t="s">
        <v>498</v>
      </c>
      <c r="B42" s="317">
        <f>K42</f>
        <v>3450500</v>
      </c>
      <c r="C42" s="317"/>
      <c r="D42" s="341" t="s">
        <v>499</v>
      </c>
      <c r="E42" s="314">
        <v>45069</v>
      </c>
      <c r="F42" s="315">
        <f t="shared" ref="F42:F53" si="0">YEAR(H42)</f>
        <v>2023</v>
      </c>
      <c r="G42" s="313">
        <f t="shared" ref="G42:G53" si="1">MONTH(H42)</f>
        <v>6</v>
      </c>
      <c r="H42" s="316">
        <v>45092</v>
      </c>
      <c r="I42" s="317">
        <v>2876650</v>
      </c>
      <c r="J42" s="336">
        <v>573850</v>
      </c>
      <c r="K42" s="22">
        <f>I42+J42</f>
        <v>3450500</v>
      </c>
      <c r="L42" s="318" t="s">
        <v>146</v>
      </c>
      <c r="M42" s="318" t="s">
        <v>500</v>
      </c>
    </row>
    <row r="43" spans="1:18">
      <c r="A43" s="312" t="s">
        <v>501</v>
      </c>
      <c r="B43" s="317">
        <f>K43</f>
        <v>3382440</v>
      </c>
      <c r="C43" s="317"/>
      <c r="D43" s="341" t="s">
        <v>502</v>
      </c>
      <c r="E43" s="314">
        <v>45091</v>
      </c>
      <c r="F43" s="315">
        <f t="shared" si="0"/>
        <v>2023</v>
      </c>
      <c r="G43" s="313">
        <f t="shared" si="1"/>
        <v>6</v>
      </c>
      <c r="H43" s="316">
        <v>45106</v>
      </c>
      <c r="I43" s="317">
        <v>2803150</v>
      </c>
      <c r="J43" s="336">
        <v>579290</v>
      </c>
      <c r="K43" s="22">
        <f t="shared" ref="K43:K55" si="2">I43+J43</f>
        <v>3382440</v>
      </c>
      <c r="L43" s="318" t="s">
        <v>146</v>
      </c>
      <c r="M43" s="318" t="s">
        <v>503</v>
      </c>
    </row>
    <row r="44" spans="1:18">
      <c r="A44" s="312" t="s">
        <v>504</v>
      </c>
      <c r="B44" s="317">
        <f t="shared" ref="B44:B54" si="3">K44</f>
        <v>42000</v>
      </c>
      <c r="C44" s="317"/>
      <c r="D44" s="341" t="s">
        <v>505</v>
      </c>
      <c r="E44" s="319">
        <v>45159</v>
      </c>
      <c r="F44" s="315">
        <f t="shared" si="0"/>
        <v>2023</v>
      </c>
      <c r="G44" s="313">
        <f t="shared" si="1"/>
        <v>8</v>
      </c>
      <c r="H44" s="161">
        <v>45169</v>
      </c>
      <c r="I44" s="317">
        <v>0</v>
      </c>
      <c r="J44" s="336">
        <v>42000</v>
      </c>
      <c r="K44" s="22">
        <f t="shared" si="2"/>
        <v>42000</v>
      </c>
      <c r="L44" s="5" t="s">
        <v>146</v>
      </c>
      <c r="M44" s="318" t="s">
        <v>506</v>
      </c>
    </row>
    <row r="45" spans="1:18">
      <c r="A45" s="312" t="s">
        <v>507</v>
      </c>
      <c r="B45" s="317">
        <f t="shared" si="3"/>
        <v>6793120</v>
      </c>
      <c r="C45" s="317"/>
      <c r="D45" s="341" t="s">
        <v>508</v>
      </c>
      <c r="E45" s="314">
        <v>45184</v>
      </c>
      <c r="F45" s="315">
        <f t="shared" si="0"/>
        <v>2025</v>
      </c>
      <c r="G45" s="313">
        <f t="shared" si="1"/>
        <v>10</v>
      </c>
      <c r="H45" s="316">
        <v>45942</v>
      </c>
      <c r="I45" s="317">
        <v>4867810</v>
      </c>
      <c r="J45" s="336">
        <v>1925310</v>
      </c>
      <c r="K45" s="22">
        <f t="shared" si="2"/>
        <v>6793120</v>
      </c>
      <c r="L45" s="5" t="s">
        <v>146</v>
      </c>
      <c r="M45" s="318" t="s">
        <v>509</v>
      </c>
    </row>
    <row r="46" spans="1:18">
      <c r="A46" s="312" t="s">
        <v>510</v>
      </c>
      <c r="B46" s="317">
        <f t="shared" si="3"/>
        <v>5343625</v>
      </c>
      <c r="C46" s="317"/>
      <c r="D46" s="341" t="s">
        <v>511</v>
      </c>
      <c r="E46" s="319">
        <v>45204</v>
      </c>
      <c r="F46" s="315">
        <f t="shared" si="0"/>
        <v>2025</v>
      </c>
      <c r="G46" s="313">
        <f t="shared" si="1"/>
        <v>10</v>
      </c>
      <c r="H46" s="161">
        <v>45956</v>
      </c>
      <c r="I46" s="317">
        <v>4311805</v>
      </c>
      <c r="J46" s="336">
        <v>1031820</v>
      </c>
      <c r="K46" s="22">
        <f t="shared" si="2"/>
        <v>5343625</v>
      </c>
      <c r="L46" s="5" t="s">
        <v>146</v>
      </c>
      <c r="M46" s="318" t="s">
        <v>512</v>
      </c>
    </row>
    <row r="47" spans="1:18">
      <c r="A47" s="312" t="s">
        <v>513</v>
      </c>
      <c r="B47" s="317">
        <f t="shared" si="3"/>
        <v>29201942</v>
      </c>
      <c r="C47" s="317"/>
      <c r="D47" s="341" t="s">
        <v>514</v>
      </c>
      <c r="E47" s="319">
        <v>45453</v>
      </c>
      <c r="F47" s="315">
        <f t="shared" si="0"/>
        <v>2024</v>
      </c>
      <c r="G47" s="313">
        <f t="shared" si="1"/>
        <v>6</v>
      </c>
      <c r="H47" s="161">
        <v>45470</v>
      </c>
      <c r="I47" s="317">
        <v>18992332</v>
      </c>
      <c r="J47" s="336">
        <v>10209610</v>
      </c>
      <c r="K47" s="22">
        <f t="shared" si="2"/>
        <v>29201942</v>
      </c>
      <c r="L47" s="5" t="s">
        <v>146</v>
      </c>
      <c r="M47" s="318" t="s">
        <v>515</v>
      </c>
    </row>
    <row r="48" spans="1:18">
      <c r="A48" s="312" t="s">
        <v>516</v>
      </c>
      <c r="B48" s="317">
        <f t="shared" si="3"/>
        <v>10670790</v>
      </c>
      <c r="C48" s="317"/>
      <c r="D48" s="341" t="s">
        <v>517</v>
      </c>
      <c r="E48" s="319">
        <v>45558</v>
      </c>
      <c r="F48" s="315">
        <f t="shared" si="0"/>
        <v>2024</v>
      </c>
      <c r="G48" s="313">
        <f t="shared" si="1"/>
        <v>10</v>
      </c>
      <c r="H48" s="161">
        <v>45575</v>
      </c>
      <c r="I48" s="317">
        <v>7050800</v>
      </c>
      <c r="J48" s="336">
        <v>3619990</v>
      </c>
      <c r="K48" s="22">
        <f t="shared" si="2"/>
        <v>10670790</v>
      </c>
      <c r="L48" s="5" t="s">
        <v>146</v>
      </c>
      <c r="M48" s="318" t="s">
        <v>518</v>
      </c>
    </row>
    <row r="49" spans="1:13">
      <c r="A49" s="312" t="s">
        <v>519</v>
      </c>
      <c r="B49" s="317">
        <f t="shared" si="3"/>
        <v>2942881</v>
      </c>
      <c r="C49" s="317"/>
      <c r="D49" s="341" t="s">
        <v>520</v>
      </c>
      <c r="E49" s="319">
        <v>45817</v>
      </c>
      <c r="F49" s="315">
        <f t="shared" si="0"/>
        <v>2025</v>
      </c>
      <c r="G49" s="313">
        <f t="shared" si="1"/>
        <v>6</v>
      </c>
      <c r="H49" s="161">
        <v>45834</v>
      </c>
      <c r="I49" s="317">
        <v>2529911</v>
      </c>
      <c r="J49" s="336">
        <v>412970</v>
      </c>
      <c r="K49" s="22">
        <f t="shared" si="2"/>
        <v>2942881</v>
      </c>
      <c r="L49" s="5" t="s">
        <v>146</v>
      </c>
      <c r="M49" s="318" t="s">
        <v>521</v>
      </c>
    </row>
    <row r="50" spans="1:13">
      <c r="A50" s="312" t="s">
        <v>522</v>
      </c>
      <c r="B50" s="317">
        <f t="shared" si="3"/>
        <v>34675243</v>
      </c>
      <c r="C50" s="317"/>
      <c r="D50" s="341" t="s">
        <v>523</v>
      </c>
      <c r="E50" s="319">
        <v>45880</v>
      </c>
      <c r="F50" s="315">
        <f t="shared" si="0"/>
        <v>2025</v>
      </c>
      <c r="G50" s="313">
        <f t="shared" si="1"/>
        <v>8</v>
      </c>
      <c r="H50" s="161">
        <v>45897</v>
      </c>
      <c r="I50" s="317">
        <v>21798633</v>
      </c>
      <c r="J50" s="336">
        <v>12876610</v>
      </c>
      <c r="K50" s="22">
        <f t="shared" si="2"/>
        <v>34675243</v>
      </c>
      <c r="L50" s="5" t="s">
        <v>146</v>
      </c>
      <c r="M50" s="318" t="s">
        <v>524</v>
      </c>
    </row>
    <row r="51" spans="1:13">
      <c r="A51" s="312" t="s">
        <v>525</v>
      </c>
      <c r="B51" s="317">
        <f t="shared" si="3"/>
        <v>5119000</v>
      </c>
      <c r="C51" s="317"/>
      <c r="D51" s="341" t="s">
        <v>526</v>
      </c>
      <c r="E51" s="319">
        <v>45890</v>
      </c>
      <c r="F51" s="315">
        <f t="shared" si="0"/>
        <v>2025</v>
      </c>
      <c r="G51" s="313">
        <f t="shared" si="1"/>
        <v>9</v>
      </c>
      <c r="H51" s="161">
        <v>45904</v>
      </c>
      <c r="I51" s="317">
        <v>5119000</v>
      </c>
      <c r="J51" s="336">
        <v>0</v>
      </c>
      <c r="K51" s="22">
        <f t="shared" si="2"/>
        <v>5119000</v>
      </c>
      <c r="L51" s="5" t="s">
        <v>146</v>
      </c>
      <c r="M51" s="318" t="s">
        <v>527</v>
      </c>
    </row>
    <row r="52" spans="1:13">
      <c r="A52" s="312" t="s">
        <v>528</v>
      </c>
      <c r="B52" s="317">
        <f t="shared" si="3"/>
        <v>22264275</v>
      </c>
      <c r="C52" s="317"/>
      <c r="D52" s="341" t="s">
        <v>529</v>
      </c>
      <c r="E52" s="319">
        <v>45932</v>
      </c>
      <c r="F52" s="315">
        <f t="shared" si="0"/>
        <v>2025</v>
      </c>
      <c r="G52" s="313">
        <f t="shared" si="1"/>
        <v>10</v>
      </c>
      <c r="H52" s="161">
        <v>45960</v>
      </c>
      <c r="I52" s="317">
        <v>13268835</v>
      </c>
      <c r="J52" s="336">
        <v>8995440</v>
      </c>
      <c r="K52" s="22">
        <f t="shared" si="2"/>
        <v>22264275</v>
      </c>
      <c r="L52" s="5" t="s">
        <v>146</v>
      </c>
      <c r="M52" s="318" t="s">
        <v>530</v>
      </c>
    </row>
    <row r="53" spans="1:13">
      <c r="A53" s="97" t="s">
        <v>531</v>
      </c>
      <c r="B53" s="317">
        <f t="shared" si="3"/>
        <v>8483033</v>
      </c>
      <c r="C53" s="317"/>
      <c r="D53" s="341" t="s">
        <v>532</v>
      </c>
      <c r="E53" s="319">
        <v>45932</v>
      </c>
      <c r="F53" s="315">
        <f t="shared" si="0"/>
        <v>2025</v>
      </c>
      <c r="G53" s="313">
        <f t="shared" si="1"/>
        <v>10</v>
      </c>
      <c r="H53" s="161">
        <v>45960</v>
      </c>
      <c r="I53" s="317">
        <v>4751933</v>
      </c>
      <c r="J53" s="336">
        <v>3731100</v>
      </c>
      <c r="K53" s="22">
        <f t="shared" si="2"/>
        <v>8483033</v>
      </c>
      <c r="L53" s="5" t="s">
        <v>146</v>
      </c>
      <c r="M53" s="318" t="s">
        <v>530</v>
      </c>
    </row>
    <row r="54" spans="1:13">
      <c r="A54" s="97" t="s">
        <v>533</v>
      </c>
      <c r="B54" s="317">
        <f t="shared" si="3"/>
        <v>11907417</v>
      </c>
      <c r="C54" s="162"/>
      <c r="D54" s="341" t="s">
        <v>534</v>
      </c>
      <c r="E54" s="319">
        <v>46031</v>
      </c>
      <c r="F54" s="315">
        <v>2026</v>
      </c>
      <c r="G54" s="313">
        <v>1</v>
      </c>
      <c r="H54" s="161">
        <v>46051</v>
      </c>
      <c r="I54" s="317">
        <v>10158008</v>
      </c>
      <c r="J54" s="336">
        <v>1749409</v>
      </c>
      <c r="K54" s="22">
        <f t="shared" si="2"/>
        <v>11907417</v>
      </c>
      <c r="L54" s="5" t="s">
        <v>146</v>
      </c>
      <c r="M54" s="318" t="s">
        <v>535</v>
      </c>
    </row>
    <row r="55" spans="1:13">
      <c r="A55" s="97" t="s">
        <v>741</v>
      </c>
      <c r="B55" s="317">
        <v>5529226</v>
      </c>
      <c r="C55" s="162"/>
      <c r="D55" s="341" t="s">
        <v>742</v>
      </c>
      <c r="E55" s="319">
        <v>46219</v>
      </c>
      <c r="F55" s="315">
        <v>2026</v>
      </c>
      <c r="G55" s="313">
        <v>8</v>
      </c>
      <c r="H55" s="161">
        <v>46240</v>
      </c>
      <c r="I55" s="317">
        <v>4353686</v>
      </c>
      <c r="J55" s="336">
        <v>1175540</v>
      </c>
      <c r="K55" s="22">
        <f t="shared" si="2"/>
        <v>5529226</v>
      </c>
      <c r="L55" s="5" t="s">
        <v>146</v>
      </c>
      <c r="M55" s="318" t="s">
        <v>744</v>
      </c>
    </row>
    <row r="56" spans="1:13">
      <c r="A56" s="97"/>
      <c r="B56" s="317"/>
      <c r="C56" s="162"/>
      <c r="D56" s="341"/>
      <c r="E56" s="319"/>
      <c r="F56" s="315"/>
      <c r="G56" s="313"/>
      <c r="H56" s="161"/>
      <c r="I56" s="317"/>
      <c r="J56" s="336"/>
      <c r="K56" s="22"/>
      <c r="L56" s="5"/>
      <c r="M56" s="318"/>
    </row>
    <row r="57" spans="1:13">
      <c r="A57" s="97"/>
      <c r="B57" s="317"/>
      <c r="C57" s="162"/>
      <c r="D57" s="341"/>
      <c r="E57" s="319"/>
      <c r="F57" s="315"/>
      <c r="G57" s="313"/>
      <c r="H57" s="161"/>
      <c r="I57" s="317"/>
      <c r="J57" s="336"/>
      <c r="K57" s="22"/>
      <c r="L57" s="5"/>
      <c r="M57" s="318"/>
    </row>
    <row r="58" spans="1:13">
      <c r="A58" s="97"/>
      <c r="B58" s="317"/>
      <c r="C58" s="162"/>
      <c r="D58" s="341"/>
      <c r="E58" s="319"/>
      <c r="F58" s="315"/>
      <c r="G58" s="313"/>
      <c r="H58" s="161"/>
      <c r="I58" s="317"/>
      <c r="J58" s="336"/>
      <c r="K58" s="22"/>
      <c r="L58" s="5"/>
      <c r="M58" s="318"/>
    </row>
    <row r="59" spans="1:13">
      <c r="A59" s="97"/>
      <c r="B59" s="317"/>
      <c r="C59" s="162"/>
      <c r="D59" s="341"/>
      <c r="E59" s="319"/>
      <c r="F59" s="315"/>
      <c r="G59" s="313"/>
      <c r="H59" s="161"/>
      <c r="I59" s="317"/>
      <c r="J59" s="336"/>
      <c r="K59" s="22"/>
      <c r="L59" s="5"/>
      <c r="M59" s="318"/>
    </row>
    <row r="60" spans="1:13">
      <c r="A60" s="97"/>
      <c r="B60" s="317"/>
      <c r="C60" s="162"/>
      <c r="D60" s="341"/>
      <c r="E60" s="319"/>
      <c r="F60" s="315"/>
      <c r="G60" s="313"/>
      <c r="H60" s="161"/>
      <c r="I60" s="317"/>
      <c r="J60" s="336"/>
      <c r="K60" s="22"/>
      <c r="L60" s="5"/>
      <c r="M60" s="318"/>
    </row>
    <row r="61" spans="1:13">
      <c r="A61" s="97"/>
      <c r="B61" s="317"/>
      <c r="C61" s="162"/>
      <c r="D61" s="341"/>
      <c r="E61" s="319"/>
      <c r="F61" s="315"/>
      <c r="G61" s="313"/>
      <c r="H61" s="161"/>
      <c r="I61" s="317"/>
      <c r="J61" s="336"/>
      <c r="K61" s="22"/>
      <c r="L61" s="5"/>
      <c r="M61" s="318"/>
    </row>
    <row r="62" spans="1:13">
      <c r="A62" s="97"/>
      <c r="B62" s="317"/>
      <c r="C62" s="162"/>
      <c r="D62" s="341"/>
      <c r="E62" s="319"/>
      <c r="F62" s="315"/>
      <c r="G62" s="313"/>
      <c r="H62" s="161"/>
      <c r="I62" s="317"/>
      <c r="J62" s="336"/>
      <c r="K62" s="22"/>
      <c r="L62" s="5"/>
      <c r="M62" s="318"/>
    </row>
    <row r="63" spans="1:13">
      <c r="A63" s="97"/>
      <c r="B63" s="317"/>
      <c r="C63" s="162"/>
      <c r="D63" s="341"/>
      <c r="E63" s="319"/>
      <c r="F63" s="315"/>
      <c r="G63" s="313"/>
      <c r="H63" s="161"/>
      <c r="I63" s="317"/>
      <c r="J63" s="336"/>
      <c r="K63" s="22"/>
      <c r="L63" s="5"/>
      <c r="M63" s="318"/>
    </row>
    <row r="64" spans="1:13">
      <c r="A64" s="97"/>
      <c r="B64" s="317"/>
      <c r="C64" s="162"/>
      <c r="D64" s="341"/>
      <c r="E64" s="319"/>
      <c r="F64" s="315"/>
      <c r="G64" s="313"/>
      <c r="H64" s="161"/>
      <c r="I64" s="317"/>
      <c r="J64" s="336"/>
      <c r="K64" s="22"/>
      <c r="L64" s="5"/>
      <c r="M64" s="318"/>
    </row>
    <row r="65" spans="1:13">
      <c r="A65" s="97"/>
      <c r="B65" s="317"/>
      <c r="C65" s="162"/>
      <c r="D65" s="341"/>
      <c r="E65" s="319"/>
      <c r="F65" s="315"/>
      <c r="G65" s="313"/>
      <c r="H65" s="161"/>
      <c r="I65" s="317"/>
      <c r="J65" s="336"/>
      <c r="K65" s="22"/>
      <c r="L65" s="5"/>
      <c r="M65" s="318"/>
    </row>
    <row r="66" spans="1:13">
      <c r="A66" s="97"/>
      <c r="B66" s="317"/>
      <c r="C66" s="162"/>
      <c r="D66" s="341"/>
      <c r="E66" s="319"/>
      <c r="F66" s="315"/>
      <c r="G66" s="313"/>
      <c r="H66" s="161"/>
      <c r="I66" s="317"/>
      <c r="J66" s="336"/>
      <c r="K66" s="22"/>
      <c r="L66" s="5"/>
      <c r="M66" s="318"/>
    </row>
    <row r="67" spans="1:13">
      <c r="A67" s="97"/>
      <c r="B67" s="317"/>
      <c r="C67" s="162"/>
      <c r="D67" s="341"/>
      <c r="E67" s="319"/>
      <c r="F67" s="315"/>
      <c r="G67" s="313"/>
      <c r="H67" s="161"/>
      <c r="I67" s="317"/>
      <c r="J67" s="336"/>
      <c r="K67" s="22"/>
      <c r="L67" s="5"/>
      <c r="M67" s="318"/>
    </row>
    <row r="68" spans="1:13">
      <c r="A68" s="97"/>
      <c r="B68" s="317"/>
      <c r="C68" s="162"/>
      <c r="D68" s="341"/>
      <c r="E68" s="319"/>
      <c r="F68" s="315"/>
      <c r="G68" s="313"/>
      <c r="H68" s="161"/>
      <c r="I68" s="317"/>
      <c r="J68" s="336"/>
      <c r="K68" s="22"/>
      <c r="L68" s="5"/>
      <c r="M68" s="318"/>
    </row>
    <row r="69" spans="1:13">
      <c r="A69" s="323" t="s">
        <v>129</v>
      </c>
      <c r="B69" s="338">
        <f>SUM(B42:B68)</f>
        <v>149805492</v>
      </c>
      <c r="C69" s="324">
        <f>SUM(C42:C68)</f>
        <v>0</v>
      </c>
      <c r="D69" s="325"/>
      <c r="E69" s="325"/>
      <c r="F69" s="326"/>
      <c r="G69" s="325"/>
      <c r="H69" s="327"/>
      <c r="I69" s="328"/>
      <c r="J69" s="339"/>
      <c r="K69" s="329"/>
      <c r="L69" s="330"/>
      <c r="M69" s="33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8554-B9E1-4185-B8FD-BD3843797A33}">
  <sheetPr>
    <tabColor theme="5" tint="0.79998168889431442"/>
  </sheetPr>
  <dimension ref="A1:T75"/>
  <sheetViews>
    <sheetView topLeftCell="J25" workbookViewId="0">
      <selection activeCell="Q47" sqref="Q47"/>
    </sheetView>
  </sheetViews>
  <sheetFormatPr defaultRowHeight="17.399999999999999"/>
  <cols>
    <col min="1" max="3" width="20.69921875" style="246" customWidth="1"/>
    <col min="4" max="4" width="20.69921875" customWidth="1"/>
    <col min="5" max="5" width="20.69921875" style="240" customWidth="1"/>
    <col min="6" max="6" width="20.69921875" customWidth="1"/>
    <col min="7" max="8" width="20.69921875" style="246" customWidth="1"/>
    <col min="9" max="10" width="20.69921875" customWidth="1"/>
    <col min="11" max="11" width="20.69921875" style="240" customWidth="1"/>
    <col min="12" max="14" width="20.69921875" style="270" customWidth="1"/>
    <col min="15" max="15" width="36.8984375" customWidth="1"/>
    <col min="16" max="16" width="27.19921875" customWidth="1"/>
    <col min="18" max="18" width="9" bestFit="1" customWidth="1"/>
  </cols>
  <sheetData>
    <row r="1" spans="1:20" s="6" customFormat="1" ht="15.6">
      <c r="A1" s="287" t="s">
        <v>536</v>
      </c>
      <c r="B1" s="51"/>
      <c r="C1" s="51"/>
      <c r="D1" s="13"/>
      <c r="E1" s="251"/>
      <c r="F1" s="208"/>
      <c r="G1" s="54"/>
      <c r="H1" s="54"/>
      <c r="K1" s="237"/>
      <c r="L1" s="268"/>
      <c r="M1" s="268"/>
      <c r="N1" s="268"/>
    </row>
    <row r="2" spans="1:20" s="6" customFormat="1" ht="13.2">
      <c r="A2" s="46"/>
      <c r="B2" s="46" t="s">
        <v>47</v>
      </c>
      <c r="C2" s="46"/>
      <c r="D2" s="17" t="s">
        <v>49</v>
      </c>
      <c r="E2" s="252"/>
      <c r="G2" s="54"/>
      <c r="H2" s="54"/>
      <c r="K2" s="237"/>
      <c r="L2" s="268"/>
      <c r="M2" s="268"/>
      <c r="N2" s="268"/>
    </row>
    <row r="3" spans="1:20" s="6" customFormat="1" ht="4.5" customHeight="1">
      <c r="A3" s="52"/>
      <c r="B3" s="52"/>
      <c r="C3" s="52"/>
      <c r="D3" s="49"/>
      <c r="E3" s="253"/>
      <c r="G3" s="54"/>
      <c r="H3" s="54"/>
      <c r="K3" s="237"/>
      <c r="L3" s="268"/>
      <c r="M3" s="268"/>
      <c r="N3" s="268"/>
    </row>
    <row r="4" spans="1:20" s="6" customFormat="1" ht="13.2">
      <c r="A4" s="53" t="s">
        <v>1</v>
      </c>
      <c r="B4" s="53"/>
      <c r="C4" s="53"/>
      <c r="D4" s="11" t="s">
        <v>2</v>
      </c>
      <c r="E4" s="254"/>
      <c r="G4" s="54"/>
      <c r="H4" s="54"/>
      <c r="K4" s="237"/>
      <c r="L4" s="268"/>
      <c r="M4" s="268"/>
      <c r="N4" s="268"/>
      <c r="S4" s="55"/>
      <c r="T4" s="56"/>
    </row>
    <row r="5" spans="1:20" s="6" customFormat="1" ht="13.2">
      <c r="A5" s="52"/>
      <c r="B5" s="52"/>
      <c r="C5" s="52"/>
      <c r="D5" s="123"/>
      <c r="E5" s="237"/>
      <c r="G5" s="54"/>
      <c r="H5" s="54"/>
      <c r="K5" s="237"/>
      <c r="L5" s="268"/>
      <c r="M5" s="268"/>
      <c r="N5" s="268"/>
      <c r="S5" s="55"/>
      <c r="T5" s="56"/>
    </row>
    <row r="6" spans="1:20" s="6" customFormat="1" ht="13.8" thickBot="1">
      <c r="A6" s="52" t="s">
        <v>51</v>
      </c>
      <c r="B6" s="52"/>
      <c r="C6" s="52"/>
      <c r="D6" s="123"/>
      <c r="E6" s="237"/>
      <c r="G6" s="54"/>
      <c r="H6" s="54"/>
      <c r="K6" s="237"/>
      <c r="L6" s="268"/>
      <c r="M6" s="268"/>
      <c r="N6" s="268"/>
      <c r="S6" s="55"/>
      <c r="T6" s="56"/>
    </row>
    <row r="7" spans="1:20" s="6" customFormat="1" ht="13.2">
      <c r="A7" s="57" t="s">
        <v>52</v>
      </c>
      <c r="B7" s="227" t="s">
        <v>41</v>
      </c>
      <c r="C7" s="59" t="s">
        <v>26</v>
      </c>
      <c r="D7" s="123"/>
      <c r="E7" s="237"/>
      <c r="G7" s="54"/>
      <c r="H7" s="54"/>
      <c r="K7" s="237"/>
      <c r="L7" s="268"/>
      <c r="M7" s="268"/>
      <c r="N7" s="268"/>
      <c r="S7" s="55"/>
      <c r="T7" s="56"/>
    </row>
    <row r="8" spans="1:20" s="6" customFormat="1" ht="13.2">
      <c r="A8" s="259" t="s">
        <v>54</v>
      </c>
      <c r="B8" s="228">
        <f>L73</f>
        <v>440404.83</v>
      </c>
      <c r="C8" s="129"/>
      <c r="D8" s="123"/>
      <c r="E8" s="237"/>
      <c r="G8" s="54"/>
      <c r="H8" s="54"/>
      <c r="K8" s="237"/>
      <c r="L8" s="268"/>
      <c r="M8" s="268"/>
      <c r="N8" s="268"/>
      <c r="S8" s="55"/>
      <c r="T8" s="56"/>
    </row>
    <row r="9" spans="1:20" s="6" customFormat="1" ht="13.2">
      <c r="A9" s="260" t="s">
        <v>24</v>
      </c>
      <c r="B9" s="229">
        <f>B14+B19+B24+B29+B34</f>
        <v>160795.18</v>
      </c>
      <c r="C9" s="133">
        <f>B9/B8</f>
        <v>0.36510766696178149</v>
      </c>
      <c r="D9" s="123"/>
      <c r="E9" s="237"/>
      <c r="G9" s="54"/>
      <c r="H9" s="54"/>
      <c r="K9" s="237"/>
      <c r="L9" s="268"/>
      <c r="M9" s="268"/>
      <c r="N9" s="268"/>
      <c r="S9" s="55"/>
      <c r="T9" s="56"/>
    </row>
    <row r="10" spans="1:20" s="6" customFormat="1" ht="13.8" thickBot="1">
      <c r="A10" s="261" t="s">
        <v>25</v>
      </c>
      <c r="B10" s="230">
        <f>B8-B9</f>
        <v>279609.65000000002</v>
      </c>
      <c r="C10" s="130">
        <f>B10/B8</f>
        <v>0.63489233303821857</v>
      </c>
      <c r="D10" s="123"/>
      <c r="E10" s="237"/>
      <c r="G10" s="54"/>
      <c r="H10" s="54"/>
      <c r="K10" s="237"/>
      <c r="L10" s="268"/>
      <c r="M10" s="268"/>
      <c r="N10" s="268"/>
      <c r="S10" s="55"/>
      <c r="T10" s="56"/>
    </row>
    <row r="12" spans="1:20" s="6" customFormat="1" ht="13.2">
      <c r="A12" s="379" t="s">
        <v>264</v>
      </c>
      <c r="B12" s="54"/>
      <c r="C12" s="54"/>
      <c r="E12" s="237"/>
      <c r="G12" s="54"/>
      <c r="H12" s="54"/>
      <c r="K12" s="237"/>
      <c r="L12" s="268"/>
      <c r="M12" s="268"/>
      <c r="N12" s="268"/>
    </row>
    <row r="13" spans="1:20" s="149" customFormat="1" ht="13.2">
      <c r="A13" s="241"/>
      <c r="B13" s="241" t="s">
        <v>41</v>
      </c>
      <c r="C13" s="241" t="s">
        <v>57</v>
      </c>
      <c r="D13" s="155"/>
      <c r="E13" s="238"/>
      <c r="F13" s="156"/>
      <c r="G13" s="256"/>
      <c r="H13" s="258"/>
      <c r="I13" s="158"/>
      <c r="K13" s="238"/>
      <c r="L13" s="269"/>
      <c r="M13" s="269"/>
      <c r="N13" s="269"/>
      <c r="S13" s="150"/>
      <c r="T13" s="150"/>
    </row>
    <row r="14" spans="1:20" s="149" customFormat="1" ht="13.2">
      <c r="A14" s="241">
        <v>2023</v>
      </c>
      <c r="B14" s="281">
        <f>SUM(A16:L16)</f>
        <v>69301.98</v>
      </c>
      <c r="C14" s="242">
        <f>SUM(A17:L17)</f>
        <v>0</v>
      </c>
      <c r="E14" s="238"/>
      <c r="G14" s="158"/>
      <c r="H14" s="158"/>
      <c r="I14" s="158"/>
      <c r="K14" s="238"/>
      <c r="L14" s="272"/>
      <c r="M14" s="272"/>
      <c r="N14" s="272"/>
      <c r="S14" s="150"/>
      <c r="T14" s="150"/>
    </row>
    <row r="15" spans="1:20" s="282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239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239" t="s">
        <v>68</v>
      </c>
      <c r="L15" s="239" t="s">
        <v>69</v>
      </c>
      <c r="S15" s="283"/>
      <c r="T15" s="284"/>
    </row>
    <row r="16" spans="1:20" s="280" customFormat="1" ht="13.2">
      <c r="A16" s="279">
        <f>SUMIFS($L$41:$L$69,$I$41:$I$69,2023,$J$41:$J$69,1,$H$41:$H$69,"Y")</f>
        <v>0</v>
      </c>
      <c r="B16" s="279">
        <f>SUMIFS($L$41:$L$69,$I$41:$I$69,2023,$J$41:$J$69,2,$H$41:$H$69,"Y")</f>
        <v>67333.98</v>
      </c>
      <c r="C16" s="279">
        <f>SUMIFS($L$41:$L$69,$I$41:$I$69,2023,$J$41:$J$69,3,$H$41:$H$69,"Y")</f>
        <v>0</v>
      </c>
      <c r="D16" s="279">
        <f>SUMIFS($L$41:$L$69,$I$41:$I$69,2023,$J$41:$J$69,4,$H$41:$H$69,"Y")</f>
        <v>0</v>
      </c>
      <c r="E16" s="279">
        <f>SUMIFS($L$41:$L$69,$I$41:$I$69,2023,$J$41:$J$69,5,$H$41:$H$69,"Y")</f>
        <v>0</v>
      </c>
      <c r="F16" s="279">
        <f>SUMIFS($L$41:$L$69,$I$41:$I$69,2023,$J$41:$J$69,6,$H$41:$H$69,"Y")</f>
        <v>0</v>
      </c>
      <c r="G16" s="279">
        <f>SUMIFS($L$41:$L$69,$I$41:$I$69,2023,$J$41:$J$69,7,$H$41:$H$69,"Y")</f>
        <v>0</v>
      </c>
      <c r="H16" s="279">
        <f>SUMIFS($L$41:$L$69,$I$41:$I$69,2023,$J$41:$J$69,8,$H$41:$H$69,"Y")</f>
        <v>1968</v>
      </c>
      <c r="I16" s="279">
        <f>SUMIFS($L$41:$L$69,$I$41:$I$69,2023,$J$41:$J$69,9,$H$41:$H$69,"Y")</f>
        <v>0</v>
      </c>
      <c r="J16" s="279">
        <f>SUMIFS($L$41:$L$69,$I$41:$I$69,2023,$J$41:$J$69,10,$H$41:$H$69,"Y")</f>
        <v>0</v>
      </c>
      <c r="K16" s="279">
        <f>SUMIFS($L$41:$L$69,$I$41:$I$69,2023,$J$41:$J$69,11,$H$41:$H$69,"Y")</f>
        <v>0</v>
      </c>
      <c r="L16" s="279">
        <f>SUMIFS($L$41:$L$69,$I$41:$I$69,2023,$J$41:$J$69,12,$H$41:$H$69,"Y")</f>
        <v>0</v>
      </c>
    </row>
    <row r="17" spans="1:20" s="285" customFormat="1" ht="13.2">
      <c r="A17" s="170">
        <f>SUMIFS($M$41:$M$69,$I$41:$I$69,2023,$J$41:$J$69,1,$H$41:$H$69,"Y")</f>
        <v>0</v>
      </c>
      <c r="B17" s="170">
        <f>SUMIFS($M$41:$M$69,$I$41:$I$69,2023,$J$41:$J$69,2,$H$41:$H$69,"Y")</f>
        <v>0</v>
      </c>
      <c r="C17" s="170">
        <f>SUMIFS($M$41:$M$69,$I$41:$I$69,2023,$J$41:$J$69,3,$H$41:$H$69,"Y")</f>
        <v>0</v>
      </c>
      <c r="D17" s="170">
        <f>SUMIFS($M$41:$M$69,$I$41:$I$69,2023,$J$41:$J$69,4,$H$41:$H$69,"Y")</f>
        <v>0</v>
      </c>
      <c r="E17" s="170">
        <f>SUMIFS($M$41:$M$69,$I$41:$I$69,2023,$J$41:$J$69,5,$H$41:$H$69,"Y")</f>
        <v>0</v>
      </c>
      <c r="F17" s="170">
        <f>SUMIFS($M$41:$M$69,$I$41:$I$69,2023,$J$41:$J$69,6,$H$41:$H$69,"Y")</f>
        <v>0</v>
      </c>
      <c r="G17" s="170">
        <f>SUMIFS($M$41:$M$69,$I$41:$I$69,2023,$J$41:$J$69,7,$H$41:$H$69,"Y")</f>
        <v>0</v>
      </c>
      <c r="H17" s="170">
        <f>SUMIFS($M$41:$M$69,$I$41:$I$69,2023,$J$41:$J$69,8,$H$41:$H$69,"Y")</f>
        <v>0</v>
      </c>
      <c r="I17" s="170">
        <f>SUMIFS($M$41:$M$69,$I$41:$I$69,2023,$J$41:$J$69,9,$H$41:$H$69,"Y")</f>
        <v>0</v>
      </c>
      <c r="J17" s="170">
        <f>SUMIFS($M$41:$M$69,$I$41:$I$69,2023,$J$41:$J$69,10,$H$41:$H$69,"Y")</f>
        <v>0</v>
      </c>
      <c r="K17" s="170">
        <f>SUMIFS($M$41:$M$69,$I$41:$I$69,2023,$J$41:$J$69,11,$H$41:$H$69,"Y")</f>
        <v>0</v>
      </c>
      <c r="L17" s="170">
        <f>SUMIFS($M$41:$M$69,$I$41:$I$69,2023,$J$41:$J$69,12,$H$41:$H$69,"Y")</f>
        <v>0</v>
      </c>
      <c r="S17" s="286"/>
      <c r="T17" s="286"/>
    </row>
    <row r="18" spans="1:20" s="6" customFormat="1" ht="5.4" customHeight="1">
      <c r="A18" s="54"/>
      <c r="B18" s="54"/>
      <c r="C18" s="54"/>
      <c r="E18" s="237"/>
      <c r="G18" s="54"/>
      <c r="H18" s="54"/>
      <c r="I18" s="54"/>
      <c r="K18" s="237"/>
      <c r="L18" s="271"/>
      <c r="S18" s="55"/>
      <c r="T18" s="56"/>
    </row>
    <row r="19" spans="1:20" s="149" customFormat="1" ht="13.2">
      <c r="A19" s="241">
        <v>2024</v>
      </c>
      <c r="B19" s="281">
        <f>SUM(A21:L21)</f>
        <v>4750</v>
      </c>
      <c r="C19" s="242">
        <f>SUM(A22:L22)</f>
        <v>0</v>
      </c>
      <c r="E19" s="238"/>
      <c r="G19" s="158"/>
      <c r="H19" s="158"/>
      <c r="I19" s="158"/>
      <c r="K19" s="238"/>
      <c r="L19" s="272"/>
      <c r="S19" s="150"/>
      <c r="T19" s="150"/>
    </row>
    <row r="20" spans="1:20" s="282" customFormat="1" ht="13.8">
      <c r="A20" s="136" t="s">
        <v>58</v>
      </c>
      <c r="B20" s="136" t="s">
        <v>59</v>
      </c>
      <c r="C20" s="136" t="s">
        <v>60</v>
      </c>
      <c r="D20" s="136" t="s">
        <v>61</v>
      </c>
      <c r="E20" s="239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239" t="s">
        <v>68</v>
      </c>
      <c r="L20" s="239" t="s">
        <v>69</v>
      </c>
      <c r="S20" s="283"/>
      <c r="T20" s="284"/>
    </row>
    <row r="21" spans="1:20" s="280" customFormat="1" ht="13.2">
      <c r="A21" s="279">
        <f>SUMIFS($L$41:$L$69,$I$41:$I$69,2024,$J$41:$J$69,1,$H$41:$H$69,"Y")</f>
        <v>0</v>
      </c>
      <c r="B21" s="279">
        <f>SUMIFS($L$41:$L$69,$I$41:$I$69,2024,$J$41:$J$69,2,$H$41:$H$69,"Y")</f>
        <v>0</v>
      </c>
      <c r="C21" s="279">
        <f>SUMIFS($L$41:$L$69,$I$41:$I$69,2024,$J$41:$J$69,3,$H$41:$H$69,"Y")</f>
        <v>0</v>
      </c>
      <c r="D21" s="279">
        <f>SUMIFS($L$41:$L$69,$I$41:$I$69,2024,$J$41:$J$69,4,$H$41:$H$69,"Y")</f>
        <v>0</v>
      </c>
      <c r="E21" s="279">
        <f>SUMIFS($L$41:$L$69,$I$41:$I$69,2024,$J$41:$J$69,5,$H$41:$H$69,"Y")</f>
        <v>0</v>
      </c>
      <c r="F21" s="279">
        <f>SUMIFS($L$41:$L$69,$I$41:$I$69,2024,$J$41:$J$69,6,$H$41:$H$69,"Y")</f>
        <v>0</v>
      </c>
      <c r="G21" s="279">
        <f>SUMIFS($L$41:$L$69,$I$41:$I$69,2024,$J$41:$J$69,7,$H$41:$H$69,"Y")</f>
        <v>0</v>
      </c>
      <c r="H21" s="279">
        <f>SUMIFS($L$41:$L$69,$I$41:$I$69,2024,$J$41:$J$69,8,$H$41:$H$69,"Y")</f>
        <v>0</v>
      </c>
      <c r="I21" s="279">
        <f>SUMIFS($L$41:$L$69,$I$41:$I$69,2024,$J$41:$J$69,9,$H$41:$H$69,"Y")</f>
        <v>0</v>
      </c>
      <c r="J21" s="279">
        <f>SUMIFS($L$41:$L$69,$I$41:$I$69,2024,$J$41:$J$69,10,$H$41:$H$69,"Y")</f>
        <v>0</v>
      </c>
      <c r="K21" s="279">
        <f>SUMIFS($L$41:$L$69,$I$41:$I$69,2024,$J$41:$J$69,11,$H$41:$H$69,"Y")</f>
        <v>0</v>
      </c>
      <c r="L21" s="279">
        <f>SUMIFS($L$41:$L$69,$I$41:$I$69,2024,$J$41:$J$69,12,$H$41:$H$69,"Y")</f>
        <v>4750</v>
      </c>
    </row>
    <row r="22" spans="1:20" s="285" customFormat="1" ht="13.2">
      <c r="A22" s="170">
        <f>SUMIFS($M$41:$M$69,$I$41:$I$69,2024,$J$41:$J$69,1,$H$41:$H$69,"Y")</f>
        <v>0</v>
      </c>
      <c r="B22" s="170">
        <f>SUMIFS($M$41:$M$69,$I$41:$I$69,2024,$J$41:$J$69,2,$H$41:$H$69,"Y")</f>
        <v>0</v>
      </c>
      <c r="C22" s="170">
        <f>SUMIFS($M$41:$M$69,$I$41:$I$69,2024,$J$41:$J$69,3,$H$41:$H$69,"Y")</f>
        <v>0</v>
      </c>
      <c r="D22" s="170">
        <f>SUMIFS($M$41:$M$69,$I$41:$I$69,2024,$J$41:$J$69,4,$H$41:$H$69,"Y")</f>
        <v>0</v>
      </c>
      <c r="E22" s="170">
        <f>SUMIFS($M$41:$M$69,$I$41:$I$69,2024,$J$41:$J$69,5,$H$41:$H$69,"Y")</f>
        <v>0</v>
      </c>
      <c r="F22" s="170">
        <f>SUMIFS($M$41:$M$69,$I$41:$I$69,2024,$J$41:$J$69,6,$H$41:$H$69,"Y")</f>
        <v>0</v>
      </c>
      <c r="G22" s="170">
        <f>SUMIFS($M$41:$M$69,$I$41:$I$69,2024,$J$41:$J$69,7,$H$41:$H$69,"Y")</f>
        <v>0</v>
      </c>
      <c r="H22" s="170">
        <f>SUMIFS($M$41:$M$69,$I$41:$I$69,2024,$J$41:$J$69,8,$H$41:$H$69,"Y")</f>
        <v>0</v>
      </c>
      <c r="I22" s="170">
        <f>SUMIFS($M$41:$M$69,$I$41:$I$69,2024,$J$41:$J$69,9,$H$41:$H$69,"Y")</f>
        <v>0</v>
      </c>
      <c r="J22" s="170">
        <f>SUMIFS($M$41:$M$69,$I$41:$I$69,2024,$J$41:$J$69,10,$H$41:$H$69,"Y")</f>
        <v>0</v>
      </c>
      <c r="K22" s="170">
        <f>SUMIFS($M$41:$M$69,$I$41:$I$69,2024,$J$41:$J$69,11,$H$41:$H$69,"Y")</f>
        <v>0</v>
      </c>
      <c r="L22" s="170">
        <f>SUMIFS($M$41:$M$69,$I$41:$I$69,2024,$J$41:$J$69,12,$H$41:$H$69,"Y")</f>
        <v>0</v>
      </c>
      <c r="S22" s="286"/>
      <c r="T22" s="286"/>
    </row>
    <row r="23" spans="1:20" s="6" customFormat="1" ht="5.4" customHeight="1">
      <c r="A23" s="54"/>
      <c r="B23" s="54"/>
      <c r="C23" s="54"/>
      <c r="E23" s="237"/>
      <c r="G23" s="54"/>
      <c r="H23" s="54"/>
      <c r="I23" s="54"/>
      <c r="K23" s="237"/>
      <c r="L23" s="271"/>
      <c r="S23" s="55"/>
      <c r="T23" s="56"/>
    </row>
    <row r="24" spans="1:20" s="149" customFormat="1" ht="13.2">
      <c r="A24" s="241">
        <v>2025</v>
      </c>
      <c r="B24" s="281">
        <f>SUM(A26:L26)</f>
        <v>76627.200000000012</v>
      </c>
      <c r="C24" s="242">
        <f>SUM(A27:L27)</f>
        <v>0</v>
      </c>
      <c r="E24" s="238"/>
      <c r="G24" s="158"/>
      <c r="H24" s="158"/>
      <c r="I24" s="158"/>
      <c r="K24" s="238"/>
      <c r="L24" s="272"/>
      <c r="S24" s="150"/>
      <c r="T24" s="150"/>
    </row>
    <row r="25" spans="1:20" s="282" customFormat="1" ht="13.8">
      <c r="A25" s="136" t="s">
        <v>58</v>
      </c>
      <c r="B25" s="136" t="s">
        <v>59</v>
      </c>
      <c r="C25" s="136" t="s">
        <v>60</v>
      </c>
      <c r="D25" s="136" t="s">
        <v>61</v>
      </c>
      <c r="E25" s="239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239" t="s">
        <v>68</v>
      </c>
      <c r="L25" s="239" t="s">
        <v>69</v>
      </c>
      <c r="S25" s="283"/>
      <c r="T25" s="284"/>
    </row>
    <row r="26" spans="1:20" s="280" customFormat="1" ht="13.2">
      <c r="A26" s="279">
        <f>SUMIFS($L$41:$L$69,$I$41:$I$69,2025,$J$41:$J$69,1,$H$41:$H$69,"Y")</f>
        <v>6213.6</v>
      </c>
      <c r="B26" s="279">
        <f>SUMIFS($L$41:$L$69,$I$41:$I$69,2025,$J$41:$J$69,2,$H$41:$H$69,"Y")</f>
        <v>0</v>
      </c>
      <c r="C26" s="279">
        <f>SUMIFS($L$41:$L$69,$I$41:$I$69,2025,$J$41:$J$69,3,$H$41:$H$69,"Y")</f>
        <v>0</v>
      </c>
      <c r="D26" s="279">
        <f>SUMIFS($L$41:$L$69,$I$41:$I$69,2025,$J$41:$J$69,4,$H$41:$H$69,"Y")</f>
        <v>70413.600000000006</v>
      </c>
      <c r="E26" s="279">
        <f>SUMIFS($L$41:$L$69,$I$41:$I$69,2025,$J$41:$J$69,5,$H$41:$H$69,"Y")</f>
        <v>0</v>
      </c>
      <c r="F26" s="279">
        <f>SUMIFS($L$41:$L$69,$I$41:$I$69,2025,$J$41:$J$69,6,$H$41:$H$69,"Y")</f>
        <v>0</v>
      </c>
      <c r="G26" s="279">
        <f>SUMIFS($L$41:$L$69,$I$41:$I$69,2025,$J$41:$J$69,7,$H$41:$H$69,"Y")</f>
        <v>0</v>
      </c>
      <c r="H26" s="279">
        <f>SUMIFS($L$41:$L$69,$I$41:$I$69,2025,$J$41:$J$69,8,$H$41:$H$69,"Y")</f>
        <v>0</v>
      </c>
      <c r="I26" s="279">
        <f>SUMIFS($L$41:$L$69,$I$41:$I$69,2025,$J$41:$J$69,9,$H$41:$H$69,"Y")</f>
        <v>0</v>
      </c>
      <c r="J26" s="279">
        <f>SUMIFS($L$41:$L$69,$I$41:$I$69,2025,$J$41:$J$69,10,$H$41:$H$69,"Y")</f>
        <v>0</v>
      </c>
      <c r="K26" s="279">
        <f>SUMIFS($L$41:$L$69,$I$41:$I$69,2025,$J$41:$J$69,11,$H$41:$H$69,"Y")</f>
        <v>0</v>
      </c>
      <c r="L26" s="279">
        <f>SUMIFS($L$41:$L$69,$I$41:$I$69,2025,$J$41:$J$69,12,$H$41:$H$69,"Y")</f>
        <v>0</v>
      </c>
    </row>
    <row r="27" spans="1:20" s="285" customFormat="1" ht="13.2">
      <c r="A27" s="170">
        <f>SUMIFS($M$41:$M$69,$I$41:$I$69,2025,$J$41:$J$69,1,$H$41:$H$69,"Y")</f>
        <v>0</v>
      </c>
      <c r="B27" s="170">
        <f>SUMIFS($M$41:$M$69,$I$41:$I$69,2025,$J$41:$J$69,2,$H$41:$H$69,"Y")</f>
        <v>0</v>
      </c>
      <c r="C27" s="170">
        <f>SUMIFS($M$41:$M$69,$I$41:$I$69,2025,$J$41:$J$69,3,$H$41:$H$69,"Y")</f>
        <v>0</v>
      </c>
      <c r="D27" s="170">
        <f>SUMIFS($M$41:$M$69,$I$41:$I$69,2025,$J$41:$J$69,4,$H$41:$H$69,"Y")</f>
        <v>0</v>
      </c>
      <c r="E27" s="170">
        <f>SUMIFS($M$41:$M$69,$I$41:$I$69,2025,$J$41:$J$69,5,$H$41:$H$69,"Y")</f>
        <v>0</v>
      </c>
      <c r="F27" s="170">
        <f>SUMIFS($M$41:$M$69,$I$41:$I$69,2025,$J$41:$J$69,6,$H$41:$H$69,"Y")</f>
        <v>0</v>
      </c>
      <c r="G27" s="170">
        <f>SUMIFS($M$41:$M$69,$I$41:$I$69,2025,$J$41:$J$69,7,$H$41:$H$69,"Y")</f>
        <v>0</v>
      </c>
      <c r="H27" s="170">
        <f>SUMIFS($M$41:$M$69,$I$41:$I$69,2025,$J$41:$J$69,8,$H$41:$H$69,"Y")</f>
        <v>0</v>
      </c>
      <c r="I27" s="170">
        <f>SUMIFS($M$41:$M$69,$I$41:$I$69,2025,$J$41:$J$69,9,$H$41:$H$69,"Y")</f>
        <v>0</v>
      </c>
      <c r="J27" s="170">
        <f>SUMIFS($M$41:$M$69,$I$41:$I$69,2025,$J$41:$J$69,10,$H$41:$H$69,"Y")</f>
        <v>0</v>
      </c>
      <c r="K27" s="170">
        <f>SUMIFS($M$41:$M$69,$I$41:$I$69,2025,$J$41:$J$69,11,$H$41:$H$69,"Y")</f>
        <v>0</v>
      </c>
      <c r="L27" s="170">
        <f>SUMIFS($M$41:$M$69,$I$41:$I$69,2025,$J$41:$J$69,12,$H$41:$H$69,"Y")</f>
        <v>0</v>
      </c>
      <c r="S27" s="286"/>
      <c r="T27" s="286"/>
    </row>
    <row r="28" spans="1:20" s="6" customFormat="1" ht="5.4" customHeight="1">
      <c r="A28" s="54"/>
      <c r="B28" s="54"/>
      <c r="C28" s="54"/>
      <c r="E28" s="237"/>
      <c r="G28" s="54"/>
      <c r="H28" s="54"/>
      <c r="I28" s="54"/>
      <c r="K28" s="237"/>
      <c r="L28" s="271"/>
      <c r="S28" s="55"/>
      <c r="T28" s="56"/>
    </row>
    <row r="29" spans="1:20" s="149" customFormat="1" ht="13.2">
      <c r="A29" s="241">
        <v>2026</v>
      </c>
      <c r="B29" s="281">
        <f>SUM(A31:L31)</f>
        <v>10116</v>
      </c>
      <c r="C29" s="242">
        <f>SUM(A32:L32)</f>
        <v>0</v>
      </c>
      <c r="E29" s="238"/>
      <c r="G29" s="158"/>
      <c r="H29" s="158"/>
      <c r="I29" s="158"/>
      <c r="K29" s="238"/>
      <c r="L29" s="272"/>
      <c r="S29" s="150"/>
      <c r="T29" s="150"/>
    </row>
    <row r="30" spans="1:20" s="282" customFormat="1" ht="13.8">
      <c r="A30" s="136" t="s">
        <v>58</v>
      </c>
      <c r="B30" s="136" t="s">
        <v>59</v>
      </c>
      <c r="C30" s="136" t="s">
        <v>60</v>
      </c>
      <c r="D30" s="136" t="s">
        <v>61</v>
      </c>
      <c r="E30" s="239" t="s">
        <v>62</v>
      </c>
      <c r="F30" s="136" t="s">
        <v>63</v>
      </c>
      <c r="G30" s="136" t="s">
        <v>64</v>
      </c>
      <c r="H30" s="136" t="s">
        <v>65</v>
      </c>
      <c r="I30" s="136" t="s">
        <v>66</v>
      </c>
      <c r="J30" s="136" t="s">
        <v>67</v>
      </c>
      <c r="K30" s="239" t="s">
        <v>68</v>
      </c>
      <c r="L30" s="239" t="s">
        <v>69</v>
      </c>
      <c r="S30" s="283"/>
      <c r="T30" s="284"/>
    </row>
    <row r="31" spans="1:20" s="280" customFormat="1" ht="13.2">
      <c r="A31" s="279">
        <f>SUMIFS($L$41:$L$69,$I$41:$I$69,2026,$J$41:$J$69,1,$H$41:$H$69,"Y")</f>
        <v>0</v>
      </c>
      <c r="B31" s="279">
        <f>SUMIFS($L$41:$L$69,$I$41:$I$69,2026,$J$41:$J$69,2,$H$41:$H$69,"Y")</f>
        <v>0</v>
      </c>
      <c r="C31" s="279">
        <f>SUMIFS($L$41:$L$69,$I$41:$I$69,2026,$J$41:$J$69,3,$H$41:$H$69,"Y")</f>
        <v>0</v>
      </c>
      <c r="D31" s="279">
        <f>SUMIFS($L$41:$L$69,$I$41:$I$69,2026,$J$41:$J$69,4,$H$41:$H$69,"Y")</f>
        <v>0</v>
      </c>
      <c r="E31" s="279">
        <f>SUMIFS($L$41:$L$69,$I$41:$I$69,2026,$J$41:$J$69,5,$H$41:$H$69,"Y")</f>
        <v>10116</v>
      </c>
      <c r="F31" s="279">
        <f>SUMIFS($L$41:$L$69,$I$41:$I$69,2026,$J$41:$J$69,6,$H$41:$H$69,"Y")</f>
        <v>0</v>
      </c>
      <c r="G31" s="279">
        <f>SUMIFS($L$41:$L$69,$I$41:$I$69,2026,$J$41:$J$69,7,$H$41:$H$69,"Y")</f>
        <v>0</v>
      </c>
      <c r="H31" s="279">
        <f>SUMIFS($L$41:$L$69,$I$41:$I$69,2026,$J$41:$J$69,8,$H$41:$H$69,"Y")</f>
        <v>0</v>
      </c>
      <c r="I31" s="279">
        <f>SUMIFS($L$41:$L$69,$I$41:$I$69,2026,$J$41:$J$69,9,$H$41:$H$69,"Y")</f>
        <v>0</v>
      </c>
      <c r="J31" s="279">
        <f>SUMIFS($L$41:$L$69,$I$41:$I$69,2026,$J$41:$J$69,10,$H$41:$H$69,"Y")</f>
        <v>0</v>
      </c>
      <c r="K31" s="279">
        <f>SUMIFS($L$41:$L$69,$I$41:$I$69,2026,$J$41:$J$69,11,$H$41:$H$69,"Y")</f>
        <v>0</v>
      </c>
      <c r="L31" s="279">
        <f>SUMIFS($L$41:$L$69,$I$41:$I$69,2026,$J$41:$J$69,12,$H$41:$H$69,"Y")</f>
        <v>0</v>
      </c>
    </row>
    <row r="32" spans="1:20" s="285" customFormat="1" ht="13.2">
      <c r="A32" s="170">
        <f>SUMIFS($M$41:$M$69,$I$41:$I$69,2026,$J$41:$J$69,1,$H$41:$H$69,"Y")</f>
        <v>0</v>
      </c>
      <c r="B32" s="170">
        <f>SUMIFS($M$41:$M$69,$I$41:$I$69,2026,$J$41:$J$69,2,$H$41:$H$69,"Y")</f>
        <v>0</v>
      </c>
      <c r="C32" s="170">
        <f>SUMIFS($M$41:$M$69,$I$41:$I$69,2026,$J$41:$J$69,3,$H$41:$H$69,"Y")</f>
        <v>0</v>
      </c>
      <c r="D32" s="170">
        <f>SUMIFS($M$41:$M$69,$I$41:$I$69,2026,$J$41:$J$69,4,$H$41:$H$69,"Y")</f>
        <v>0</v>
      </c>
      <c r="E32" s="170">
        <f>SUMIFS($M$41:$M$69,$I$41:$I$69,2026,$J$41:$J$69,5,$H$41:$H$69,"Y")</f>
        <v>0</v>
      </c>
      <c r="F32" s="170">
        <f>SUMIFS($M$41:$M$69,$I$41:$I$69,2026,$J$41:$J$69,6,$H$41:$H$69,"Y")</f>
        <v>0</v>
      </c>
      <c r="G32" s="170">
        <f>SUMIFS($M$41:$M$69,$I$41:$I$69,2026,$J$41:$J$69,7,$H$41:$H$69,"Y")</f>
        <v>0</v>
      </c>
      <c r="H32" s="170">
        <f>SUMIFS($M$41:$M$69,$I$41:$I$69,2026,$J$41:$J$69,8,$H$41:$H$69,"Y")</f>
        <v>0</v>
      </c>
      <c r="I32" s="170">
        <f>SUMIFS($M$41:$M$69,$I$41:$I$69,2026,$J$41:$J$69,9,$H$41:$H$69,"Y")</f>
        <v>0</v>
      </c>
      <c r="J32" s="170">
        <f>SUMIFS($M$41:$M$69,$I$41:$I$69,2026,$J$41:$J$69,10,$H$41:$H$69,"Y")</f>
        <v>0</v>
      </c>
      <c r="K32" s="170">
        <f>SUMIFS($M$41:$M$69,$I$41:$I$69,2026,$J$41:$J$69,11,$H$41:$H$69,"Y")</f>
        <v>0</v>
      </c>
      <c r="L32" s="170">
        <f>SUMIFS($M$41:$M$69,$I$41:$I$69,2026,$J$41:$J$69,12,$H$41:$H$69,"Y")</f>
        <v>0</v>
      </c>
      <c r="S32" s="286"/>
      <c r="T32" s="286"/>
    </row>
    <row r="33" spans="1:20" s="52" customFormat="1" ht="5.4" customHeight="1">
      <c r="A33" s="54"/>
      <c r="B33" s="54"/>
      <c r="C33" s="54"/>
      <c r="D33" s="6"/>
      <c r="E33" s="237"/>
      <c r="F33" s="6"/>
      <c r="G33" s="54"/>
      <c r="H33" s="54"/>
      <c r="I33" s="54"/>
      <c r="J33" s="6"/>
      <c r="K33" s="237"/>
      <c r="L33" s="271"/>
    </row>
    <row r="34" spans="1:20" s="149" customFormat="1" ht="13.2">
      <c r="A34" s="241">
        <v>2027</v>
      </c>
      <c r="B34" s="281">
        <f>SUM(A36:L36)</f>
        <v>0</v>
      </c>
      <c r="C34" s="242">
        <f>SUM(A37:L37)</f>
        <v>0</v>
      </c>
      <c r="E34" s="238"/>
      <c r="G34" s="158"/>
      <c r="H34" s="158"/>
      <c r="I34" s="158"/>
      <c r="K34" s="238"/>
      <c r="L34" s="272"/>
    </row>
    <row r="35" spans="1:20" s="282" customFormat="1" ht="13.8">
      <c r="A35" s="136" t="s">
        <v>58</v>
      </c>
      <c r="B35" s="136" t="s">
        <v>59</v>
      </c>
      <c r="C35" s="136" t="s">
        <v>60</v>
      </c>
      <c r="D35" s="136" t="s">
        <v>61</v>
      </c>
      <c r="E35" s="239" t="s">
        <v>62</v>
      </c>
      <c r="F35" s="136" t="s">
        <v>63</v>
      </c>
      <c r="G35" s="136" t="s">
        <v>64</v>
      </c>
      <c r="H35" s="136" t="s">
        <v>65</v>
      </c>
      <c r="I35" s="136" t="s">
        <v>66</v>
      </c>
      <c r="J35" s="136" t="s">
        <v>67</v>
      </c>
      <c r="K35" s="239" t="s">
        <v>68</v>
      </c>
      <c r="L35" s="239" t="s">
        <v>69</v>
      </c>
      <c r="S35" s="283"/>
      <c r="T35" s="284"/>
    </row>
    <row r="36" spans="1:20" s="280" customFormat="1" ht="13.2">
      <c r="A36" s="279">
        <f>SUMIFS($L$41:$L$69,$I$41:$I$69,2027,$J$41:$J$69,1,$H$41:$H$69,"Y")</f>
        <v>0</v>
      </c>
      <c r="B36" s="279">
        <f>SUMIFS($L$41:$L$69,$I$41:$I$69,2027,$J$41:$J$69,2,$H$41:$H$69,"Y")</f>
        <v>0</v>
      </c>
      <c r="C36" s="279">
        <f>SUMIFS($L$41:$L$69,$I$41:$I$69,2027,$J$41:$J$69,3,$H$41:$H$69,"Y")</f>
        <v>0</v>
      </c>
      <c r="D36" s="279">
        <f>SUMIFS($L$41:$L$69,$I$41:$I$69,2027,$J$41:$J$69,4,$H$41:$H$69,"Y")</f>
        <v>0</v>
      </c>
      <c r="E36" s="279">
        <f>SUMIFS($L$41:$L$69,$I$41:$I$69,2027,$J$41:$J$69,5,$H$41:$H$69,"Y")</f>
        <v>0</v>
      </c>
      <c r="F36" s="279">
        <f>SUMIFS($L$41:$L$69,$I$41:$I$69,2027,$J$41:$J$69,6,$H$41:$H$69,"Y")</f>
        <v>0</v>
      </c>
      <c r="G36" s="279">
        <f>SUMIFS($L$41:$L$69,$I$41:$I$69,2027,$J$41:$J$69,7,$H$41:$H$69,"Y")</f>
        <v>0</v>
      </c>
      <c r="H36" s="279">
        <f>SUMIFS($L$41:$L$69,$I$41:$I$69,2027,$J$41:$J$69,8,$H$41:$H$69,"Y")</f>
        <v>0</v>
      </c>
      <c r="I36" s="279">
        <f>SUMIFS($L$41:$L$69,$I$41:$I$69,2027,$J$41:$J$69,9,$H$41:$H$69,"Y")</f>
        <v>0</v>
      </c>
      <c r="J36" s="279">
        <f>SUMIFS($L$41:$L$69,$I$41:$I$69,2027,$J$41:$J$69,10,$H$41:$H$69,"Y")</f>
        <v>0</v>
      </c>
      <c r="K36" s="279">
        <f>SUMIFS($L$41:$L$69,$I$41:$I$69,2027,$J$41:$J$69,11,$H$41:$H$69,"Y")</f>
        <v>0</v>
      </c>
      <c r="L36" s="279">
        <f>SUMIFS($L$41:$L$69,$I$41:$I$69,2027,$J$41:$J$69,12,$H$41:$H$69,"Y")</f>
        <v>0</v>
      </c>
    </row>
    <row r="37" spans="1:20" s="285" customFormat="1" ht="13.2">
      <c r="A37" s="170">
        <f>SUMIFS($M$41:$M$69,$I$41:$I$69,2027,$J$41:$J$69,1,$H$41:$H$69,"Y")</f>
        <v>0</v>
      </c>
      <c r="B37" s="170">
        <f>SUMIFS($M$41:$M$69,$I$41:$I$69,2027,$J$41:$J$69,2,$H$41:$H$69,"Y")</f>
        <v>0</v>
      </c>
      <c r="C37" s="170">
        <f>SUMIFS($M$41:$M$69,$I$41:$I$69,2027,$J$41:$J$69,3,$H$41:$H$69,"Y")</f>
        <v>0</v>
      </c>
      <c r="D37" s="170">
        <f>SUMIFS($M$41:$M$69,$I$41:$I$69,2027,$J$41:$J$69,4,$H$41:$H$69,"Y")</f>
        <v>0</v>
      </c>
      <c r="E37" s="170">
        <f>SUMIFS($M$41:$M$69,$I$41:$I$69,2027,$J$41:$J$69,5,$H$41:$H$69,"Y")</f>
        <v>0</v>
      </c>
      <c r="F37" s="170">
        <f>SUMIFS($M$41:$M$69,$I$41:$I$69,2027,$J$41:$J$69,6,$H$41:$H$69,"Y")</f>
        <v>0</v>
      </c>
      <c r="G37" s="170">
        <f>SUMIFS($M$41:$M$69,$I$41:$I$69,2027,$J$41:$J$69,7,$H$41:$H$69,"Y")</f>
        <v>0</v>
      </c>
      <c r="H37" s="170">
        <f>SUMIFS($M$41:$M$69,$I$41:$I$69,2027,$J$41:$J$69,8,$H$41:$H$69,"Y")</f>
        <v>0</v>
      </c>
      <c r="I37" s="170">
        <f>SUMIFS($M$41:$M$69,$I$41:$I$69,2027,$J$41:$J$69,9,$H$41:$H$69,"Y")</f>
        <v>0</v>
      </c>
      <c r="J37" s="170">
        <f>SUMIFS($M$41:$M$69,$I$41:$I$69,2027,$J$41:$J$69,10,$H$41:$H$69,"Y")</f>
        <v>0</v>
      </c>
      <c r="K37" s="170">
        <f>SUMIFS($M$41:$M$69,$I$41:$I$69,2027,$J$41:$J$69,11,$H$41:$H$69,"Y")</f>
        <v>0</v>
      </c>
      <c r="L37" s="170">
        <f>SUMIFS($M$41:$M$69,$I$41:$I$69,2027,$J$41:$J$69,12,$H$41:$H$69,"Y")</f>
        <v>0</v>
      </c>
      <c r="S37" s="286"/>
      <c r="T37" s="286"/>
    </row>
    <row r="39" spans="1:20" s="6" customFormat="1" ht="13.8" thickBot="1">
      <c r="A39" s="262" t="s">
        <v>537</v>
      </c>
      <c r="B39" s="54"/>
      <c r="C39" s="54"/>
      <c r="E39" s="237"/>
      <c r="G39" s="54"/>
      <c r="H39" s="54"/>
      <c r="K39" s="237"/>
      <c r="L39" s="268"/>
      <c r="M39" s="268"/>
      <c r="N39" s="268"/>
    </row>
    <row r="40" spans="1:20" s="246" customFormat="1" ht="28.8">
      <c r="A40" s="275" t="s">
        <v>538</v>
      </c>
      <c r="B40" s="275" t="s">
        <v>539</v>
      </c>
      <c r="C40" s="275" t="s">
        <v>540</v>
      </c>
      <c r="D40" s="275" t="s">
        <v>541</v>
      </c>
      <c r="E40" s="276" t="s">
        <v>542</v>
      </c>
      <c r="F40" s="276" t="s">
        <v>543</v>
      </c>
      <c r="G40" s="275" t="s">
        <v>544</v>
      </c>
      <c r="H40" s="275" t="s">
        <v>545</v>
      </c>
      <c r="I40" s="14" t="s">
        <v>139</v>
      </c>
      <c r="J40" s="14" t="s">
        <v>140</v>
      </c>
      <c r="K40" s="275" t="s">
        <v>546</v>
      </c>
      <c r="L40" s="275" t="s">
        <v>547</v>
      </c>
      <c r="M40" s="14" t="s">
        <v>142</v>
      </c>
      <c r="N40" s="306" t="s">
        <v>548</v>
      </c>
      <c r="O40" s="294" t="s">
        <v>549</v>
      </c>
      <c r="P40" s="295"/>
    </row>
    <row r="41" spans="1:20">
      <c r="A41" s="243" t="s">
        <v>550</v>
      </c>
      <c r="B41" s="235" t="s">
        <v>551</v>
      </c>
      <c r="C41" s="243" t="s">
        <v>552</v>
      </c>
      <c r="D41" s="247">
        <v>202800</v>
      </c>
      <c r="E41" s="236" t="s">
        <v>553</v>
      </c>
      <c r="F41" s="250">
        <v>60840</v>
      </c>
      <c r="G41" s="257" t="s">
        <v>554</v>
      </c>
      <c r="H41" s="257" t="s">
        <v>146</v>
      </c>
      <c r="I41" s="243">
        <v>2023</v>
      </c>
      <c r="J41" s="277" t="s">
        <v>59</v>
      </c>
      <c r="K41" s="278">
        <v>44980</v>
      </c>
      <c r="L41" s="264">
        <v>60840</v>
      </c>
      <c r="M41" s="264"/>
      <c r="N41" s="307"/>
      <c r="O41" s="296"/>
      <c r="P41" s="297"/>
    </row>
    <row r="42" spans="1:20" ht="40.799999999999997">
      <c r="A42" s="243"/>
      <c r="B42" s="235"/>
      <c r="C42" s="243"/>
      <c r="D42" s="247"/>
      <c r="E42" s="236" t="s">
        <v>555</v>
      </c>
      <c r="F42" s="250">
        <v>101400</v>
      </c>
      <c r="G42" s="257" t="s">
        <v>556</v>
      </c>
      <c r="H42" s="257" t="s">
        <v>146</v>
      </c>
      <c r="I42" s="243">
        <v>2025</v>
      </c>
      <c r="J42" s="277" t="s">
        <v>557</v>
      </c>
      <c r="K42" s="278">
        <v>45777</v>
      </c>
      <c r="L42" s="264">
        <v>50700</v>
      </c>
      <c r="M42" s="264"/>
      <c r="N42" s="307"/>
      <c r="O42" s="296" t="s">
        <v>558</v>
      </c>
      <c r="P42" s="297" t="s">
        <v>559</v>
      </c>
    </row>
    <row r="43" spans="1:20" ht="28.8">
      <c r="A43" s="243"/>
      <c r="B43" s="235"/>
      <c r="C43" s="243"/>
      <c r="D43" s="247"/>
      <c r="E43" s="236" t="s">
        <v>560</v>
      </c>
      <c r="F43" s="250">
        <v>40560</v>
      </c>
      <c r="G43" s="243"/>
      <c r="H43" s="243"/>
      <c r="I43" s="243"/>
      <c r="J43" s="277"/>
      <c r="K43" s="243"/>
      <c r="L43" s="265"/>
      <c r="M43" s="265"/>
      <c r="N43" s="307"/>
      <c r="O43" s="296"/>
      <c r="P43" s="297"/>
    </row>
    <row r="44" spans="1:20">
      <c r="A44" s="263" t="s">
        <v>561</v>
      </c>
      <c r="B44" s="235" t="s">
        <v>562</v>
      </c>
      <c r="C44" s="243" t="s">
        <v>563</v>
      </c>
      <c r="D44" s="248">
        <v>235300</v>
      </c>
      <c r="E44" s="236" t="s">
        <v>553</v>
      </c>
      <c r="F44" s="255">
        <v>70590</v>
      </c>
      <c r="G44" s="243"/>
      <c r="H44" s="243"/>
      <c r="I44" s="243"/>
      <c r="J44" s="277"/>
      <c r="K44" s="243"/>
      <c r="L44" s="265"/>
      <c r="M44" s="265"/>
      <c r="N44" s="307"/>
      <c r="O44" s="296"/>
      <c r="P44" s="297"/>
    </row>
    <row r="45" spans="1:20" ht="28.8">
      <c r="A45" s="243"/>
      <c r="B45" s="235"/>
      <c r="C45" s="243"/>
      <c r="D45" s="247"/>
      <c r="E45" s="236" t="s">
        <v>555</v>
      </c>
      <c r="F45" s="255">
        <v>117650</v>
      </c>
      <c r="G45" s="243"/>
      <c r="H45" s="243"/>
      <c r="I45" s="243"/>
      <c r="J45" s="277"/>
      <c r="K45" s="243"/>
      <c r="L45" s="265"/>
      <c r="M45" s="265"/>
      <c r="N45" s="307"/>
      <c r="O45" s="296"/>
      <c r="P45" s="297"/>
    </row>
    <row r="46" spans="1:20" ht="28.8">
      <c r="A46" s="243"/>
      <c r="B46" s="235"/>
      <c r="C46" s="243"/>
      <c r="D46" s="247"/>
      <c r="E46" s="236" t="s">
        <v>560</v>
      </c>
      <c r="F46" s="250">
        <v>47060</v>
      </c>
      <c r="G46" s="243"/>
      <c r="H46" s="243"/>
      <c r="I46" s="243"/>
      <c r="J46" s="277"/>
      <c r="K46" s="243"/>
      <c r="L46" s="265"/>
      <c r="M46" s="265"/>
      <c r="N46" s="307"/>
      <c r="O46" s="296"/>
      <c r="P46" s="297"/>
    </row>
    <row r="47" spans="1:20">
      <c r="A47" s="243" t="s">
        <v>564</v>
      </c>
      <c r="B47" s="235" t="s">
        <v>565</v>
      </c>
      <c r="C47" s="243" t="s">
        <v>552</v>
      </c>
      <c r="D47" s="247">
        <v>12987.95</v>
      </c>
      <c r="E47" s="236" t="s">
        <v>566</v>
      </c>
      <c r="F47" s="250">
        <v>6493.98</v>
      </c>
      <c r="G47" s="257" t="s">
        <v>567</v>
      </c>
      <c r="H47" s="257" t="s">
        <v>146</v>
      </c>
      <c r="I47" s="243">
        <v>2023</v>
      </c>
      <c r="J47" s="277" t="s">
        <v>59</v>
      </c>
      <c r="K47" s="278">
        <v>44980</v>
      </c>
      <c r="L47" s="264">
        <v>6493.98</v>
      </c>
      <c r="M47" s="264"/>
      <c r="N47" s="307"/>
      <c r="O47" s="296"/>
      <c r="P47" s="297"/>
    </row>
    <row r="48" spans="1:20">
      <c r="A48" s="243"/>
      <c r="B48" s="235"/>
      <c r="C48" s="243"/>
      <c r="D48" s="247"/>
      <c r="E48" s="236" t="s">
        <v>568</v>
      </c>
      <c r="F48" s="250">
        <v>6493.98</v>
      </c>
      <c r="G48" s="243"/>
      <c r="H48" s="243"/>
      <c r="I48" s="243"/>
      <c r="J48" s="277"/>
      <c r="K48" s="243"/>
      <c r="L48" s="265"/>
      <c r="M48" s="265"/>
      <c r="N48" s="307"/>
      <c r="O48" s="296"/>
      <c r="P48" s="297"/>
    </row>
    <row r="49" spans="1:16">
      <c r="A49" s="244" t="s">
        <v>569</v>
      </c>
      <c r="B49" s="266" t="s">
        <v>565</v>
      </c>
      <c r="C49" s="244" t="s">
        <v>570</v>
      </c>
      <c r="D49" s="247">
        <v>12987.95</v>
      </c>
      <c r="E49" s="236" t="s">
        <v>566</v>
      </c>
      <c r="F49" s="250">
        <v>6493.98</v>
      </c>
      <c r="G49" s="243"/>
      <c r="H49" s="243"/>
      <c r="I49" s="243"/>
      <c r="J49" s="277"/>
      <c r="K49" s="243"/>
      <c r="L49" s="265"/>
      <c r="M49" s="265"/>
      <c r="N49" s="307"/>
      <c r="O49" s="296"/>
      <c r="P49" s="297"/>
    </row>
    <row r="50" spans="1:16" ht="57.6">
      <c r="A50" s="243"/>
      <c r="B50" s="235"/>
      <c r="C50" s="243"/>
      <c r="D50" s="247"/>
      <c r="E50" s="236" t="s">
        <v>568</v>
      </c>
      <c r="F50" s="250">
        <v>6493.98</v>
      </c>
      <c r="G50" s="245" t="s">
        <v>571</v>
      </c>
      <c r="H50" s="243" t="s">
        <v>146</v>
      </c>
      <c r="I50" s="243"/>
      <c r="J50" s="277"/>
      <c r="K50" s="243"/>
      <c r="L50" s="264">
        <v>39245.879999999997</v>
      </c>
      <c r="M50" s="264"/>
      <c r="N50" s="307"/>
      <c r="O50" s="296" t="s">
        <v>572</v>
      </c>
      <c r="P50" s="297" t="s">
        <v>573</v>
      </c>
    </row>
    <row r="51" spans="1:16">
      <c r="A51" s="245" t="s">
        <v>561</v>
      </c>
      <c r="B51" s="267" t="s">
        <v>574</v>
      </c>
      <c r="C51" s="245" t="s">
        <v>570</v>
      </c>
      <c r="D51" s="248">
        <v>69062.89</v>
      </c>
      <c r="E51" s="236" t="s">
        <v>566</v>
      </c>
      <c r="F51" s="247">
        <v>34531.449999999997</v>
      </c>
      <c r="G51" s="243"/>
      <c r="H51" s="243"/>
      <c r="I51" s="243"/>
      <c r="J51" s="277"/>
      <c r="K51" s="243"/>
      <c r="L51" s="265"/>
      <c r="M51" s="265"/>
      <c r="N51" s="307"/>
      <c r="O51" s="296"/>
      <c r="P51" s="297"/>
    </row>
    <row r="52" spans="1:16">
      <c r="A52" s="243"/>
      <c r="B52" s="235"/>
      <c r="C52" s="243"/>
      <c r="D52" s="247"/>
      <c r="E52" s="236" t="s">
        <v>575</v>
      </c>
      <c r="F52" s="247">
        <v>34531.449999999997</v>
      </c>
      <c r="G52" s="243"/>
      <c r="H52" s="243"/>
      <c r="I52" s="243"/>
      <c r="J52" s="277"/>
      <c r="K52" s="243"/>
      <c r="L52" s="265"/>
      <c r="M52" s="265"/>
      <c r="N52" s="307"/>
      <c r="O52" s="296"/>
      <c r="P52" s="297"/>
    </row>
    <row r="53" spans="1:16" ht="72">
      <c r="A53" s="245" t="s">
        <v>576</v>
      </c>
      <c r="B53" s="267" t="s">
        <v>577</v>
      </c>
      <c r="C53" s="245" t="s">
        <v>570</v>
      </c>
      <c r="D53" s="249">
        <v>14500</v>
      </c>
      <c r="E53" s="236" t="s">
        <v>566</v>
      </c>
      <c r="F53" s="250">
        <v>7250</v>
      </c>
      <c r="G53" s="245" t="s">
        <v>578</v>
      </c>
      <c r="H53" s="243" t="s">
        <v>146</v>
      </c>
      <c r="I53" s="243"/>
      <c r="J53" s="277"/>
      <c r="K53" s="243"/>
      <c r="L53" s="264">
        <v>7250</v>
      </c>
      <c r="M53" s="264"/>
      <c r="N53" s="307"/>
      <c r="O53" s="296" t="s">
        <v>579</v>
      </c>
      <c r="P53" s="297"/>
    </row>
    <row r="54" spans="1:16" ht="28.8">
      <c r="A54" s="243"/>
      <c r="B54" s="235"/>
      <c r="C54" s="243"/>
      <c r="D54" s="250"/>
      <c r="E54" s="236" t="s">
        <v>580</v>
      </c>
      <c r="F54" s="250">
        <v>7250</v>
      </c>
      <c r="G54" s="245" t="s">
        <v>578</v>
      </c>
      <c r="H54" s="243" t="s">
        <v>146</v>
      </c>
      <c r="I54" s="243"/>
      <c r="J54" s="277"/>
      <c r="K54" s="243"/>
      <c r="L54" s="264">
        <v>7250</v>
      </c>
      <c r="M54" s="264"/>
      <c r="N54" s="307"/>
      <c r="O54" s="296"/>
      <c r="P54" s="297"/>
    </row>
    <row r="55" spans="1:16">
      <c r="A55" s="243" t="s">
        <v>581</v>
      </c>
      <c r="B55" s="235" t="s">
        <v>582</v>
      </c>
      <c r="C55" s="243" t="s">
        <v>583</v>
      </c>
      <c r="D55" s="249">
        <v>3936</v>
      </c>
      <c r="E55" s="236" t="s">
        <v>566</v>
      </c>
      <c r="F55" s="250">
        <v>1968</v>
      </c>
      <c r="G55" s="245" t="s">
        <v>584</v>
      </c>
      <c r="H55" s="257" t="s">
        <v>146</v>
      </c>
      <c r="I55" s="243">
        <v>2023</v>
      </c>
      <c r="J55" s="277" t="s">
        <v>585</v>
      </c>
      <c r="K55" s="278">
        <v>45148</v>
      </c>
      <c r="L55" s="264">
        <v>1968</v>
      </c>
      <c r="M55" s="264"/>
      <c r="N55" s="307"/>
      <c r="O55" s="296"/>
      <c r="P55" s="297"/>
    </row>
    <row r="56" spans="1:16" ht="28.8">
      <c r="A56" s="243"/>
      <c r="B56" s="235"/>
      <c r="C56" s="243"/>
      <c r="D56" s="247"/>
      <c r="E56" s="236" t="s">
        <v>586</v>
      </c>
      <c r="F56" s="255">
        <v>1968</v>
      </c>
      <c r="G56" s="245" t="s">
        <v>587</v>
      </c>
      <c r="H56" s="257" t="s">
        <v>146</v>
      </c>
      <c r="I56" s="243">
        <v>2026</v>
      </c>
      <c r="J56" s="277" t="s">
        <v>62</v>
      </c>
      <c r="K56" s="278">
        <v>46163</v>
      </c>
      <c r="L56" s="265">
        <v>1968</v>
      </c>
      <c r="M56" s="265"/>
      <c r="N56" s="307"/>
      <c r="O56" s="296"/>
      <c r="P56" s="297" t="s">
        <v>588</v>
      </c>
    </row>
    <row r="57" spans="1:16">
      <c r="A57" s="243"/>
      <c r="B57" s="235"/>
      <c r="C57" s="243"/>
      <c r="D57" s="247"/>
      <c r="E57" s="236"/>
      <c r="F57" s="512">
        <v>3456</v>
      </c>
      <c r="G57" s="245" t="s">
        <v>589</v>
      </c>
      <c r="H57" s="257" t="s">
        <v>146</v>
      </c>
      <c r="I57" s="243">
        <v>2026</v>
      </c>
      <c r="J57" s="277" t="s">
        <v>62</v>
      </c>
      <c r="K57" s="278">
        <v>46163</v>
      </c>
      <c r="L57" s="265">
        <v>3456</v>
      </c>
      <c r="M57" s="265"/>
      <c r="N57" s="307"/>
      <c r="O57" s="296"/>
      <c r="P57" s="297"/>
    </row>
    <row r="58" spans="1:16">
      <c r="A58" s="243"/>
      <c r="B58" s="235"/>
      <c r="C58" s="243"/>
      <c r="D58" s="247"/>
      <c r="E58" s="236"/>
      <c r="F58" s="512">
        <v>4692</v>
      </c>
      <c r="G58" s="245" t="s">
        <v>590</v>
      </c>
      <c r="H58" s="257" t="s">
        <v>146</v>
      </c>
      <c r="I58" s="243">
        <v>2026</v>
      </c>
      <c r="J58" s="277" t="s">
        <v>62</v>
      </c>
      <c r="K58" s="278">
        <v>46163</v>
      </c>
      <c r="L58" s="265">
        <v>4692</v>
      </c>
      <c r="M58" s="265"/>
      <c r="N58" s="307"/>
      <c r="O58" s="296"/>
      <c r="P58" s="297"/>
    </row>
    <row r="59" spans="1:16" ht="43.2">
      <c r="A59" s="243" t="s">
        <v>591</v>
      </c>
      <c r="B59" s="235" t="s">
        <v>592</v>
      </c>
      <c r="C59" s="243" t="s">
        <v>593</v>
      </c>
      <c r="D59" s="249">
        <v>6213.6</v>
      </c>
      <c r="E59" s="236" t="s">
        <v>566</v>
      </c>
      <c r="F59" s="250">
        <v>3106.8</v>
      </c>
      <c r="G59" s="245" t="s">
        <v>594</v>
      </c>
      <c r="H59" s="257" t="s">
        <v>146</v>
      </c>
      <c r="I59" s="243">
        <v>2025</v>
      </c>
      <c r="J59" s="277" t="s">
        <v>557</v>
      </c>
      <c r="K59" s="278">
        <v>45777</v>
      </c>
      <c r="L59" s="264">
        <v>3106.8</v>
      </c>
      <c r="M59" s="264"/>
      <c r="N59" s="307"/>
      <c r="O59" s="296" t="s">
        <v>595</v>
      </c>
      <c r="P59" s="297" t="s">
        <v>596</v>
      </c>
    </row>
    <row r="60" spans="1:16" ht="43.2">
      <c r="A60" s="243"/>
      <c r="B60" s="235"/>
      <c r="C60" s="243"/>
      <c r="D60" s="250"/>
      <c r="E60" s="236" t="s">
        <v>597</v>
      </c>
      <c r="F60" s="250">
        <v>3106.8</v>
      </c>
      <c r="G60" s="245" t="s">
        <v>594</v>
      </c>
      <c r="H60" s="257" t="s">
        <v>146</v>
      </c>
      <c r="I60" s="243">
        <v>2025</v>
      </c>
      <c r="J60" s="277" t="s">
        <v>557</v>
      </c>
      <c r="K60" s="278">
        <v>45777</v>
      </c>
      <c r="L60" s="264">
        <v>3106.8</v>
      </c>
      <c r="M60" s="264"/>
      <c r="N60" s="307"/>
      <c r="O60" s="296" t="s">
        <v>595</v>
      </c>
      <c r="P60" s="297" t="s">
        <v>596</v>
      </c>
    </row>
    <row r="61" spans="1:16">
      <c r="A61" s="243" t="s">
        <v>598</v>
      </c>
      <c r="B61" s="235" t="s">
        <v>599</v>
      </c>
      <c r="C61" s="243" t="s">
        <v>600</v>
      </c>
      <c r="D61" s="249">
        <v>4750</v>
      </c>
      <c r="E61" s="236" t="s">
        <v>566</v>
      </c>
      <c r="F61" s="250">
        <v>2375</v>
      </c>
      <c r="G61" s="245" t="s">
        <v>601</v>
      </c>
      <c r="H61" s="257" t="s">
        <v>146</v>
      </c>
      <c r="I61" s="243">
        <v>2024</v>
      </c>
      <c r="J61" s="277" t="s">
        <v>602</v>
      </c>
      <c r="K61" s="278">
        <v>45631</v>
      </c>
      <c r="L61" s="264">
        <v>2375</v>
      </c>
      <c r="M61" s="264"/>
      <c r="N61" s="307"/>
      <c r="O61" s="296"/>
      <c r="P61" s="297"/>
    </row>
    <row r="62" spans="1:16" ht="28.8">
      <c r="A62" s="243"/>
      <c r="B62" s="235"/>
      <c r="C62" s="243"/>
      <c r="D62" s="247"/>
      <c r="E62" s="236" t="s">
        <v>580</v>
      </c>
      <c r="F62" s="250">
        <v>2375</v>
      </c>
      <c r="G62" s="245" t="s">
        <v>601</v>
      </c>
      <c r="H62" s="257" t="s">
        <v>146</v>
      </c>
      <c r="I62" s="243">
        <v>2024</v>
      </c>
      <c r="J62" s="277" t="s">
        <v>602</v>
      </c>
      <c r="K62" s="278">
        <v>45631</v>
      </c>
      <c r="L62" s="264">
        <v>2375</v>
      </c>
      <c r="M62" s="264"/>
      <c r="N62" s="307"/>
      <c r="O62" s="296"/>
      <c r="P62" s="297"/>
    </row>
    <row r="63" spans="1:16" ht="116.4" customHeight="1">
      <c r="A63" s="243" t="s">
        <v>603</v>
      </c>
      <c r="B63" s="235" t="s">
        <v>604</v>
      </c>
      <c r="C63" s="243" t="s">
        <v>605</v>
      </c>
      <c r="D63" s="249">
        <v>45000</v>
      </c>
      <c r="E63" s="236" t="s">
        <v>553</v>
      </c>
      <c r="F63" s="250">
        <v>13500</v>
      </c>
      <c r="G63" s="245" t="s">
        <v>606</v>
      </c>
      <c r="H63" s="257" t="s">
        <v>146</v>
      </c>
      <c r="I63" s="243">
        <v>2025</v>
      </c>
      <c r="J63" s="277" t="s">
        <v>557</v>
      </c>
      <c r="K63" s="278">
        <v>45777</v>
      </c>
      <c r="L63" s="264">
        <v>13500</v>
      </c>
      <c r="M63" s="264"/>
      <c r="N63" s="307"/>
      <c r="O63" s="296" t="s">
        <v>607</v>
      </c>
      <c r="P63" s="297" t="s">
        <v>608</v>
      </c>
    </row>
    <row r="64" spans="1:16" ht="28.8">
      <c r="A64" s="243"/>
      <c r="B64" s="235"/>
      <c r="C64" s="243"/>
      <c r="D64" s="247"/>
      <c r="E64" s="236" t="s">
        <v>555</v>
      </c>
      <c r="F64" s="255">
        <v>22500</v>
      </c>
      <c r="G64" s="243"/>
      <c r="H64" s="243"/>
      <c r="I64" s="243"/>
      <c r="J64" s="277"/>
      <c r="K64" s="243"/>
      <c r="L64" s="265"/>
      <c r="M64" s="265"/>
      <c r="N64" s="307"/>
      <c r="O64" s="296"/>
      <c r="P64" s="297"/>
    </row>
    <row r="65" spans="1:16" ht="28.8">
      <c r="A65" s="243"/>
      <c r="B65" s="235"/>
      <c r="C65" s="243"/>
      <c r="D65" s="247"/>
      <c r="E65" s="236" t="s">
        <v>560</v>
      </c>
      <c r="F65" s="255">
        <v>9000</v>
      </c>
      <c r="G65" s="243"/>
      <c r="H65" s="243"/>
      <c r="I65" s="243"/>
      <c r="J65" s="277"/>
      <c r="K65" s="243"/>
      <c r="L65" s="265"/>
      <c r="M65" s="265"/>
      <c r="N65" s="307"/>
      <c r="O65" s="296"/>
      <c r="P65" s="297"/>
    </row>
    <row r="66" spans="1:16" ht="71.400000000000006">
      <c r="A66" s="245" t="s">
        <v>561</v>
      </c>
      <c r="B66" s="267" t="s">
        <v>609</v>
      </c>
      <c r="C66" s="245" t="s">
        <v>570</v>
      </c>
      <c r="D66" s="248">
        <v>40863.14</v>
      </c>
      <c r="E66" s="236" t="s">
        <v>566</v>
      </c>
      <c r="F66" s="255">
        <v>20431.57</v>
      </c>
      <c r="G66" s="243"/>
      <c r="H66" s="243"/>
      <c r="I66" s="243"/>
      <c r="J66" s="277"/>
      <c r="K66" s="243"/>
      <c r="L66" s="265"/>
      <c r="M66" s="265"/>
      <c r="N66" s="307"/>
      <c r="O66" s="296"/>
      <c r="P66" s="297" t="s">
        <v>610</v>
      </c>
    </row>
    <row r="67" spans="1:16">
      <c r="A67" s="243"/>
      <c r="B67" s="235"/>
      <c r="C67" s="243"/>
      <c r="D67" s="247"/>
      <c r="E67" s="236" t="s">
        <v>575</v>
      </c>
      <c r="F67" s="255">
        <v>20431.57</v>
      </c>
      <c r="G67" s="243"/>
      <c r="H67" s="243"/>
      <c r="I67" s="243"/>
      <c r="J67" s="277"/>
      <c r="K67" s="243"/>
      <c r="L67" s="265"/>
      <c r="M67" s="265"/>
      <c r="N67" s="307"/>
      <c r="O67" s="296"/>
      <c r="P67" s="297"/>
    </row>
    <row r="68" spans="1:16">
      <c r="A68" s="245" t="s">
        <v>561</v>
      </c>
      <c r="B68" s="235" t="s">
        <v>611</v>
      </c>
      <c r="C68" s="243" t="s">
        <v>612</v>
      </c>
      <c r="D68" s="249">
        <v>6213.6</v>
      </c>
      <c r="E68" s="236" t="s">
        <v>613</v>
      </c>
      <c r="F68" s="255">
        <v>6213.6</v>
      </c>
      <c r="G68" s="245" t="s">
        <v>614</v>
      </c>
      <c r="H68" s="243" t="s">
        <v>146</v>
      </c>
      <c r="I68" s="243">
        <v>2025</v>
      </c>
      <c r="J68" s="277" t="s">
        <v>58</v>
      </c>
      <c r="K68" s="278">
        <v>45659</v>
      </c>
      <c r="L68" s="264">
        <v>6213.6</v>
      </c>
      <c r="M68" s="264"/>
      <c r="N68" s="307"/>
      <c r="O68" s="296"/>
      <c r="P68" s="297"/>
    </row>
    <row r="69" spans="1:16">
      <c r="A69" s="245" t="s">
        <v>561</v>
      </c>
      <c r="B69" s="267" t="s">
        <v>615</v>
      </c>
      <c r="C69" s="245" t="s">
        <v>570</v>
      </c>
      <c r="D69" s="249">
        <v>14565.6</v>
      </c>
      <c r="E69" s="236" t="s">
        <v>613</v>
      </c>
      <c r="F69" s="255">
        <v>14565.6</v>
      </c>
      <c r="G69" s="243"/>
      <c r="H69" s="243"/>
      <c r="I69" s="243"/>
      <c r="J69" s="277"/>
      <c r="K69" s="243"/>
      <c r="L69" s="265"/>
      <c r="M69" s="265"/>
      <c r="N69" s="307"/>
      <c r="O69" s="296"/>
      <c r="P69" s="297"/>
    </row>
    <row r="70" spans="1:16" ht="18" thickBot="1">
      <c r="A70" s="233"/>
      <c r="B70" s="233"/>
      <c r="C70" s="233"/>
      <c r="D70" s="231"/>
      <c r="E70" s="232"/>
      <c r="F70" s="233"/>
      <c r="G70" s="233"/>
      <c r="H70" s="233"/>
      <c r="I70" s="231"/>
      <c r="J70" s="231"/>
      <c r="K70" s="231"/>
      <c r="L70" s="231"/>
      <c r="M70" s="231"/>
      <c r="N70" s="231"/>
      <c r="O70" s="298"/>
      <c r="P70" s="299"/>
    </row>
    <row r="71" spans="1:16">
      <c r="A71" s="233"/>
      <c r="B71" s="233"/>
      <c r="C71" s="233"/>
      <c r="D71" s="231"/>
      <c r="E71" s="232"/>
      <c r="F71" s="234"/>
      <c r="G71" s="234"/>
      <c r="H71" s="234"/>
      <c r="I71" s="273"/>
      <c r="J71" s="274"/>
      <c r="K71" s="288" t="s">
        <v>616</v>
      </c>
      <c r="L71" s="289">
        <v>204425.06</v>
      </c>
      <c r="M71" s="289"/>
      <c r="N71" s="289"/>
      <c r="O71" s="301">
        <v>347522602</v>
      </c>
      <c r="P71" s="295"/>
    </row>
    <row r="72" spans="1:16">
      <c r="A72" s="233"/>
      <c r="B72" s="233"/>
      <c r="C72" s="233"/>
      <c r="D72" s="231"/>
      <c r="E72" s="232"/>
      <c r="F72" s="233"/>
      <c r="G72" s="233"/>
      <c r="H72" s="233"/>
      <c r="I72" s="231"/>
      <c r="J72" s="273"/>
      <c r="K72" s="290" t="s">
        <v>617</v>
      </c>
      <c r="L72" s="273"/>
      <c r="M72" s="273"/>
      <c r="N72" s="273"/>
      <c r="O72" s="232" t="s">
        <v>618</v>
      </c>
      <c r="P72" s="297"/>
    </row>
    <row r="73" spans="1:16" ht="28.8">
      <c r="A73" s="233"/>
      <c r="B73" s="233"/>
      <c r="C73" s="233"/>
      <c r="D73" s="231"/>
      <c r="E73" s="232"/>
      <c r="F73" s="233"/>
      <c r="G73" s="233"/>
      <c r="H73" s="233"/>
      <c r="I73" s="231"/>
      <c r="J73" s="274"/>
      <c r="K73" s="291" t="s">
        <v>619</v>
      </c>
      <c r="L73" s="274">
        <v>440404.83</v>
      </c>
      <c r="M73" s="274"/>
      <c r="N73" s="274"/>
      <c r="O73" s="300">
        <v>748688211</v>
      </c>
      <c r="P73" s="297"/>
    </row>
    <row r="74" spans="1:16" ht="21" thickBot="1">
      <c r="A74" s="233"/>
      <c r="B74" s="233"/>
      <c r="C74" s="233"/>
      <c r="D74" s="231"/>
      <c r="E74" s="232"/>
      <c r="F74" s="233"/>
      <c r="G74" s="233"/>
      <c r="H74" s="233"/>
      <c r="I74" s="231"/>
      <c r="J74" s="274"/>
      <c r="K74" s="292" t="s">
        <v>620</v>
      </c>
      <c r="L74" s="293">
        <v>235979.77</v>
      </c>
      <c r="M74" s="293"/>
      <c r="N74" s="293"/>
      <c r="O74" s="302">
        <v>401165609</v>
      </c>
      <c r="P74" s="303" t="s">
        <v>621</v>
      </c>
    </row>
    <row r="75" spans="1:16">
      <c r="F75" s="246"/>
      <c r="K75" s="304" t="s">
        <v>622</v>
      </c>
      <c r="L75"/>
      <c r="M75"/>
      <c r="N75"/>
      <c r="O75" s="240"/>
      <c r="P75" s="270"/>
    </row>
  </sheetData>
  <autoFilter ref="A40:K40" xr:uid="{56411A81-D81B-4EEB-B41D-38434DEF4CE4}"/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A9A4-1EB3-43C9-9081-6222C01BC5A7}">
  <sheetPr>
    <tabColor theme="5" tint="0.79998168889431442"/>
  </sheetPr>
  <dimension ref="A1:R56"/>
  <sheetViews>
    <sheetView topLeftCell="A19" workbookViewId="0">
      <selection activeCell="F46" sqref="F46"/>
    </sheetView>
  </sheetViews>
  <sheetFormatPr defaultRowHeight="17.399999999999999"/>
  <cols>
    <col min="1" max="2" width="20.69921875" customWidth="1"/>
    <col min="3" max="3" width="25.8984375" customWidth="1"/>
    <col min="4" max="13" width="20.69921875" customWidth="1"/>
  </cols>
  <sheetData>
    <row r="1" spans="1:18" s="6" customFormat="1" ht="15.6">
      <c r="A1" s="47" t="s">
        <v>623</v>
      </c>
      <c r="B1" s="51"/>
      <c r="C1" s="51"/>
      <c r="D1" s="13"/>
      <c r="E1" s="48"/>
      <c r="F1" s="208"/>
      <c r="G1" s="54"/>
      <c r="H1" s="54"/>
    </row>
    <row r="2" spans="1:18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 s="6" customFormat="1" ht="13.2">
      <c r="A5" s="1"/>
      <c r="B5" s="52"/>
      <c r="C5" s="52"/>
      <c r="D5" s="123"/>
      <c r="G5" s="54"/>
      <c r="H5" s="54"/>
      <c r="Q5" s="55"/>
      <c r="R5" s="56"/>
    </row>
    <row r="6" spans="1:18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450</v>
      </c>
      <c r="C7" s="59" t="s">
        <v>26</v>
      </c>
      <c r="D7" s="123"/>
      <c r="G7" s="54"/>
      <c r="H7" s="54"/>
      <c r="Q7" s="55"/>
      <c r="R7" s="56"/>
    </row>
    <row r="8" spans="1:18" s="6" customFormat="1" ht="13.2">
      <c r="A8" s="124" t="s">
        <v>54</v>
      </c>
      <c r="B8" s="415">
        <f>D56</f>
        <v>294600000</v>
      </c>
      <c r="C8" s="129"/>
      <c r="D8" s="123"/>
      <c r="G8" s="54"/>
      <c r="H8" s="54"/>
      <c r="Q8" s="55"/>
      <c r="R8" s="56"/>
    </row>
    <row r="9" spans="1:18" s="6" customFormat="1" ht="13.2">
      <c r="A9" s="131" t="s">
        <v>24</v>
      </c>
      <c r="B9" s="416">
        <f>B14+B18+B22</f>
        <v>54450000</v>
      </c>
      <c r="C9" s="133">
        <f>B9/B8</f>
        <v>0.18482688391038696</v>
      </c>
      <c r="D9" s="123"/>
      <c r="G9" s="54"/>
      <c r="H9" s="54"/>
      <c r="Q9" s="55"/>
      <c r="R9" s="56"/>
    </row>
    <row r="10" spans="1:18" s="6" customFormat="1" ht="13.8" thickBot="1">
      <c r="A10" s="126" t="s">
        <v>25</v>
      </c>
      <c r="B10" s="417">
        <f>B8-B9</f>
        <v>240150000</v>
      </c>
      <c r="C10" s="130">
        <f>B10/B8</f>
        <v>0.81517311608961307</v>
      </c>
      <c r="D10" s="123"/>
      <c r="G10" s="54"/>
      <c r="H10" s="54"/>
      <c r="Q10" s="55"/>
      <c r="R10" s="56"/>
    </row>
    <row r="12" spans="1:18" s="6" customFormat="1" ht="13.2">
      <c r="A12" s="1" t="s">
        <v>264</v>
      </c>
    </row>
    <row r="13" spans="1:18" s="149" customFormat="1" ht="13.2">
      <c r="A13" s="153"/>
      <c r="B13" s="154" t="s">
        <v>57</v>
      </c>
      <c r="C13" s="154"/>
      <c r="D13" s="155"/>
      <c r="F13" s="156"/>
      <c r="G13" s="157"/>
      <c r="H13" s="156"/>
      <c r="I13" s="158"/>
      <c r="Q13" s="150"/>
      <c r="R13" s="150"/>
    </row>
    <row r="14" spans="1:18" s="149" customFormat="1" ht="13.2">
      <c r="A14" s="153">
        <v>2025</v>
      </c>
      <c r="B14" s="412">
        <f>SUM(A16:L16)</f>
        <v>54450000</v>
      </c>
      <c r="C14" s="160"/>
      <c r="I14" s="158"/>
      <c r="Q14" s="150"/>
      <c r="R14" s="150"/>
    </row>
    <row r="15" spans="1:18" s="6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6" customFormat="1" ht="13.2">
      <c r="A16" s="401">
        <f>SUMIFS($K$28:$K$55,$H$28:$H$55,2025,$I$28:$I$55,1,$L$28:$L$55,"Y")</f>
        <v>0</v>
      </c>
      <c r="B16" s="401">
        <f>SUMIFS($K$28:$K$55,$H$28:$H$55,2025,$I$28:$I$55,2,$L$28:$L$55,"Y")</f>
        <v>0</v>
      </c>
      <c r="C16" s="401">
        <f>SUMIFS($K$28:$K$55,$H$28:$H$55,2025,$I$28:$I$55,3,$L$28:$L$55,"Y")</f>
        <v>0</v>
      </c>
      <c r="D16" s="401">
        <f>SUMIFS($K$28:$K$55,$H$28:$H$55,2025,$I$28:$I$55,4,$L$28:$L$55,"Y")</f>
        <v>0</v>
      </c>
      <c r="E16" s="401">
        <f>SUMIFS($K$28:$K$55,$H$28:$H$55,2025,$I$28:$I$55,5,$L$28:$L$55,"Y")</f>
        <v>0</v>
      </c>
      <c r="F16" s="401">
        <f>SUMIFS($K$28:$K$55,$H$28:$H$55,2025,$I$28:$I$55,6,$L$28:$L$55,"Y")</f>
        <v>14190000</v>
      </c>
      <c r="G16" s="401">
        <f>SUMIFS($K$28:$K$55,$H$28:$H$55,2025,$I$28:$I$55,7,$L$28:$L$55,"Y")</f>
        <v>0</v>
      </c>
      <c r="H16" s="401">
        <f>SUMIFS($K$28:$K$55,$H$28:$H$55,2025,$I$28:$I$55,8,$L$28:$L$55,"Y")</f>
        <v>0</v>
      </c>
      <c r="I16" s="401">
        <f>SUMIFS($K$28:$K$55,$H$28:$H$55,2025,$I$28:$I$55,9,$L$28:$L$55,"Y")</f>
        <v>0</v>
      </c>
      <c r="J16" s="401">
        <f>SUMIFS($K$28:$K$55,$H$28:$H$55,2025,$I$28:$I$55,10,$L$28:$L$55,"Y")</f>
        <v>0</v>
      </c>
      <c r="K16" s="401">
        <f>SUMIFS($K$28:$K$55,$H$28:$H$55,2025,$I$28:$I$55,11,$L$28:$L$55,"Y")</f>
        <v>28380000</v>
      </c>
      <c r="L16" s="401">
        <f>SUMIFS($K$28:$K$55,$H$28:$H$55,2025,$I$28:$I$55,12,$L$28:$L$55,"Y")</f>
        <v>11880000</v>
      </c>
      <c r="Q16" s="55"/>
      <c r="R16" s="56"/>
    </row>
    <row r="17" spans="1:18" s="6" customFormat="1" ht="5.4" customHeight="1">
      <c r="I17" s="54"/>
      <c r="Q17" s="55"/>
      <c r="R17" s="56"/>
    </row>
    <row r="18" spans="1:18" s="149" customFormat="1" ht="13.2">
      <c r="A18" s="153">
        <v>2026</v>
      </c>
      <c r="B18" s="412">
        <f>SUM(A20:L20)</f>
        <v>0</v>
      </c>
      <c r="C18" s="160"/>
      <c r="I18" s="158"/>
      <c r="Q18" s="150"/>
      <c r="R18" s="150"/>
    </row>
    <row r="19" spans="1:18" s="6" customFormat="1" ht="13.8">
      <c r="A19" s="136" t="s">
        <v>58</v>
      </c>
      <c r="B19" s="136" t="s">
        <v>59</v>
      </c>
      <c r="C19" s="136" t="s">
        <v>60</v>
      </c>
      <c r="D19" s="136" t="s">
        <v>61</v>
      </c>
      <c r="E19" s="136" t="s">
        <v>62</v>
      </c>
      <c r="F19" s="136" t="s">
        <v>63</v>
      </c>
      <c r="G19" s="136" t="s">
        <v>64</v>
      </c>
      <c r="H19" s="136" t="s">
        <v>65</v>
      </c>
      <c r="I19" s="136" t="s">
        <v>66</v>
      </c>
      <c r="J19" s="136" t="s">
        <v>67</v>
      </c>
      <c r="K19" s="136" t="s">
        <v>68</v>
      </c>
      <c r="L19" s="136" t="s">
        <v>69</v>
      </c>
      <c r="Q19" s="55"/>
      <c r="R19" s="56"/>
    </row>
    <row r="20" spans="1:18" s="6" customFormat="1" ht="13.2">
      <c r="A20" s="401">
        <f>SUMIFS($K$28:$K$55,$H$28:$H$55,2026,$I$28:$I$55,1,$L$28:$L$55,"Y")</f>
        <v>0</v>
      </c>
      <c r="B20" s="401">
        <f>SUMIFS($K$28:$K$55,$H$28:$H$55,2026,$I$28:$I$55,2,$L$28:$L$55,"Y")</f>
        <v>0</v>
      </c>
      <c r="C20" s="401">
        <f>SUMIFS($K$28:$K$55,$H$28:$H$55,2026,$I$28:$I$55,3,$L$28:$L$55,"Y")</f>
        <v>0</v>
      </c>
      <c r="D20" s="401">
        <f>SUMIFS($K$28:$K$55,$H$28:$H$55,2026,$I$28:$I$55,4,$L$28:$L$55,"Y")</f>
        <v>0</v>
      </c>
      <c r="E20" s="401">
        <f>SUMIFS($K$28:$K$55,$H$28:$H$55,2026,$I$28:$I$55,5,$L$28:$L$55,"Y")</f>
        <v>0</v>
      </c>
      <c r="F20" s="401">
        <f>SUMIFS($K$28:$K$55,$H$28:$H$55,2026,$I$28:$I$55,6,$L$28:$L$55,"Y")</f>
        <v>0</v>
      </c>
      <c r="G20" s="401">
        <f>SUMIFS($K$28:$K$55,$H$28:$H$55,2026,$I$28:$I$55,7,$L$28:$L$55,"Y")</f>
        <v>0</v>
      </c>
      <c r="H20" s="401">
        <f>SUMIFS($K$28:$K$55,$H$28:$H$55,2026,$I$28:$I$55,8,$L$28:$L$55,"Y")</f>
        <v>0</v>
      </c>
      <c r="I20" s="401">
        <f>SUMIFS($K$28:$K$55,$H$28:$H$55,2026,$I$28:$I$55,9,$L$28:$L$55,"Y")</f>
        <v>0</v>
      </c>
      <c r="J20" s="401">
        <f>SUMIFS($K$28:$K$55,$H$28:$H$55,2026,$I$28:$I$55,10,$L$28:$L$55,"Y")</f>
        <v>0</v>
      </c>
      <c r="K20" s="401">
        <f>SUMIFS($K$28:$K$55,$H$28:$H$55,2026,$I$28:$I$55,11,$L$28:$L$55,"Y")</f>
        <v>0</v>
      </c>
      <c r="L20" s="401">
        <f>SUMIFS($K$28:$K$55,$H$28:$H$55,2026,$I$28:$I$55,12,$L$28:$L$55,"Y")</f>
        <v>0</v>
      </c>
      <c r="Q20" s="55"/>
      <c r="R20" s="56"/>
    </row>
    <row r="21" spans="1:18" s="52" customFormat="1" ht="5.4" customHeight="1">
      <c r="A21" s="6"/>
      <c r="B21" s="6"/>
      <c r="C21" s="6"/>
      <c r="D21" s="6"/>
      <c r="E21" s="6"/>
      <c r="F21" s="6"/>
      <c r="G21" s="6"/>
      <c r="H21" s="6"/>
      <c r="I21" s="54"/>
      <c r="J21" s="6"/>
      <c r="K21" s="6"/>
      <c r="L21" s="6"/>
    </row>
    <row r="22" spans="1:18" s="149" customFormat="1" ht="13.2">
      <c r="A22" s="153">
        <v>2027</v>
      </c>
      <c r="B22" s="412">
        <f>SUM(A24:L24)</f>
        <v>0</v>
      </c>
      <c r="C22" s="160"/>
      <c r="I22" s="158"/>
    </row>
    <row r="23" spans="1:18" s="6" customFormat="1" ht="13.8">
      <c r="A23" s="136" t="s">
        <v>58</v>
      </c>
      <c r="B23" s="136" t="s">
        <v>59</v>
      </c>
      <c r="C23" s="136" t="s">
        <v>60</v>
      </c>
      <c r="D23" s="136" t="s">
        <v>61</v>
      </c>
      <c r="E23" s="136" t="s">
        <v>62</v>
      </c>
      <c r="F23" s="136" t="s">
        <v>63</v>
      </c>
      <c r="G23" s="136" t="s">
        <v>64</v>
      </c>
      <c r="H23" s="136" t="s">
        <v>65</v>
      </c>
      <c r="I23" s="136" t="s">
        <v>66</v>
      </c>
      <c r="J23" s="136" t="s">
        <v>67</v>
      </c>
      <c r="K23" s="136" t="s">
        <v>68</v>
      </c>
      <c r="L23" s="136" t="s">
        <v>69</v>
      </c>
      <c r="Q23" s="55"/>
      <c r="R23" s="56"/>
    </row>
    <row r="24" spans="1:18" s="6" customFormat="1" ht="13.2">
      <c r="A24" s="401">
        <f>SUMIFS($K$28:$K$55,$H$28:$H$55,2027,$I$28:$I$55,1,$L$28:$L$55,"Y")</f>
        <v>0</v>
      </c>
      <c r="B24" s="401">
        <f>SUMIFS($K$28:$K$55,$H$28:$H$55,2027,$I$28:$I$55,2,$L$28:$L$55,"Y")</f>
        <v>0</v>
      </c>
      <c r="C24" s="401">
        <f>SUMIFS($K$28:$K$55,$H$28:$H$55,2027,$I$28:$I$55,3,$L$28:$L$55,"Y")</f>
        <v>0</v>
      </c>
      <c r="D24" s="401">
        <f>SUMIFS($K$28:$K$55,$H$28:$H$55,2027,$I$28:$I$55,4,$L$28:$L$55,"Y")</f>
        <v>0</v>
      </c>
      <c r="E24" s="401">
        <f>SUMIFS($K$28:$K$55,$H$28:$H$55,2027,$I$28:$I$55,5,$L$28:$L$55,"Y")</f>
        <v>0</v>
      </c>
      <c r="F24" s="401">
        <f>SUMIFS($K$28:$K$55,$H$28:$H$55,2027,$I$28:$I$55,6,$L$28:$L$55,"Y")</f>
        <v>0</v>
      </c>
      <c r="G24" s="401">
        <f>SUMIFS($K$28:$K$55,$H$28:$H$55,2027,$I$28:$I$55,7,$L$28:$L$55,"Y")</f>
        <v>0</v>
      </c>
      <c r="H24" s="401">
        <f>SUMIFS($K$28:$K$55,$H$28:$H$55,2027,$I$28:$I$55,8,$L$28:$L$55,"Y")</f>
        <v>0</v>
      </c>
      <c r="I24" s="401">
        <f>SUMIFS($K$28:$K$55,$H$28:$H$55,2027,$I$28:$I$55,9,$L$28:$L$55,"Y")</f>
        <v>0</v>
      </c>
      <c r="J24" s="401">
        <f>SUMIFS($K$28:$K$55,$H$28:$H$55,2027,$I$28:$I$55,10,$L$28:$L$55,"Y")</f>
        <v>0</v>
      </c>
      <c r="K24" s="401">
        <f>SUMIFS($K$28:$K$55,$H$28:$H$55,2027,$I$28:$I$55,11,$L$28:$L$55,"Y")</f>
        <v>0</v>
      </c>
      <c r="L24" s="401">
        <f>SUMIFS($K$28:$K$55,$H$28:$H$55,2027,$I$28:$I$55,12,$L$28:$L$55,"Y")</f>
        <v>0</v>
      </c>
      <c r="Q24" s="55"/>
      <c r="R24" s="56"/>
    </row>
    <row r="26" spans="1:18" s="6" customFormat="1" ht="13.2">
      <c r="A26" s="1" t="s">
        <v>259</v>
      </c>
      <c r="I26" s="166"/>
    </row>
    <row r="27" spans="1:18" s="6" customFormat="1" ht="28.8">
      <c r="A27" s="14" t="s">
        <v>624</v>
      </c>
      <c r="B27" s="14" t="s">
        <v>625</v>
      </c>
      <c r="C27" s="14" t="s">
        <v>134</v>
      </c>
      <c r="D27" s="384" t="s">
        <v>626</v>
      </c>
      <c r="E27" s="14" t="s">
        <v>452</v>
      </c>
      <c r="F27" s="14" t="s">
        <v>137</v>
      </c>
      <c r="G27" s="14" t="s">
        <v>138</v>
      </c>
      <c r="H27" s="14" t="s">
        <v>139</v>
      </c>
      <c r="I27" s="14" t="s">
        <v>140</v>
      </c>
      <c r="J27" s="14" t="s">
        <v>141</v>
      </c>
      <c r="K27" s="384" t="s">
        <v>627</v>
      </c>
      <c r="L27" s="14" t="s">
        <v>143</v>
      </c>
      <c r="M27" s="172" t="s">
        <v>144</v>
      </c>
    </row>
    <row r="28" spans="1:18" s="6" customFormat="1" ht="13.2">
      <c r="A28" s="97" t="s">
        <v>628</v>
      </c>
      <c r="B28" s="97" t="s">
        <v>629</v>
      </c>
      <c r="C28" s="381" t="s">
        <v>630</v>
      </c>
      <c r="D28" s="380">
        <v>12900000</v>
      </c>
      <c r="E28" s="459">
        <v>12900000</v>
      </c>
      <c r="F28" s="450"/>
      <c r="G28" s="455">
        <v>45819</v>
      </c>
      <c r="H28" s="212">
        <v>2025</v>
      </c>
      <c r="I28" s="212">
        <v>6</v>
      </c>
      <c r="J28" s="465">
        <v>26</v>
      </c>
      <c r="K28" s="461">
        <v>14190000</v>
      </c>
      <c r="L28" s="212" t="s">
        <v>146</v>
      </c>
      <c r="M28" s="451" t="s">
        <v>631</v>
      </c>
    </row>
    <row r="29" spans="1:18" s="6" customFormat="1" ht="15.6">
      <c r="A29" s="97"/>
      <c r="B29" s="97" t="s">
        <v>629</v>
      </c>
      <c r="C29" s="381" t="s">
        <v>632</v>
      </c>
      <c r="D29" s="380">
        <v>25800000</v>
      </c>
      <c r="E29" s="460">
        <v>25800000</v>
      </c>
      <c r="F29" s="4"/>
      <c r="G29" s="456">
        <v>45978</v>
      </c>
      <c r="H29" s="5">
        <v>2025</v>
      </c>
      <c r="I29" s="5">
        <v>11</v>
      </c>
      <c r="J29" s="5">
        <v>27</v>
      </c>
      <c r="K29" s="462">
        <v>28380000</v>
      </c>
      <c r="L29" s="5" t="s">
        <v>146</v>
      </c>
      <c r="M29" s="212" t="s">
        <v>633</v>
      </c>
    </row>
    <row r="30" spans="1:18" s="6" customFormat="1" ht="15.6">
      <c r="A30" s="97"/>
      <c r="B30" s="97" t="s">
        <v>629</v>
      </c>
      <c r="C30" s="381" t="s">
        <v>634</v>
      </c>
      <c r="D30" s="380">
        <v>25800000</v>
      </c>
      <c r="E30" s="452"/>
      <c r="F30" s="4"/>
      <c r="G30" s="456"/>
      <c r="H30" s="5"/>
      <c r="I30" s="5"/>
      <c r="J30" s="5"/>
      <c r="K30" s="462"/>
      <c r="L30" s="5"/>
      <c r="M30" s="23"/>
    </row>
    <row r="31" spans="1:18" s="6" customFormat="1" ht="15.6">
      <c r="A31" s="387"/>
      <c r="B31" s="97" t="s">
        <v>629</v>
      </c>
      <c r="C31" s="381" t="s">
        <v>635</v>
      </c>
      <c r="D31" s="380">
        <v>25800000</v>
      </c>
      <c r="E31" s="452"/>
      <c r="F31" s="4"/>
      <c r="G31" s="456"/>
      <c r="H31" s="5"/>
      <c r="I31" s="5"/>
      <c r="J31" s="5"/>
      <c r="K31" s="462"/>
      <c r="L31" s="5"/>
      <c r="M31" s="23"/>
    </row>
    <row r="32" spans="1:18" s="6" customFormat="1" ht="15.6">
      <c r="A32" s="387"/>
      <c r="B32" s="97" t="s">
        <v>629</v>
      </c>
      <c r="C32" s="381" t="s">
        <v>636</v>
      </c>
      <c r="D32" s="380">
        <v>38700000</v>
      </c>
      <c r="E32" s="452"/>
      <c r="F32" s="4"/>
      <c r="G32" s="456"/>
      <c r="H32" s="5"/>
      <c r="I32" s="5"/>
      <c r="J32" s="5"/>
      <c r="K32" s="462"/>
      <c r="L32" s="5"/>
      <c r="M32" s="23"/>
    </row>
    <row r="33" spans="1:13" s="6" customFormat="1" ht="15.6">
      <c r="A33" s="387"/>
      <c r="B33" s="97" t="s">
        <v>629</v>
      </c>
      <c r="C33" s="381" t="s">
        <v>637</v>
      </c>
      <c r="D33" s="380">
        <v>6138000</v>
      </c>
      <c r="E33" s="452"/>
      <c r="F33" s="4"/>
      <c r="G33" s="456"/>
      <c r="H33" s="5"/>
      <c r="I33" s="5"/>
      <c r="J33" s="5"/>
      <c r="K33" s="462"/>
      <c r="L33" s="5"/>
      <c r="M33" s="23"/>
    </row>
    <row r="34" spans="1:13" s="6" customFormat="1" ht="15.6">
      <c r="A34" s="407"/>
      <c r="B34" s="97" t="s">
        <v>629</v>
      </c>
      <c r="C34" s="544" t="s">
        <v>638</v>
      </c>
      <c r="D34" s="408">
        <v>105462000</v>
      </c>
      <c r="E34" s="453"/>
      <c r="F34" s="409"/>
      <c r="G34" s="457"/>
      <c r="H34" s="410"/>
      <c r="I34" s="410"/>
      <c r="J34" s="410"/>
      <c r="K34" s="463"/>
      <c r="L34" s="410"/>
      <c r="M34" s="411"/>
    </row>
    <row r="35" spans="1:13" s="6" customFormat="1" ht="13.2">
      <c r="A35" s="407"/>
      <c r="B35" s="407"/>
      <c r="C35" s="398"/>
      <c r="D35" s="408"/>
      <c r="E35" s="453"/>
      <c r="F35" s="409"/>
      <c r="G35" s="457"/>
      <c r="H35" s="410"/>
      <c r="I35" s="410"/>
      <c r="J35" s="410"/>
      <c r="K35" s="463"/>
      <c r="L35" s="410"/>
      <c r="M35" s="411"/>
    </row>
    <row r="36" spans="1:13" s="6" customFormat="1" ht="13.2">
      <c r="A36" s="407"/>
      <c r="B36" s="407"/>
      <c r="C36" s="398"/>
      <c r="D36" s="408"/>
      <c r="E36" s="453"/>
      <c r="F36" s="409"/>
      <c r="G36" s="457"/>
      <c r="H36" s="410"/>
      <c r="I36" s="410"/>
      <c r="J36" s="410"/>
      <c r="K36" s="463"/>
      <c r="L36" s="410"/>
      <c r="M36" s="411"/>
    </row>
    <row r="37" spans="1:13" s="6" customFormat="1" ht="13.2">
      <c r="A37" s="407"/>
      <c r="B37" s="407"/>
      <c r="C37" s="398"/>
      <c r="D37" s="408"/>
      <c r="E37" s="453"/>
      <c r="F37" s="409"/>
      <c r="G37" s="457"/>
      <c r="H37" s="410"/>
      <c r="I37" s="410"/>
      <c r="J37" s="410"/>
      <c r="K37" s="463"/>
      <c r="L37" s="410"/>
      <c r="M37" s="411"/>
    </row>
    <row r="38" spans="1:13" s="6" customFormat="1" ht="13.2">
      <c r="A38" s="407"/>
      <c r="B38" s="407"/>
      <c r="C38" s="398"/>
      <c r="D38" s="408"/>
      <c r="E38" s="453"/>
      <c r="F38" s="409"/>
      <c r="G38" s="457"/>
      <c r="H38" s="410"/>
      <c r="I38" s="410"/>
      <c r="J38" s="410"/>
      <c r="K38" s="463"/>
      <c r="L38" s="410"/>
      <c r="M38" s="411"/>
    </row>
    <row r="39" spans="1:13" s="6" customFormat="1" ht="13.2">
      <c r="A39" s="407"/>
      <c r="B39" s="407"/>
      <c r="C39" s="398"/>
      <c r="D39" s="408"/>
      <c r="E39" s="453"/>
      <c r="F39" s="409"/>
      <c r="G39" s="457"/>
      <c r="H39" s="410"/>
      <c r="I39" s="410"/>
      <c r="J39" s="410"/>
      <c r="K39" s="463"/>
      <c r="L39" s="410"/>
      <c r="M39" s="411"/>
    </row>
    <row r="40" spans="1:13" s="6" customFormat="1" ht="13.2">
      <c r="A40" s="407"/>
      <c r="B40" s="407"/>
      <c r="C40" s="398"/>
      <c r="D40" s="408"/>
      <c r="E40" s="453"/>
      <c r="F40" s="409"/>
      <c r="G40" s="457"/>
      <c r="H40" s="410"/>
      <c r="I40" s="410"/>
      <c r="J40" s="410"/>
      <c r="K40" s="463"/>
      <c r="L40" s="410"/>
      <c r="M40" s="411"/>
    </row>
    <row r="41" spans="1:13" s="6" customFormat="1" ht="13.2">
      <c r="A41" s="407"/>
      <c r="B41" s="407"/>
      <c r="C41" s="398"/>
      <c r="D41" s="408"/>
      <c r="E41" s="453"/>
      <c r="F41" s="409"/>
      <c r="G41" s="457"/>
      <c r="H41" s="410"/>
      <c r="I41" s="410"/>
      <c r="J41" s="410"/>
      <c r="K41" s="463"/>
      <c r="L41" s="410"/>
      <c r="M41" s="411"/>
    </row>
    <row r="42" spans="1:13" s="6" customFormat="1" ht="13.8" thickBot="1">
      <c r="A42" s="391"/>
      <c r="B42" s="391"/>
      <c r="C42" s="392"/>
      <c r="D42" s="405"/>
      <c r="E42" s="454"/>
      <c r="F42" s="392"/>
      <c r="G42" s="458"/>
      <c r="H42" s="395"/>
      <c r="I42" s="395"/>
      <c r="J42" s="395"/>
      <c r="K42" s="464"/>
      <c r="L42" s="395"/>
      <c r="M42" s="396"/>
    </row>
    <row r="43" spans="1:13" s="6" customFormat="1" ht="13.2">
      <c r="A43" s="387" t="s">
        <v>639</v>
      </c>
      <c r="B43" s="387" t="s">
        <v>640</v>
      </c>
      <c r="C43" s="381" t="s">
        <v>630</v>
      </c>
      <c r="D43" s="380">
        <v>10800000</v>
      </c>
      <c r="E43" s="452">
        <v>10800000</v>
      </c>
      <c r="F43" s="4"/>
      <c r="G43" s="456">
        <v>46003</v>
      </c>
      <c r="H43" s="5">
        <v>2025</v>
      </c>
      <c r="I43" s="5">
        <v>12</v>
      </c>
      <c r="J43" s="5">
        <v>18</v>
      </c>
      <c r="K43" s="462">
        <v>11880000</v>
      </c>
      <c r="L43" s="5" t="s">
        <v>146</v>
      </c>
      <c r="M43" s="466" t="s">
        <v>641</v>
      </c>
    </row>
    <row r="44" spans="1:13" s="6" customFormat="1" ht="15.6">
      <c r="A44" s="387"/>
      <c r="B44" s="387" t="s">
        <v>640</v>
      </c>
      <c r="C44" s="381" t="s">
        <v>642</v>
      </c>
      <c r="D44" s="380">
        <v>8100000</v>
      </c>
      <c r="E44" s="452"/>
      <c r="F44" s="4"/>
      <c r="G44" s="456"/>
      <c r="H44" s="5"/>
      <c r="I44" s="5"/>
      <c r="J44" s="5"/>
      <c r="K44" s="462"/>
      <c r="L44" s="5"/>
      <c r="M44" s="23"/>
    </row>
    <row r="45" spans="1:13" s="6" customFormat="1" ht="15.6">
      <c r="A45" s="387"/>
      <c r="B45" s="387" t="s">
        <v>640</v>
      </c>
      <c r="C45" s="382" t="s">
        <v>643</v>
      </c>
      <c r="D45" s="380">
        <v>8100000</v>
      </c>
      <c r="E45" s="452"/>
      <c r="F45" s="4"/>
      <c r="G45" s="456"/>
      <c r="H45" s="5"/>
      <c r="I45" s="5"/>
      <c r="J45" s="5"/>
      <c r="K45" s="462"/>
      <c r="L45" s="5"/>
      <c r="M45" s="23"/>
    </row>
    <row r="46" spans="1:13" s="6" customFormat="1" ht="15.6">
      <c r="A46" s="387"/>
      <c r="B46" s="387" t="s">
        <v>640</v>
      </c>
      <c r="C46" s="382" t="s">
        <v>644</v>
      </c>
      <c r="D46" s="380">
        <v>16200000</v>
      </c>
      <c r="E46" s="452"/>
      <c r="F46" s="4"/>
      <c r="G46" s="456"/>
      <c r="H46" s="5"/>
      <c r="I46" s="5"/>
      <c r="J46" s="5"/>
      <c r="K46" s="462"/>
      <c r="L46" s="5"/>
      <c r="M46" s="23"/>
    </row>
    <row r="47" spans="1:13" s="6" customFormat="1" ht="15.6">
      <c r="A47" s="387"/>
      <c r="B47" s="387" t="s">
        <v>640</v>
      </c>
      <c r="C47" s="382" t="s">
        <v>645</v>
      </c>
      <c r="D47" s="380">
        <v>10800000</v>
      </c>
      <c r="E47" s="452"/>
      <c r="F47" s="4"/>
      <c r="G47" s="456"/>
      <c r="H47" s="5"/>
      <c r="I47" s="5"/>
      <c r="J47" s="5"/>
      <c r="K47" s="462"/>
      <c r="L47" s="5"/>
      <c r="M47" s="23"/>
    </row>
    <row r="48" spans="1:13" s="6" customFormat="1" ht="13.2">
      <c r="A48" s="387"/>
      <c r="B48" s="387"/>
      <c r="C48" s="381"/>
      <c r="D48" s="380"/>
      <c r="E48" s="452"/>
      <c r="F48" s="4"/>
      <c r="G48" s="456"/>
      <c r="H48" s="5"/>
      <c r="I48" s="5"/>
      <c r="J48" s="5"/>
      <c r="K48" s="462"/>
      <c r="L48" s="5"/>
      <c r="M48" s="23"/>
    </row>
    <row r="49" spans="1:13" s="6" customFormat="1" ht="13.2">
      <c r="A49" s="387"/>
      <c r="B49" s="387"/>
      <c r="C49" s="381"/>
      <c r="D49" s="380"/>
      <c r="E49" s="452"/>
      <c r="F49" s="4"/>
      <c r="G49" s="456"/>
      <c r="H49" s="5"/>
      <c r="I49" s="5"/>
      <c r="J49" s="5"/>
      <c r="K49" s="462"/>
      <c r="L49" s="5"/>
      <c r="M49" s="23"/>
    </row>
    <row r="50" spans="1:13" s="6" customFormat="1" ht="13.2">
      <c r="A50" s="387"/>
      <c r="B50" s="387"/>
      <c r="C50" s="381"/>
      <c r="D50" s="380"/>
      <c r="E50" s="452"/>
      <c r="F50" s="4"/>
      <c r="G50" s="456"/>
      <c r="H50" s="5"/>
      <c r="I50" s="5"/>
      <c r="J50" s="5"/>
      <c r="K50" s="462"/>
      <c r="L50" s="5"/>
      <c r="M50" s="23"/>
    </row>
    <row r="51" spans="1:13" s="6" customFormat="1" ht="13.2">
      <c r="A51" s="387"/>
      <c r="B51" s="387"/>
      <c r="C51" s="381"/>
      <c r="D51" s="380"/>
      <c r="E51" s="452"/>
      <c r="F51" s="4"/>
      <c r="G51" s="456"/>
      <c r="H51" s="5"/>
      <c r="I51" s="5"/>
      <c r="J51" s="5"/>
      <c r="K51" s="462"/>
      <c r="L51" s="5"/>
      <c r="M51" s="23"/>
    </row>
    <row r="52" spans="1:13" s="6" customFormat="1" ht="13.2">
      <c r="A52" s="387"/>
      <c r="B52" s="387"/>
      <c r="C52" s="381"/>
      <c r="D52" s="380"/>
      <c r="E52" s="452"/>
      <c r="F52" s="4"/>
      <c r="G52" s="456"/>
      <c r="H52" s="5"/>
      <c r="I52" s="5"/>
      <c r="J52" s="5"/>
      <c r="K52" s="462"/>
      <c r="L52" s="5"/>
      <c r="M52" s="23"/>
    </row>
    <row r="53" spans="1:13" s="6" customFormat="1" ht="13.2">
      <c r="A53" s="387"/>
      <c r="B53" s="387"/>
      <c r="C53" s="381"/>
      <c r="D53" s="380"/>
      <c r="E53" s="452"/>
      <c r="F53" s="4"/>
      <c r="G53" s="456"/>
      <c r="H53" s="5"/>
      <c r="I53" s="5"/>
      <c r="J53" s="5"/>
      <c r="K53" s="462"/>
      <c r="L53" s="5"/>
      <c r="M53" s="23"/>
    </row>
    <row r="54" spans="1:13" s="6" customFormat="1" ht="13.2">
      <c r="A54" s="387"/>
      <c r="B54" s="387"/>
      <c r="C54" s="381"/>
      <c r="D54" s="380"/>
      <c r="E54" s="452"/>
      <c r="F54" s="4"/>
      <c r="G54" s="456"/>
      <c r="H54" s="5"/>
      <c r="I54" s="5"/>
      <c r="J54" s="5"/>
      <c r="K54" s="462"/>
      <c r="L54" s="5"/>
      <c r="M54" s="23"/>
    </row>
    <row r="55" spans="1:13" s="6" customFormat="1" ht="13.2">
      <c r="A55" s="390"/>
      <c r="B55" s="390"/>
      <c r="C55" s="545"/>
      <c r="D55" s="406"/>
      <c r="E55" s="452"/>
      <c r="F55" s="4"/>
      <c r="G55" s="456"/>
      <c r="H55" s="5"/>
      <c r="I55" s="5"/>
      <c r="J55" s="5"/>
      <c r="K55" s="462"/>
      <c r="L55" s="5"/>
      <c r="M55" s="23"/>
    </row>
    <row r="56" spans="1:13">
      <c r="C56" s="413" t="s">
        <v>129</v>
      </c>
      <c r="D56" s="414">
        <f>SUM(D28:D55)</f>
        <v>294600000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D5E3-FBCB-4B18-8C7C-D6CA9B5D5386}">
  <sheetPr>
    <tabColor theme="5" tint="0.79998168889431442"/>
  </sheetPr>
  <dimension ref="A1:R50"/>
  <sheetViews>
    <sheetView topLeftCell="A30" workbookViewId="0">
      <selection activeCell="H37" sqref="H37"/>
    </sheetView>
  </sheetViews>
  <sheetFormatPr defaultRowHeight="17.399999999999999"/>
  <cols>
    <col min="1" max="12" width="20.69921875" customWidth="1"/>
  </cols>
  <sheetData>
    <row r="1" spans="1:18" s="6" customFormat="1" ht="15.6">
      <c r="A1" s="47" t="s">
        <v>646</v>
      </c>
      <c r="B1" s="51"/>
      <c r="C1" s="51"/>
      <c r="D1" s="13"/>
      <c r="E1" s="48"/>
      <c r="F1" s="208"/>
      <c r="G1" s="54"/>
      <c r="H1" s="54"/>
    </row>
    <row r="2" spans="1:18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 s="6" customFormat="1" ht="13.2">
      <c r="A5" s="1"/>
      <c r="B5" s="52"/>
      <c r="C5" s="52"/>
      <c r="D5" s="123"/>
      <c r="G5" s="54"/>
      <c r="H5" s="54"/>
      <c r="Q5" s="55"/>
      <c r="R5" s="56"/>
    </row>
    <row r="6" spans="1:18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53</v>
      </c>
      <c r="C7" s="59" t="s">
        <v>26</v>
      </c>
      <c r="D7" s="123"/>
      <c r="G7" s="54"/>
      <c r="H7" s="54"/>
      <c r="Q7" s="55"/>
      <c r="R7" s="56"/>
    </row>
    <row r="8" spans="1:18" s="6" customFormat="1" ht="13.2">
      <c r="A8" s="124" t="s">
        <v>54</v>
      </c>
      <c r="B8" s="127">
        <f>C50</f>
        <v>490894</v>
      </c>
      <c r="C8" s="129"/>
      <c r="D8" s="123"/>
      <c r="G8" s="54"/>
      <c r="H8" s="54"/>
      <c r="Q8" s="55"/>
      <c r="R8" s="56"/>
    </row>
    <row r="9" spans="1:18" s="6" customFormat="1" ht="13.2">
      <c r="A9" s="131" t="s">
        <v>24</v>
      </c>
      <c r="B9" s="132">
        <f>B14+B19+B24</f>
        <v>213142.36</v>
      </c>
      <c r="C9" s="133">
        <f>B9/B8</f>
        <v>0.43419222887222086</v>
      </c>
      <c r="D9" s="123"/>
      <c r="G9" s="54"/>
      <c r="H9" s="54"/>
      <c r="Q9" s="55"/>
      <c r="R9" s="56"/>
    </row>
    <row r="10" spans="1:18" s="6" customFormat="1" ht="13.8" thickBot="1">
      <c r="A10" s="126" t="s">
        <v>25</v>
      </c>
      <c r="B10" s="128">
        <f>B8-B9</f>
        <v>277751.64</v>
      </c>
      <c r="C10" s="130">
        <f>B10/B8</f>
        <v>0.56580777112777914</v>
      </c>
      <c r="D10" s="123"/>
      <c r="G10" s="54"/>
      <c r="H10" s="54"/>
      <c r="Q10" s="55"/>
      <c r="R10" s="56"/>
    </row>
    <row r="12" spans="1:18" s="6" customFormat="1" ht="13.2">
      <c r="A12" s="1" t="s">
        <v>264</v>
      </c>
    </row>
    <row r="13" spans="1:18" s="149" customFormat="1" ht="13.2">
      <c r="A13" s="153"/>
      <c r="B13" s="154" t="s">
        <v>56</v>
      </c>
      <c r="C13" s="154" t="s">
        <v>57</v>
      </c>
      <c r="D13" s="155"/>
      <c r="F13" s="156"/>
      <c r="G13" s="157"/>
      <c r="H13" s="156"/>
      <c r="I13" s="158"/>
      <c r="Q13" s="150"/>
      <c r="R13" s="150"/>
    </row>
    <row r="14" spans="1:18" s="149" customFormat="1" ht="13.2">
      <c r="A14" s="153">
        <v>2025</v>
      </c>
      <c r="B14" s="159">
        <f>SUM(A16:L16)</f>
        <v>184437.87</v>
      </c>
      <c r="C14" s="160">
        <f>SUM(A17:L17)</f>
        <v>184330.90999999997</v>
      </c>
      <c r="I14" s="158"/>
      <c r="Q14" s="150"/>
      <c r="R14" s="150"/>
    </row>
    <row r="15" spans="1:18" s="6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178" customFormat="1" ht="13.2">
      <c r="A16" s="402">
        <f>SUMIFS($D$31:$D$49,$G$31:$G$49,2025,$H$31:$H$49,1,$K$31:$K$49,"Y")</f>
        <v>0</v>
      </c>
      <c r="B16" s="402">
        <f>SUMIFS($D$31:$D$49,$G$31:$G$49,2025,$H$31:$H$49,2,$K$31:$K$49,"Y")</f>
        <v>0</v>
      </c>
      <c r="C16" s="402">
        <f>SUMIFS($D$31:$D$49,$G$31:$G$49,2025,$H$31:$H$49,3,$K$31:$K$49,"Y")</f>
        <v>0</v>
      </c>
      <c r="D16" s="402">
        <f>SUMIFS($D$31:$D$49,$G$31:$G$49,2025,$H$31:$H$49,4,$K$31:$K$49,"Y")</f>
        <v>0</v>
      </c>
      <c r="E16" s="402">
        <f>SUMIFS($D$31:$D$49,$G$31:$G$49,2025,$H$31:$H$49,5,$K$31:$K$49,"Y")</f>
        <v>0</v>
      </c>
      <c r="F16" s="402">
        <f>SUMIFS($D$31:$D$49,$G$31:$G$49,2025,$H$31:$H$49,6,$K$31:$K$49,"Y")</f>
        <v>0</v>
      </c>
      <c r="G16" s="402">
        <f>SUMIFS($D$31:$D$49,$G$31:$G$49,2025,$H$31:$H$49,7,$K$31:$K$49,"Y")</f>
        <v>0</v>
      </c>
      <c r="H16" s="402">
        <f>SUMIFS($D$31:$D$49,$G$31:$G$49,2025,$H$31:$H$49,8,$K$31:$K$49,"Y")</f>
        <v>162651</v>
      </c>
      <c r="I16" s="402">
        <f>SUMIFS($D$31:$D$49,$G$31:$G$49,2025,$H$31:$H$49,9,$K$31:$K$49,"Y")</f>
        <v>4038</v>
      </c>
      <c r="J16" s="402">
        <f>SUMIFS($D$31:$D$49,$G$31:$G$49,2025,$H$31:$H$49,10,$K$31:$K$49,"Y")</f>
        <v>9255.57</v>
      </c>
      <c r="K16" s="402">
        <f>SUMIFS($D$31:$D$49,$G$31:$G$49,2025,$H$31:$H$49,11,$K$31:$K$49,"Y")</f>
        <v>4317.74</v>
      </c>
      <c r="L16" s="402">
        <f>SUMIFS($D$31:$D$49,$G$31:$G$49,2025,$H$31:$H$49,12,$K$31:$K$49,"Y")</f>
        <v>4175.5600000000004</v>
      </c>
      <c r="Q16" s="403"/>
      <c r="R16" s="404"/>
    </row>
    <row r="17" spans="1:18" s="6" customFormat="1" ht="13.2">
      <c r="A17" s="401">
        <f>SUMIFS($J$31:$J$49,$G$31:$G$49,2025,$H$31:$H$49,1,$K$31:$K$49,"Y")</f>
        <v>0</v>
      </c>
      <c r="B17" s="401">
        <f>SUMIFS($J$31:$J$49,$G$31:$G$49,2025,$H$31:$H$49,2,$K$31:$K$49,"Y")</f>
        <v>0</v>
      </c>
      <c r="C17" s="401">
        <f>SUMIFS($J$31:$J$49,$G$31:$G$49,2025,$H$31:$H$49,3,$K$31:$K$49,"Y")</f>
        <v>0</v>
      </c>
      <c r="D17" s="401">
        <f>SUMIFS($J$31:$J$49,$G$31:$G$49,2025,$H$31:$H$49,4,$K$31:$K$49,"Y")</f>
        <v>0</v>
      </c>
      <c r="E17" s="401">
        <f>SUMIFS($J$31:$J$49,$G$31:$G$49,2025,$H$31:$H$49,5,$K$31:$K$49,"Y")</f>
        <v>0</v>
      </c>
      <c r="F17" s="401">
        <f>SUMIFS($J$31:$J$49,$G$31:$G$49,2025,$H$31:$H$49,6,$K$31:$K$49,"Y")</f>
        <v>0</v>
      </c>
      <c r="G17" s="401">
        <f>SUMIFS($J$31:$J$49,$G$31:$G$49,2025,$H$31:$H$49,7,$K$31:$K$49,"Y")</f>
        <v>0</v>
      </c>
      <c r="H17" s="401">
        <f>SUMIFS($J$31:$J$49,$G$31:$G$49,2025,$H$31:$H$49,8,$K$31:$K$49,"Y")</f>
        <v>162651</v>
      </c>
      <c r="I17" s="401">
        <f>SUMIFS($J$31:$J$49,$G$31:$G$49,2025,$H$31:$H$49,9,$K$31:$K$49,"Y")</f>
        <v>4038</v>
      </c>
      <c r="J17" s="401">
        <f>SUMIFS($J$31:$J$49,$G$31:$G$49,2025,$H$31:$H$49,10,$K$31:$K$49,"Y")</f>
        <v>9148.61</v>
      </c>
      <c r="K17" s="401">
        <f>SUMIFS($J$31:$J$49,$G$31:$G$49,2025,$H$31:$H$49,11,$K$31:$K$49,"Y")</f>
        <v>4317.74</v>
      </c>
      <c r="L17" s="401">
        <f>SUMIFS($J$31:$J$49,$G$31:$G$49,2025,$H$31:$H$49,12,$K$31:$K$49,"Y")</f>
        <v>4175.5600000000004</v>
      </c>
      <c r="Q17" s="55"/>
      <c r="R17" s="56"/>
    </row>
    <row r="18" spans="1:18" s="6" customFormat="1" ht="5.4" customHeight="1">
      <c r="I18" s="54"/>
      <c r="Q18" s="55"/>
      <c r="R18" s="56"/>
    </row>
    <row r="19" spans="1:18" s="149" customFormat="1" ht="13.2">
      <c r="A19" s="153">
        <v>2026</v>
      </c>
      <c r="B19" s="159">
        <f>SUM(A21:L21)</f>
        <v>28704.489999999998</v>
      </c>
      <c r="C19" s="160">
        <f>SUM(A22:L22)</f>
        <v>28704.489999999998</v>
      </c>
      <c r="I19" s="158"/>
      <c r="Q19" s="150"/>
      <c r="R19" s="150"/>
    </row>
    <row r="20" spans="1:18" s="6" customFormat="1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 s="178" customFormat="1" ht="13.2">
      <c r="A21" s="402">
        <f>SUMIFS($D$31:$D$49,$G$31:$G$49,2026,$H$31:$H$49,1,$K$31:$K$49,"Y")</f>
        <v>4512.03</v>
      </c>
      <c r="B21" s="402">
        <f>SUMIFS($D$31:$D$49,$G$31:$G$49,2026,$H$31:$H$49,2,$K$31:$K$49,"Y")</f>
        <v>0</v>
      </c>
      <c r="C21" s="402">
        <f>SUMIFS($D$31:$D$49,$G$31:$G$49,2026,$H$31:$H$49,3,$K$31:$K$49,"Y")</f>
        <v>8972.119999999999</v>
      </c>
      <c r="D21" s="402">
        <f>SUMIFS($D$31:$D$49,$G$31:$G$49,2026,$H$31:$H$49,4,$K$31:$K$49,"Y")</f>
        <v>6668.66</v>
      </c>
      <c r="E21" s="402">
        <f>SUMIFS($D$31:$D$49,$G$31:$G$49,2026,$H$31:$H$49,5,$K$31:$K$49,"Y")</f>
        <v>4148</v>
      </c>
      <c r="F21" s="402">
        <f>SUMIFS($D$31:$D$49,$G$31:$G$49,2026,$H$31:$H$49,6,$K$31:$K$49,"Y")</f>
        <v>4403.68</v>
      </c>
      <c r="G21" s="402">
        <f>SUMIFS($D$31:$D$49,$G$31:$G$49,2026,$H$31:$H$49,7,$K$31:$K$49,"Y")</f>
        <v>0</v>
      </c>
      <c r="H21" s="402">
        <f>SUMIFS($D$31:$D$49,$G$31:$G$49,2026,$H$31:$H$49,8,$K$31:$K$49,"Y")</f>
        <v>0</v>
      </c>
      <c r="I21" s="402">
        <f>SUMIFS($D$31:$D$49,$G$31:$G$49,2026,$H$31:$H$49,9,$K$31:$K$49,"Y")</f>
        <v>0</v>
      </c>
      <c r="J21" s="402">
        <f>SUMIFS($D$31:$D$49,$G$31:$G$49,2026,$H$31:$H$49,10,$K$31:$K$49,"Y")</f>
        <v>0</v>
      </c>
      <c r="K21" s="402">
        <f>SUMIFS($D$31:$D$49,$G$31:$G$49,2026,$H$31:$H$49,11,$K$31:$K$49,"Y")</f>
        <v>0</v>
      </c>
      <c r="L21" s="402">
        <f>SUMIFS($D$31:$D$49,$G$31:$G$49,2026,$H$31:$H$49,12,$K$31:$K$49,"Y")</f>
        <v>0</v>
      </c>
      <c r="Q21" s="403"/>
      <c r="R21" s="404"/>
    </row>
    <row r="22" spans="1:18" s="6" customFormat="1" ht="13.2">
      <c r="A22" s="401">
        <f>SUMIFS($J$31:$J$49,$G$31:$G$49,2026,$H$31:$H$49,1,$K$31:$K$49,"Y")</f>
        <v>4512.03</v>
      </c>
      <c r="B22" s="401">
        <f>SUMIFS($J$31:$J$49,$G$31:$G$49,2026,$H$31:$H$49,2,$K$31:$K$49,"Y")</f>
        <v>0</v>
      </c>
      <c r="C22" s="401">
        <f>SUMIFS($J$31:$J$49,$G$31:$G$49,2026,$H$31:$H$49,3,$K$31:$K$49,"Y")</f>
        <v>8972.119999999999</v>
      </c>
      <c r="D22" s="401">
        <f>SUMIFS($J$31:$J$49,$G$31:$G$49,2026,$H$31:$H$49,4,$K$31:$K$49,"Y")</f>
        <v>6668.66</v>
      </c>
      <c r="E22" s="401">
        <f>SUMIFS($J$31:$J$49,$G$31:$G$49,2026,$H$31:$H$49,5,$K$31:$K$49,"Y")</f>
        <v>4148</v>
      </c>
      <c r="F22" s="401">
        <f>SUMIFS($J$31:$J$49,$G$31:$G$49,2026,$H$31:$H$49,6,$K$31:$K$49,"Y")</f>
        <v>4403.68</v>
      </c>
      <c r="G22" s="401">
        <f>SUMIFS($J$31:$J$49,$G$31:$G$49,2026,$H$31:$H$49,7,$K$31:$K$49,"Y")</f>
        <v>0</v>
      </c>
      <c r="H22" s="401">
        <f>SUMIFS($J$31:$J$49,$G$31:$G$49,2026,$H$31:$H$49,8,$K$31:$K$49,"Y")</f>
        <v>0</v>
      </c>
      <c r="I22" s="401">
        <f>SUMIFS($J$31:$J$49,$G$31:$G$49,2026,$H$31:$H$49,9,$K$31:$K$49,"Y")</f>
        <v>0</v>
      </c>
      <c r="J22" s="401">
        <f>SUMIFS($J$31:$J$49,$G$31:$G$49,2026,$H$31:$H$49,10,$K$31:$K$49,"Y")</f>
        <v>0</v>
      </c>
      <c r="K22" s="401">
        <f>SUMIFS($J$31:$J$49,$G$31:$G$49,2026,$H$31:$H$49,11,$K$31:$K$49,"Y")</f>
        <v>0</v>
      </c>
      <c r="L22" s="401">
        <f>SUMIFS($J$31:$J$49,$G$31:$G$49,2026,$H$31:$H$49,12,$K$31:$K$49,"Y")</f>
        <v>0</v>
      </c>
      <c r="Q22" s="55"/>
      <c r="R22" s="56"/>
    </row>
    <row r="23" spans="1:18" s="52" customFormat="1" ht="5.4" customHeight="1">
      <c r="A23" s="6"/>
      <c r="B23" s="6"/>
      <c r="C23" s="6"/>
      <c r="D23" s="6"/>
      <c r="E23" s="6"/>
      <c r="F23" s="6"/>
      <c r="G23" s="6"/>
      <c r="H23" s="6"/>
      <c r="I23" s="54"/>
      <c r="J23" s="6"/>
      <c r="K23" s="6"/>
      <c r="L23" s="6"/>
    </row>
    <row r="24" spans="1:18" s="149" customFormat="1" ht="13.2">
      <c r="A24" s="153">
        <v>2027</v>
      </c>
      <c r="B24" s="159">
        <f>SUM(A26:L26)</f>
        <v>0</v>
      </c>
      <c r="C24" s="160">
        <f>SUM(A27:L27)</f>
        <v>0</v>
      </c>
      <c r="I24" s="158"/>
    </row>
    <row r="25" spans="1:18" s="6" customFormat="1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 s="178" customFormat="1" ht="13.2">
      <c r="A26" s="402">
        <f>SUMIFS($D$31:$D$49,$G$31:$G$49,2027,$H$31:$H$49,1,$K$31:$K$49,"Y")</f>
        <v>0</v>
      </c>
      <c r="B26" s="402">
        <f>SUMIFS($D$31:$D$49,$G$31:$G$49,2027,$H$31:$H$49,2,$K$31:$K$49,"Y")</f>
        <v>0</v>
      </c>
      <c r="C26" s="402">
        <f>SUMIFS($D$31:$D$49,$G$31:$G$49,2027,$H$31:$H$49,3,$K$31:$K$49,"Y")</f>
        <v>0</v>
      </c>
      <c r="D26" s="402">
        <f>SUMIFS($D$31:$D$49,$G$31:$G$49,2027,$H$31:$H$49,4,$K$31:$K$49,"Y")</f>
        <v>0</v>
      </c>
      <c r="E26" s="402">
        <f>SUMIFS($D$31:$D$49,$G$31:$G$49,2027,$H$31:$H$49,5,$K$31:$K$49,"Y")</f>
        <v>0</v>
      </c>
      <c r="F26" s="402">
        <f>SUMIFS($D$31:$D$49,$G$31:$G$49,2027,$H$31:$H$49,6,$K$31:$K$49,"Y")</f>
        <v>0</v>
      </c>
      <c r="G26" s="402">
        <f>SUMIFS($D$31:$D$49,$G$31:$G$49,2027,$H$31:$H$49,7,$K$31:$K$49,"Y")</f>
        <v>0</v>
      </c>
      <c r="H26" s="402">
        <f>SUMIFS($D$31:$D$49,$G$31:$G$49,2027,$H$31:$H$49,8,$K$31:$K$49,"Y")</f>
        <v>0</v>
      </c>
      <c r="I26" s="402">
        <f>SUMIFS($D$31:$D$49,$G$31:$G$49,2027,$H$31:$H$49,9,$K$31:$K$49,"Y")</f>
        <v>0</v>
      </c>
      <c r="J26" s="402">
        <f>SUMIFS($D$31:$D$49,$G$31:$G$49,2027,$H$31:$H$49,10,$K$31:$K$49,"Y")</f>
        <v>0</v>
      </c>
      <c r="K26" s="402">
        <f>SUMIFS($D$31:$D$49,$G$31:$G$49,2027,$H$31:$H$49,11,$K$31:$K$49,"Y")</f>
        <v>0</v>
      </c>
      <c r="L26" s="402">
        <f>SUMIFS($D$31:$D$49,$G$31:$G$49,2027,$H$31:$H$49,12,$K$31:$K$49,"Y")</f>
        <v>0</v>
      </c>
      <c r="Q26" s="403"/>
      <c r="R26" s="404"/>
    </row>
    <row r="27" spans="1:18" s="6" customFormat="1" ht="13.2">
      <c r="A27" s="401">
        <f>SUMIFS($J$31:$J$49,$G$31:$G$49,2027,$H$31:$H$49,1,$K$31:$K$49,"Y")</f>
        <v>0</v>
      </c>
      <c r="B27" s="401">
        <f>SUMIFS($J$31:$J$49,$G$31:$G$49,2027,$H$31:$H$49,2,$K$31:$K$49,"Y")</f>
        <v>0</v>
      </c>
      <c r="C27" s="401">
        <f>SUMIFS($J$31:$J$49,$G$31:$G$49,2027,$H$31:$H$49,3,$K$31:$K$49,"Y")</f>
        <v>0</v>
      </c>
      <c r="D27" s="401">
        <f>SUMIFS($J$31:$J$49,$G$31:$G$49,2027,$H$31:$H$49,4,$K$31:$K$49,"Y")</f>
        <v>0</v>
      </c>
      <c r="E27" s="401">
        <f>SUMIFS($J$31:$J$49,$G$31:$G$49,2027,$H$31:$H$49,5,$K$31:$K$49,"Y")</f>
        <v>0</v>
      </c>
      <c r="F27" s="401">
        <f>SUMIFS($J$31:$J$49,$G$31:$G$49,2027,$H$31:$H$49,6,$K$31:$K$49,"Y")</f>
        <v>0</v>
      </c>
      <c r="G27" s="401">
        <f>SUMIFS($J$31:$J$49,$G$31:$G$49,2027,$H$31:$H$49,7,$K$31:$K$49,"Y")</f>
        <v>0</v>
      </c>
      <c r="H27" s="401">
        <f>SUMIFS($J$31:$J$49,$G$31:$G$49,2027,$H$31:$H$49,8,$K$31:$K$49,"Y")</f>
        <v>0</v>
      </c>
      <c r="I27" s="401">
        <f>SUMIFS($J$31:$J$49,$G$31:$G$49,2027,$H$31:$H$49,9,$K$31:$K$49,"Y")</f>
        <v>0</v>
      </c>
      <c r="J27" s="401">
        <f>SUMIFS($J$31:$J$49,$G$31:$G$49,2027,$H$31:$H$49,10,$K$31:$K$49,"Y")</f>
        <v>0</v>
      </c>
      <c r="K27" s="401">
        <f>SUMIFS($J$31:$J$49,$G$31:$G$49,2027,$H$31:$H$49,11,$K$31:$K$49,"Y")</f>
        <v>0</v>
      </c>
      <c r="L27" s="401">
        <f>SUMIFS($J$31:$J$49,$G$31:$G$49,2027,$H$31:$H$49,12,$K$31:$K$49,"Y")</f>
        <v>0</v>
      </c>
      <c r="Q27" s="55"/>
      <c r="R27" s="56"/>
    </row>
    <row r="28" spans="1:18" s="6" customFormat="1" ht="13.2"/>
    <row r="29" spans="1:18" s="6" customFormat="1" ht="13.2">
      <c r="A29" s="1" t="s">
        <v>259</v>
      </c>
      <c r="I29" s="166"/>
    </row>
    <row r="30" spans="1:18" s="6" customFormat="1" ht="15.6">
      <c r="A30" s="14" t="s">
        <v>647</v>
      </c>
      <c r="B30" s="14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648</v>
      </c>
      <c r="K30" s="14" t="s">
        <v>143</v>
      </c>
      <c r="L30" s="172" t="s">
        <v>144</v>
      </c>
    </row>
    <row r="31" spans="1:18" s="6" customFormat="1" ht="39.6" customHeight="1">
      <c r="A31" s="97" t="s">
        <v>649</v>
      </c>
      <c r="B31" s="554" t="s">
        <v>650</v>
      </c>
      <c r="C31" s="389">
        <v>25000</v>
      </c>
      <c r="D31" s="470">
        <v>162651</v>
      </c>
      <c r="E31" s="467">
        <v>110007019</v>
      </c>
      <c r="F31" s="472">
        <v>45838</v>
      </c>
      <c r="G31" s="212">
        <v>2025</v>
      </c>
      <c r="H31" s="212">
        <v>8</v>
      </c>
      <c r="I31" s="474">
        <v>14</v>
      </c>
      <c r="J31" s="469">
        <v>162651</v>
      </c>
      <c r="K31" s="212" t="s">
        <v>146</v>
      </c>
      <c r="L31" s="468" t="s">
        <v>651</v>
      </c>
    </row>
    <row r="32" spans="1:18" s="6" customFormat="1" ht="13.2">
      <c r="A32" s="97" t="s">
        <v>652</v>
      </c>
      <c r="B32" s="555"/>
      <c r="C32" s="389">
        <v>25000</v>
      </c>
      <c r="D32" s="470">
        <v>4038</v>
      </c>
      <c r="E32" s="5">
        <v>110007238</v>
      </c>
      <c r="F32" s="473">
        <v>45869</v>
      </c>
      <c r="G32" s="5">
        <v>2025</v>
      </c>
      <c r="H32" s="5">
        <v>9</v>
      </c>
      <c r="I32" s="5">
        <v>11</v>
      </c>
      <c r="J32" s="476">
        <v>4038</v>
      </c>
      <c r="K32" s="5" t="s">
        <v>146</v>
      </c>
      <c r="L32" s="212" t="s">
        <v>653</v>
      </c>
    </row>
    <row r="33" spans="1:12" s="6" customFormat="1" ht="13.2">
      <c r="A33" s="97" t="s">
        <v>654</v>
      </c>
      <c r="B33" s="555"/>
      <c r="C33" s="389">
        <v>12000</v>
      </c>
      <c r="D33" s="470">
        <v>4796.1499999999996</v>
      </c>
      <c r="E33" s="5">
        <v>110007486</v>
      </c>
      <c r="F33" s="473">
        <v>45900</v>
      </c>
      <c r="G33" s="5">
        <v>2025</v>
      </c>
      <c r="H33" s="5">
        <v>10</v>
      </c>
      <c r="I33" s="5">
        <v>30</v>
      </c>
      <c r="J33" s="476">
        <v>4689.1899999999996</v>
      </c>
      <c r="K33" s="5" t="s">
        <v>146</v>
      </c>
      <c r="L33" s="212" t="s">
        <v>655</v>
      </c>
    </row>
    <row r="34" spans="1:12" s="6" customFormat="1" ht="26.4">
      <c r="A34" s="387" t="s">
        <v>656</v>
      </c>
      <c r="B34" s="556"/>
      <c r="C34" s="389">
        <v>92575</v>
      </c>
      <c r="D34" s="470">
        <v>4459.42</v>
      </c>
      <c r="E34" s="5">
        <v>110007719</v>
      </c>
      <c r="F34" s="473">
        <v>45930</v>
      </c>
      <c r="G34" s="5">
        <v>2025</v>
      </c>
      <c r="H34" s="5">
        <v>10</v>
      </c>
      <c r="I34" s="5">
        <v>30</v>
      </c>
      <c r="J34" s="476">
        <v>4459.42</v>
      </c>
      <c r="K34" s="5" t="s">
        <v>146</v>
      </c>
      <c r="L34" s="468" t="s">
        <v>655</v>
      </c>
    </row>
    <row r="35" spans="1:12" s="6" customFormat="1" ht="26.4">
      <c r="A35" s="387" t="s">
        <v>657</v>
      </c>
      <c r="B35" s="388" t="s">
        <v>658</v>
      </c>
      <c r="C35" s="389">
        <v>52494</v>
      </c>
      <c r="D35" s="470">
        <v>4317.74</v>
      </c>
      <c r="E35" s="5">
        <v>110007978</v>
      </c>
      <c r="F35" s="473">
        <v>45961</v>
      </c>
      <c r="G35" s="5">
        <v>2025</v>
      </c>
      <c r="H35" s="5">
        <v>11</v>
      </c>
      <c r="I35" s="5">
        <v>27</v>
      </c>
      <c r="J35" s="476">
        <v>4317.74</v>
      </c>
      <c r="K35" s="5" t="s">
        <v>146</v>
      </c>
      <c r="L35" s="468" t="s">
        <v>659</v>
      </c>
    </row>
    <row r="36" spans="1:12" s="6" customFormat="1" ht="66">
      <c r="A36" s="387" t="s">
        <v>660</v>
      </c>
      <c r="B36" s="398" t="s">
        <v>661</v>
      </c>
      <c r="C36" s="389">
        <v>277725</v>
      </c>
      <c r="D36" s="470">
        <v>4175.5600000000004</v>
      </c>
      <c r="E36" s="5">
        <v>110008236</v>
      </c>
      <c r="F36" s="473">
        <v>45991</v>
      </c>
      <c r="G36" s="5">
        <v>2025</v>
      </c>
      <c r="H36" s="5">
        <v>12</v>
      </c>
      <c r="I36" s="5">
        <v>24</v>
      </c>
      <c r="J36" s="475">
        <v>4175.5600000000004</v>
      </c>
      <c r="K36" s="5" t="s">
        <v>146</v>
      </c>
      <c r="L36" s="212" t="s">
        <v>662</v>
      </c>
    </row>
    <row r="37" spans="1:12" s="6" customFormat="1" ht="15.6">
      <c r="A37" s="391" t="s">
        <v>663</v>
      </c>
      <c r="B37" s="392" t="s">
        <v>664</v>
      </c>
      <c r="C37" s="393">
        <v>4550</v>
      </c>
      <c r="D37" s="394">
        <v>4512.03</v>
      </c>
      <c r="E37" s="395">
        <v>110008460</v>
      </c>
      <c r="F37" s="477">
        <v>46022</v>
      </c>
      <c r="G37" s="395">
        <v>2026</v>
      </c>
      <c r="H37" s="395">
        <v>1</v>
      </c>
      <c r="I37" s="395">
        <v>22</v>
      </c>
      <c r="J37" s="394">
        <v>4512.03</v>
      </c>
      <c r="K37" s="511" t="s">
        <v>146</v>
      </c>
      <c r="L37" s="517" t="s">
        <v>665</v>
      </c>
    </row>
    <row r="38" spans="1:12" s="6" customFormat="1" ht="26.4">
      <c r="A38" s="387" t="s">
        <v>666</v>
      </c>
      <c r="B38" s="387" t="s">
        <v>667</v>
      </c>
      <c r="C38" s="389">
        <v>500</v>
      </c>
      <c r="D38" s="470">
        <v>4246.09</v>
      </c>
      <c r="E38" s="5">
        <v>110008812</v>
      </c>
      <c r="F38" s="473">
        <v>46053</v>
      </c>
      <c r="G38" s="5">
        <v>2026</v>
      </c>
      <c r="H38" s="5">
        <v>3</v>
      </c>
      <c r="I38" s="410">
        <v>26</v>
      </c>
      <c r="J38" s="475">
        <v>4246.09</v>
      </c>
      <c r="K38" s="5" t="s">
        <v>146</v>
      </c>
      <c r="L38" s="516" t="s">
        <v>668</v>
      </c>
    </row>
    <row r="39" spans="1:12" s="6" customFormat="1" ht="26.4">
      <c r="A39" s="387" t="s">
        <v>669</v>
      </c>
      <c r="B39" s="387" t="s">
        <v>670</v>
      </c>
      <c r="C39" s="389">
        <v>1050</v>
      </c>
      <c r="D39" s="162">
        <v>4726.03</v>
      </c>
      <c r="E39" s="5">
        <v>110009031</v>
      </c>
      <c r="F39" s="473">
        <v>46081</v>
      </c>
      <c r="G39" s="5">
        <v>2026</v>
      </c>
      <c r="H39" s="93">
        <v>3</v>
      </c>
      <c r="I39" s="513">
        <v>26</v>
      </c>
      <c r="J39" s="475">
        <v>4726.03</v>
      </c>
      <c r="K39" s="5" t="s">
        <v>146</v>
      </c>
      <c r="L39" s="23" t="s">
        <v>671</v>
      </c>
    </row>
    <row r="40" spans="1:12" s="6" customFormat="1" ht="26.4">
      <c r="A40" s="390" t="s">
        <v>672</v>
      </c>
      <c r="B40" s="397" t="s">
        <v>673</v>
      </c>
      <c r="C40" s="399"/>
      <c r="D40" s="162">
        <v>6668.66</v>
      </c>
      <c r="E40" s="5">
        <v>110009327</v>
      </c>
      <c r="F40" s="473">
        <v>46112</v>
      </c>
      <c r="G40" s="5">
        <v>2026</v>
      </c>
      <c r="H40" s="93">
        <v>4</v>
      </c>
      <c r="I40" s="513">
        <v>23</v>
      </c>
      <c r="J40" s="514">
        <v>6668.66</v>
      </c>
      <c r="K40" s="5" t="s">
        <v>146</v>
      </c>
      <c r="L40" s="23" t="s">
        <v>674</v>
      </c>
    </row>
    <row r="41" spans="1:12" s="6" customFormat="1" ht="13.2">
      <c r="A41" s="97" t="s">
        <v>675</v>
      </c>
      <c r="B41" s="387" t="s">
        <v>676</v>
      </c>
      <c r="C41" s="389"/>
      <c r="D41" s="162">
        <v>4148</v>
      </c>
      <c r="E41" s="5">
        <v>110009659</v>
      </c>
      <c r="F41" s="473">
        <v>46142</v>
      </c>
      <c r="G41" s="5">
        <v>2026</v>
      </c>
      <c r="H41" s="93">
        <v>5</v>
      </c>
      <c r="I41" s="513">
        <v>21</v>
      </c>
      <c r="J41" s="514">
        <v>4148</v>
      </c>
      <c r="K41" s="5" t="s">
        <v>146</v>
      </c>
      <c r="L41" s="23" t="s">
        <v>677</v>
      </c>
    </row>
    <row r="42" spans="1:12" s="6" customFormat="1" ht="13.2">
      <c r="A42" s="97" t="s">
        <v>675</v>
      </c>
      <c r="B42" s="387" t="s">
        <v>676</v>
      </c>
      <c r="C42" s="389"/>
      <c r="D42" s="162">
        <v>4403.68</v>
      </c>
      <c r="E42" s="5">
        <v>110009972</v>
      </c>
      <c r="F42" s="473">
        <v>46173</v>
      </c>
      <c r="G42" s="5">
        <v>2026</v>
      </c>
      <c r="H42" s="93">
        <v>6</v>
      </c>
      <c r="I42" s="513">
        <v>18</v>
      </c>
      <c r="J42" s="514">
        <v>4403.68</v>
      </c>
      <c r="K42" s="5" t="s">
        <v>167</v>
      </c>
      <c r="L42" s="23" t="s">
        <v>678</v>
      </c>
    </row>
    <row r="43" spans="1:12" s="6" customFormat="1" ht="13.2">
      <c r="A43" s="97" t="s">
        <v>675</v>
      </c>
      <c r="B43" s="387" t="s">
        <v>676</v>
      </c>
      <c r="C43" s="389"/>
      <c r="D43" s="162">
        <v>4421.08</v>
      </c>
      <c r="E43" s="5">
        <v>110010223</v>
      </c>
      <c r="F43" s="473">
        <v>46203</v>
      </c>
      <c r="G43" s="5">
        <v>2026</v>
      </c>
      <c r="H43" s="93"/>
      <c r="I43" s="76"/>
      <c r="J43" s="514"/>
      <c r="K43" s="5"/>
      <c r="L43" s="23"/>
    </row>
    <row r="44" spans="1:12" s="6" customFormat="1" ht="13.2">
      <c r="A44" s="97"/>
      <c r="B44" s="97"/>
      <c r="C44" s="389"/>
      <c r="D44" s="162"/>
      <c r="E44" s="5"/>
      <c r="F44" s="5"/>
      <c r="G44" s="5"/>
      <c r="H44" s="5"/>
      <c r="I44" s="515"/>
      <c r="J44" s="475"/>
      <c r="K44" s="5"/>
      <c r="L44" s="23"/>
    </row>
    <row r="45" spans="1:12" s="6" customFormat="1" ht="13.2">
      <c r="A45" s="97"/>
      <c r="B45" s="97"/>
      <c r="C45" s="389"/>
      <c r="D45" s="162"/>
      <c r="E45" s="5"/>
      <c r="F45" s="5"/>
      <c r="G45" s="5"/>
      <c r="H45" s="5"/>
      <c r="I45" s="471"/>
      <c r="J45" s="475"/>
      <c r="K45" s="5"/>
      <c r="L45" s="23"/>
    </row>
    <row r="46" spans="1:12" s="6" customFormat="1" ht="13.2">
      <c r="A46" s="97"/>
      <c r="B46" s="97"/>
      <c r="C46" s="389"/>
      <c r="D46" s="162"/>
      <c r="E46" s="5"/>
      <c r="F46" s="5"/>
      <c r="G46" s="5"/>
      <c r="H46" s="5"/>
      <c r="I46" s="471"/>
      <c r="J46" s="475"/>
      <c r="K46" s="5"/>
      <c r="L46" s="23"/>
    </row>
    <row r="47" spans="1:12" s="6" customFormat="1" ht="13.2">
      <c r="A47" s="97"/>
      <c r="B47" s="97"/>
      <c r="C47" s="389"/>
      <c r="D47" s="162"/>
      <c r="E47" s="5"/>
      <c r="F47" s="5"/>
      <c r="G47" s="5"/>
      <c r="H47" s="5"/>
      <c r="I47" s="471"/>
      <c r="J47" s="475"/>
      <c r="K47" s="5"/>
      <c r="L47" s="23"/>
    </row>
    <row r="48" spans="1:12" s="6" customFormat="1" ht="13.2">
      <c r="A48" s="97"/>
      <c r="B48" s="97"/>
      <c r="C48" s="389"/>
      <c r="D48" s="162"/>
      <c r="E48" s="5"/>
      <c r="F48" s="5"/>
      <c r="G48" s="5"/>
      <c r="H48" s="5"/>
      <c r="I48" s="471"/>
      <c r="J48" s="475"/>
      <c r="K48" s="5"/>
      <c r="L48" s="23"/>
    </row>
    <row r="49" spans="1:12" s="6" customFormat="1" ht="13.2">
      <c r="A49" s="97"/>
      <c r="B49" s="97"/>
      <c r="C49" s="389"/>
      <c r="D49" s="162"/>
      <c r="E49" s="5"/>
      <c r="F49" s="5"/>
      <c r="G49" s="5"/>
      <c r="H49" s="5"/>
      <c r="I49" s="471"/>
      <c r="J49" s="475"/>
      <c r="K49" s="5"/>
      <c r="L49" s="23"/>
    </row>
    <row r="50" spans="1:12">
      <c r="B50" t="s">
        <v>129</v>
      </c>
      <c r="C50" s="400">
        <f>SUM(C31:C49)</f>
        <v>490894</v>
      </c>
    </row>
  </sheetData>
  <mergeCells count="1">
    <mergeCell ref="B31:B34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FB0A-5E23-49DF-8B8C-B08C8E84C6D5}">
  <sheetPr>
    <tabColor theme="5" tint="0.79998168889431442"/>
  </sheetPr>
  <dimension ref="A1:R39"/>
  <sheetViews>
    <sheetView topLeftCell="A25" workbookViewId="0">
      <selection activeCell="A16" sqref="A16"/>
    </sheetView>
  </sheetViews>
  <sheetFormatPr defaultRowHeight="17.399999999999999"/>
  <cols>
    <col min="1" max="12" width="20.69921875" customWidth="1"/>
    <col min="13" max="13" width="17.19921875" customWidth="1"/>
  </cols>
  <sheetData>
    <row r="1" spans="1:18" s="6" customFormat="1" ht="15.6">
      <c r="A1" s="47" t="s">
        <v>679</v>
      </c>
      <c r="B1" s="51"/>
      <c r="C1" s="51"/>
      <c r="D1" s="13"/>
      <c r="E1" s="48"/>
      <c r="F1" s="208"/>
      <c r="G1" s="54"/>
      <c r="H1" s="54"/>
    </row>
    <row r="2" spans="1:18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 s="6" customFormat="1" ht="13.2">
      <c r="A5" s="1"/>
      <c r="B5" s="52"/>
      <c r="C5" s="52"/>
      <c r="D5" s="123"/>
      <c r="G5" s="54"/>
      <c r="H5" s="54"/>
      <c r="Q5" s="55"/>
      <c r="R5" s="56"/>
    </row>
    <row r="6" spans="1:18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53</v>
      </c>
      <c r="C7" s="59" t="s">
        <v>26</v>
      </c>
      <c r="D7" s="123"/>
      <c r="G7" s="54"/>
      <c r="H7" s="54"/>
      <c r="Q7" s="55"/>
      <c r="R7" s="56"/>
    </row>
    <row r="8" spans="1:18" s="6" customFormat="1" ht="13.2">
      <c r="A8" s="124" t="s">
        <v>54</v>
      </c>
      <c r="B8" s="127">
        <f>D39</f>
        <v>68277</v>
      </c>
      <c r="C8" s="129"/>
      <c r="D8" s="123"/>
      <c r="G8" s="54"/>
      <c r="H8" s="54"/>
      <c r="Q8" s="55"/>
      <c r="R8" s="56"/>
    </row>
    <row r="9" spans="1:18" s="6" customFormat="1" ht="13.2">
      <c r="A9" s="131" t="s">
        <v>24</v>
      </c>
      <c r="B9" s="132">
        <f>B14+B19+B24</f>
        <v>45962.23</v>
      </c>
      <c r="C9" s="133">
        <f>B9/B8</f>
        <v>0.67317295721838988</v>
      </c>
      <c r="D9" s="123"/>
      <c r="G9" s="54"/>
      <c r="H9" s="54"/>
      <c r="Q9" s="55"/>
      <c r="R9" s="56"/>
    </row>
    <row r="10" spans="1:18" s="6" customFormat="1" ht="13.8" thickBot="1">
      <c r="A10" s="126" t="s">
        <v>25</v>
      </c>
      <c r="B10" s="128">
        <f>B8-B9</f>
        <v>22314.769999999997</v>
      </c>
      <c r="C10" s="130">
        <f>B10/B8</f>
        <v>0.32682704278161018</v>
      </c>
      <c r="D10" s="123"/>
      <c r="G10" s="54"/>
      <c r="H10" s="54"/>
      <c r="Q10" s="55"/>
      <c r="R10" s="56"/>
    </row>
    <row r="12" spans="1:18" s="6" customFormat="1" ht="13.2">
      <c r="A12" s="1" t="s">
        <v>264</v>
      </c>
    </row>
    <row r="13" spans="1:18" s="149" customFormat="1" ht="13.2">
      <c r="A13" s="153"/>
      <c r="B13" s="154" t="s">
        <v>56</v>
      </c>
      <c r="C13" s="154" t="s">
        <v>57</v>
      </c>
      <c r="D13" s="155"/>
      <c r="F13" s="156"/>
      <c r="G13" s="157"/>
      <c r="H13" s="156"/>
      <c r="I13" s="158"/>
      <c r="Q13" s="150"/>
      <c r="R13" s="150"/>
    </row>
    <row r="14" spans="1:18" s="149" customFormat="1" ht="13.2">
      <c r="A14" s="153">
        <v>2025</v>
      </c>
      <c r="B14" s="159">
        <f>SUM(A16:L16)</f>
        <v>45962.23</v>
      </c>
      <c r="C14" s="160">
        <f>SUM(A17:L17)</f>
        <v>45962.26</v>
      </c>
      <c r="I14" s="158"/>
      <c r="Q14" s="150"/>
      <c r="R14" s="150"/>
    </row>
    <row r="15" spans="1:18" s="6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178" customFormat="1" ht="13.2">
      <c r="A16" s="402">
        <f>SUMIFS($E$31:$E$38,$H$31:$H$38,2025,$I$31:$I$38,1,$L$31:$L$38,"Y")</f>
        <v>0</v>
      </c>
      <c r="B16" s="402">
        <f>SUMIFS($E$31:$E$38,$H$31:$H$38,2025,$I$31:$I$38,2,$L$31:$L$38,"Y")</f>
        <v>0</v>
      </c>
      <c r="C16" s="402">
        <f>SUMIFS($E$31:$E$38,$H$31:$H$38,2025,$I$31:$I$38,3,$L$31:$L$38,"Y")</f>
        <v>0</v>
      </c>
      <c r="D16" s="402">
        <f>SUMIFS($E$31:$E$38,$H$31:$H$38,2025,$I$31:$I$38,4,$L$31:$L$38,"Y")</f>
        <v>0</v>
      </c>
      <c r="E16" s="402">
        <f>SUMIFS($E$31:$E$38,$H$31:$H$38,2025,$I$31:$I$38,5,$L$31:$L$38,"Y")</f>
        <v>0</v>
      </c>
      <c r="F16" s="402">
        <f>SUMIFS($E$31:$E$38,$H$31:$H$38,2025,$I$31:$I$38,6,$L$31:$L$38,"Y")</f>
        <v>0</v>
      </c>
      <c r="G16" s="402">
        <f>SUMIFS($E$31:$E$38,$H$31:$H$38,2025,$I$31:$I$38,7,$L$31:$L$38,"Y")</f>
        <v>0</v>
      </c>
      <c r="H16" s="402">
        <f>SUMIFS($E$31:$E$38,$H$31:$H$38,2025,$I$31:$I$38,8,$L$31:$L$38,"Y")</f>
        <v>0</v>
      </c>
      <c r="I16" s="402">
        <f>SUMIFS($E$31:$E$38,$H$31:$H$38,2025,$I$31:$I$38,9,$L$31:$L$38,"Y")</f>
        <v>45130</v>
      </c>
      <c r="J16" s="402">
        <f>SUMIFS($E$31:$E$38,$H$31:$H$38,2025,$I$31:$I$38,10,$L$31:$L$38,"Y")</f>
        <v>0</v>
      </c>
      <c r="K16" s="402">
        <f>SUMIFS($E$31:$E$38,$H$31:$H$38,2025,$I$31:$I$38,11,$L$31:$L$38,"Y")</f>
        <v>0</v>
      </c>
      <c r="L16" s="402">
        <f>SUMIFS($E$31:$E$38,$H$31:$H$38,2025,$I$31:$I$38,12,$L$31:$L$38,"Y")</f>
        <v>832.23</v>
      </c>
      <c r="Q16" s="403"/>
      <c r="R16" s="404"/>
    </row>
    <row r="17" spans="1:18" s="421" customFormat="1" ht="13.2">
      <c r="A17" s="401">
        <f>SUMIFS($K$31:$K$38,$H$31:$H$38,2025,$I$31:$I$38,1,$L$31:$L$38,"Y")</f>
        <v>0</v>
      </c>
      <c r="B17" s="401">
        <f>SUMIFS($K$31:$K$38,$H$31:$H$38,2025,$I$31:$I$38,2,$L$31:$L$38,"Y")</f>
        <v>0</v>
      </c>
      <c r="C17" s="401">
        <f>SUMIFS($K$31:$K$38,$H$31:$H$38,2025,$I$31:$I$38,3,$L$31:$L$38,"Y")</f>
        <v>0</v>
      </c>
      <c r="D17" s="401">
        <f>SUMIFS($K$31:$K$38,$H$31:$H$38,2025,$I$31:$I$38,4,$L$31:$L$38,"Y")</f>
        <v>0</v>
      </c>
      <c r="E17" s="401">
        <f>SUMIFS($K$31:$K$38,$H$31:$H$38,2025,$I$31:$I$38,5,$L$31:$L$38,"Y")</f>
        <v>0</v>
      </c>
      <c r="F17" s="401">
        <f>SUMIFS($K$31:$K$38,$H$31:$H$38,2025,$I$31:$I$38,6,$L$31:$L$38,"Y")</f>
        <v>0</v>
      </c>
      <c r="G17" s="401">
        <f>SUMIFS($K$31:$K$38,$H$31:$H$38,2025,$I$31:$I$38,7,$L$31:$L$38,"Y")</f>
        <v>0</v>
      </c>
      <c r="H17" s="401">
        <f>SUMIFS($K$31:$K$38,$H$31:$H$38,2025,$I$31:$I$38,8,$L$31:$L$38,"Y")</f>
        <v>0</v>
      </c>
      <c r="I17" s="401">
        <f>SUMIFS($K$31:$K$38,$H$31:$H$38,2025,$I$31:$I$38,9,$L$31:$L$38,"Y")</f>
        <v>45130</v>
      </c>
      <c r="J17" s="401">
        <f>SUMIFS($K$31:$K$38,$H$31:$H$38,2025,$I$31:$I$38,10,$L$31:$L$38,"Y")</f>
        <v>0</v>
      </c>
      <c r="K17" s="401">
        <f>SUMIFS($K$31:$K$38,$H$31:$H$38,2025,$I$31:$I$38,11,$L$31:$L$38,"Y")</f>
        <v>0</v>
      </c>
      <c r="L17" s="401">
        <f>SUMIFS($K$31:$K$38,$H$31:$H$38,2025,$I$31:$I$38,12,$L$31:$L$38,"Y")</f>
        <v>832.26</v>
      </c>
      <c r="Q17" s="422"/>
      <c r="R17" s="423"/>
    </row>
    <row r="18" spans="1:18" s="6" customFormat="1" ht="5.4" customHeight="1">
      <c r="I18" s="54"/>
      <c r="Q18" s="55"/>
      <c r="R18" s="56"/>
    </row>
    <row r="19" spans="1:18" s="149" customFormat="1" ht="13.2">
      <c r="A19" s="153">
        <v>2026</v>
      </c>
      <c r="B19" s="159">
        <f>SUM(A21:L21)</f>
        <v>0</v>
      </c>
      <c r="C19" s="160">
        <f>SUM(A22:L22)</f>
        <v>0</v>
      </c>
      <c r="I19" s="158"/>
      <c r="Q19" s="150"/>
      <c r="R19" s="150"/>
    </row>
    <row r="20" spans="1:18" s="6" customFormat="1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 s="178" customFormat="1" ht="13.2">
      <c r="A21" s="402">
        <f>SUMIFS($E$31:$E$38,$H$31:$H$38,2026,$I$31:$I$38,1,$L$31:$L$38,"Y")</f>
        <v>0</v>
      </c>
      <c r="B21" s="402">
        <f>SUMIFS($E$31:$E$38,$H$31:$H$38,2026,$I$31:$I$38,2,$L$31:$L$38,"Y")</f>
        <v>0</v>
      </c>
      <c r="C21" s="402">
        <f>SUMIFS($E$31:$E$38,$H$31:$H$38,2026,$I$31:$I$38,3,$L$31:$L$38,"Y")</f>
        <v>0</v>
      </c>
      <c r="D21" s="402">
        <f>SUMIFS($E$31:$E$38,$H$31:$H$38,2026,$I$31:$I$38,4,$L$31:$L$38,"Y")</f>
        <v>0</v>
      </c>
      <c r="E21" s="402">
        <f>SUMIFS($E$31:$E$38,$H$31:$H$38,2026,$I$31:$I$38,5,$L$31:$L$38,"Y")</f>
        <v>0</v>
      </c>
      <c r="F21" s="402">
        <f>SUMIFS($E$31:$E$38,$H$31:$H$38,2026,$I$31:$I$38,6,$L$31:$L$38,"Y")</f>
        <v>0</v>
      </c>
      <c r="G21" s="402">
        <f>SUMIFS($E$31:$E$38,$H$31:$H$38,2026,$I$31:$I$38,7,$L$31:$L$38,"Y")</f>
        <v>0</v>
      </c>
      <c r="H21" s="402">
        <f>SUMIFS($E$31:$E$38,$H$31:$H$38,2026,$I$31:$I$38,8,$L$31:$L$38,"Y")</f>
        <v>0</v>
      </c>
      <c r="I21" s="402">
        <f>SUMIFS($E$31:$E$38,$H$31:$H$38,2026,$I$31:$I$38,9,$L$31:$L$38,"Y")</f>
        <v>0</v>
      </c>
      <c r="J21" s="402">
        <f>SUMIFS($E$31:$E$38,$H$31:$H$38,2026,$I$31:$I$38,10,$L$31:$L$38,"Y")</f>
        <v>0</v>
      </c>
      <c r="K21" s="402">
        <f>SUMIFS($E$31:$E$38,$H$31:$H$38,2026,$I$31:$I$38,11,$L$31:$L$38,"Y")</f>
        <v>0</v>
      </c>
      <c r="L21" s="402">
        <f>SUMIFS($E$31:$E$38,$H$31:$H$38,2026,$I$31:$I$38,12,$L$31:$L$38,"Y")</f>
        <v>0</v>
      </c>
      <c r="Q21" s="403"/>
      <c r="R21" s="404"/>
    </row>
    <row r="22" spans="1:18" s="421" customFormat="1" ht="13.2">
      <c r="A22" s="401">
        <f>SUMIFS($K$31:$K$38,$H$31:$H$38,2026,$I$31:$I$38,1,$L$31:$L$38,"Y")</f>
        <v>0</v>
      </c>
      <c r="B22" s="401">
        <f>SUMIFS($K$31:$K$38,$H$31:$H$38,2026,$I$31:$I$38,2,$L$31:$L$38,"Y")</f>
        <v>0</v>
      </c>
      <c r="C22" s="401">
        <f>SUMIFS($K$31:$K$38,$H$31:$H$38,2026,$I$31:$I$38,3,$L$31:$L$38,"Y")</f>
        <v>0</v>
      </c>
      <c r="D22" s="401">
        <f>SUMIFS($K$31:$K$38,$H$31:$H$38,2026,$I$31:$I$38,4,$L$31:$L$38,"Y")</f>
        <v>0</v>
      </c>
      <c r="E22" s="401">
        <f>SUMIFS($K$31:$K$38,$H$31:$H$38,2026,$I$31:$I$38,5,$L$31:$L$38,"Y")</f>
        <v>0</v>
      </c>
      <c r="F22" s="401">
        <f>SUMIFS($K$31:$K$38,$H$31:$H$38,2026,$I$31:$I$38,6,$L$31:$L$38,"Y")</f>
        <v>0</v>
      </c>
      <c r="G22" s="401">
        <f>SUMIFS($K$31:$K$38,$H$31:$H$38,2026,$I$31:$I$38,7,$L$31:$L$38,"Y")</f>
        <v>0</v>
      </c>
      <c r="H22" s="401">
        <f>SUMIFS($K$31:$K$38,$H$31:$H$38,2026,$I$31:$I$38,8,$L$31:$L$38,"Y")</f>
        <v>0</v>
      </c>
      <c r="I22" s="401">
        <f>SUMIFS($K$31:$K$38,$H$31:$H$38,2026,$I$31:$I$38,9,$L$31:$L$38,"Y")</f>
        <v>0</v>
      </c>
      <c r="J22" s="401">
        <f>SUMIFS($K$31:$K$38,$H$31:$H$38,2026,$I$31:$I$38,10,$L$31:$L$38,"Y")</f>
        <v>0</v>
      </c>
      <c r="K22" s="401">
        <f>SUMIFS($K$31:$K$38,$H$31:$H$38,2026,$I$31:$I$38,11,$L$31:$L$38,"Y")</f>
        <v>0</v>
      </c>
      <c r="L22" s="401">
        <f>SUMIFS($K$31:$K$38,$H$31:$H$38,2026,$I$31:$I$38,12,$L$31:$L$38,"Y")</f>
        <v>0</v>
      </c>
      <c r="Q22" s="422"/>
      <c r="R22" s="423"/>
    </row>
    <row r="23" spans="1:18" s="52" customFormat="1" ht="5.4" customHeight="1">
      <c r="A23" s="6"/>
      <c r="B23" s="6"/>
      <c r="C23" s="6"/>
      <c r="D23" s="6"/>
      <c r="E23" s="6"/>
      <c r="F23" s="6"/>
      <c r="G23" s="6"/>
      <c r="H23" s="6"/>
      <c r="I23" s="54"/>
      <c r="J23" s="6"/>
      <c r="K23" s="6"/>
      <c r="L23" s="6"/>
    </row>
    <row r="24" spans="1:18" s="149" customFormat="1" ht="13.2">
      <c r="A24" s="153">
        <v>2027</v>
      </c>
      <c r="B24" s="159">
        <f>SUM(A26:L26)</f>
        <v>0</v>
      </c>
      <c r="C24" s="160">
        <f>SUM(A27:L27)</f>
        <v>0</v>
      </c>
      <c r="I24" s="158"/>
    </row>
    <row r="25" spans="1:18" s="6" customFormat="1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 s="178" customFormat="1" ht="13.2">
      <c r="A26" s="402">
        <f>SUMIFS($E$31:$E$38,$H$31:$H$38,2027,$I$31:$I$38,1,$L$31:$L$38,"Y")</f>
        <v>0</v>
      </c>
      <c r="B26" s="402">
        <f>SUMIFS($E$31:$E$38,$H$31:$H$38,2027,$I$31:$I$38,2,$L$31:$L$38,"Y")</f>
        <v>0</v>
      </c>
      <c r="C26" s="402">
        <f>SUMIFS($E$31:$E$38,$H$31:$H$38,2027,$I$31:$I$38,3,$L$31:$L$38,"Y")</f>
        <v>0</v>
      </c>
      <c r="D26" s="402">
        <f>SUMIFS($E$31:$E$38,$H$31:$H$38,2027,$I$31:$I$38,4,$L$31:$L$38,"Y")</f>
        <v>0</v>
      </c>
      <c r="E26" s="402">
        <f>SUMIFS($E$31:$E$38,$H$31:$H$38,2027,$I$31:$I$38,5,$L$31:$L$38,"Y")</f>
        <v>0</v>
      </c>
      <c r="F26" s="402">
        <f>SUMIFS($E$31:$E$38,$H$31:$H$38,2027,$I$31:$I$38,6,$L$31:$L$38,"Y")</f>
        <v>0</v>
      </c>
      <c r="G26" s="402">
        <f>SUMIFS($E$31:$E$38,$H$31:$H$38,2027,$I$31:$I$38,7,$L$31:$L$38,"Y")</f>
        <v>0</v>
      </c>
      <c r="H26" s="402">
        <f>SUMIFS($E$31:$E$38,$H$31:$H$38,2027,$I$31:$I$38,8,$L$31:$L$38,"Y")</f>
        <v>0</v>
      </c>
      <c r="I26" s="402">
        <f>SUMIFS($E$31:$E$38,$H$31:$H$38,2027,$I$31:$I$38,9,$L$31:$L$38,"Y")</f>
        <v>0</v>
      </c>
      <c r="J26" s="402">
        <f>SUMIFS($E$31:$E$38,$H$31:$H$38,2027,$I$31:$I$38,10,$L$31:$L$38,"Y")</f>
        <v>0</v>
      </c>
      <c r="K26" s="402">
        <f>SUMIFS($E$31:$E$38,$H$31:$H$38,2027,$I$31:$I$38,11,$L$31:$L$38,"Y")</f>
        <v>0</v>
      </c>
      <c r="L26" s="402">
        <f>SUMIFS($E$31:$E$38,$H$31:$H$38,2027,$I$31:$I$38,12,$L$31:$L$38,"Y")</f>
        <v>0</v>
      </c>
      <c r="Q26" s="403"/>
      <c r="R26" s="404"/>
    </row>
    <row r="27" spans="1:18" s="421" customFormat="1" ht="13.2">
      <c r="A27" s="401">
        <f>SUMIFS($K$31:$K$38,$H$31:$H$38,2027,$I$31:$I$38,1,$L$31:$L$38,"Y")</f>
        <v>0</v>
      </c>
      <c r="B27" s="401">
        <f>SUMIFS($K$31:$K$38,$H$31:$H$38,2027,$I$31:$I$38,2,$L$31:$L$38,"Y")</f>
        <v>0</v>
      </c>
      <c r="C27" s="401">
        <f>SUMIFS($K$31:$K$38,$H$31:$H$38,2027,$I$31:$I$38,3,$L$31:$L$38,"Y")</f>
        <v>0</v>
      </c>
      <c r="D27" s="401">
        <f>SUMIFS($K$31:$K$38,$H$31:$H$38,2027,$I$31:$I$38,4,$L$31:$L$38,"Y")</f>
        <v>0</v>
      </c>
      <c r="E27" s="401">
        <f>SUMIFS($K$31:$K$38,$H$31:$H$38,2027,$I$31:$I$38,5,$L$31:$L$38,"Y")</f>
        <v>0</v>
      </c>
      <c r="F27" s="401">
        <f>SUMIFS($K$31:$K$38,$H$31:$H$38,2027,$I$31:$I$38,6,$L$31:$L$38,"Y")</f>
        <v>0</v>
      </c>
      <c r="G27" s="401">
        <f>SUMIFS($K$31:$K$38,$H$31:$H$38,2027,$I$31:$I$38,7,$L$31:$L$38,"Y")</f>
        <v>0</v>
      </c>
      <c r="H27" s="401">
        <f>SUMIFS($K$31:$K$38,$H$31:$H$38,2027,$I$31:$I$38,8,$L$31:$L$38,"Y")</f>
        <v>0</v>
      </c>
      <c r="I27" s="401">
        <f>SUMIFS($K$31:$K$38,$H$31:$H$38,2027,$I$31:$I$38,9,$L$31:$L$38,"Y")</f>
        <v>0</v>
      </c>
      <c r="J27" s="401">
        <f>SUMIFS($K$31:$K$38,$H$31:$H$38,2027,$I$31:$I$38,10,$L$31:$L$38,"Y")</f>
        <v>0</v>
      </c>
      <c r="K27" s="401">
        <f>SUMIFS($K$31:$K$38,$H$31:$H$38,2027,$I$31:$I$38,11,$L$31:$L$38,"Y")</f>
        <v>0</v>
      </c>
      <c r="L27" s="401">
        <f>SUMIFS($K$31:$K$38,$H$31:$H$38,2027,$I$31:$I$38,12,$L$31:$L$38,"Y")</f>
        <v>0</v>
      </c>
      <c r="Q27" s="422"/>
      <c r="R27" s="423"/>
    </row>
    <row r="28" spans="1:18" s="6" customFormat="1" ht="13.2"/>
    <row r="29" spans="1:18" s="6" customFormat="1" ht="13.2">
      <c r="A29" s="1" t="s">
        <v>259</v>
      </c>
      <c r="I29" s="166"/>
    </row>
    <row r="30" spans="1:18" s="6" customFormat="1" ht="15.6">
      <c r="A30" s="14" t="s">
        <v>680</v>
      </c>
      <c r="B30" s="14"/>
      <c r="C30" s="14"/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72" t="s">
        <v>144</v>
      </c>
    </row>
    <row r="31" spans="1:18" s="6" customFormat="1" ht="26.4">
      <c r="A31" s="418" t="s">
        <v>681</v>
      </c>
      <c r="B31" s="557" t="s">
        <v>682</v>
      </c>
      <c r="C31" s="381" t="s">
        <v>683</v>
      </c>
      <c r="D31" s="540">
        <v>14530</v>
      </c>
      <c r="E31" s="162">
        <v>45130</v>
      </c>
      <c r="F31" s="5" t="s">
        <v>684</v>
      </c>
      <c r="G31" s="473">
        <v>45889</v>
      </c>
      <c r="H31" s="5">
        <v>2025</v>
      </c>
      <c r="I31" s="5">
        <v>9</v>
      </c>
      <c r="J31" s="5">
        <v>11</v>
      </c>
      <c r="K31" s="22">
        <v>45130</v>
      </c>
      <c r="L31" s="5" t="s">
        <v>146</v>
      </c>
      <c r="M31" s="212" t="s">
        <v>685</v>
      </c>
    </row>
    <row r="32" spans="1:18" s="6" customFormat="1" ht="26.4">
      <c r="A32" s="418" t="s">
        <v>681</v>
      </c>
      <c r="B32" s="558"/>
      <c r="C32" s="381" t="s">
        <v>686</v>
      </c>
      <c r="D32" s="540">
        <v>18900</v>
      </c>
      <c r="E32" s="162">
        <v>832.23</v>
      </c>
      <c r="F32" s="5" t="s">
        <v>687</v>
      </c>
      <c r="G32" s="473">
        <v>45979</v>
      </c>
      <c r="H32" s="5">
        <v>2025</v>
      </c>
      <c r="I32" s="5">
        <v>12</v>
      </c>
      <c r="J32" s="5">
        <v>11</v>
      </c>
      <c r="K32" s="22">
        <v>832.26</v>
      </c>
      <c r="L32" s="5" t="s">
        <v>146</v>
      </c>
      <c r="M32" s="212" t="s">
        <v>688</v>
      </c>
    </row>
    <row r="33" spans="1:13" s="6" customFormat="1" ht="26.4">
      <c r="A33" s="418" t="s">
        <v>681</v>
      </c>
      <c r="B33" s="559"/>
      <c r="C33" s="381" t="s">
        <v>689</v>
      </c>
      <c r="D33" s="540">
        <v>13655</v>
      </c>
      <c r="E33" s="162"/>
      <c r="F33" s="4"/>
      <c r="G33" s="319"/>
      <c r="H33" s="4"/>
      <c r="I33" s="4"/>
      <c r="J33" s="161"/>
      <c r="K33" s="22"/>
      <c r="L33" s="5"/>
      <c r="M33" s="212"/>
    </row>
    <row r="34" spans="1:13" s="6" customFormat="1" ht="13.2">
      <c r="A34" s="418" t="s">
        <v>681</v>
      </c>
      <c r="B34" s="554" t="s">
        <v>690</v>
      </c>
      <c r="C34" s="381" t="s">
        <v>691</v>
      </c>
      <c r="D34" s="540">
        <v>11700</v>
      </c>
      <c r="E34" s="162"/>
      <c r="F34" s="4"/>
      <c r="G34" s="4"/>
      <c r="H34" s="4"/>
      <c r="I34" s="4"/>
      <c r="J34" s="161"/>
      <c r="K34" s="22"/>
      <c r="L34" s="5"/>
      <c r="M34" s="23"/>
    </row>
    <row r="35" spans="1:13" s="6" customFormat="1" ht="13.2">
      <c r="A35" s="418" t="s">
        <v>681</v>
      </c>
      <c r="B35" s="555"/>
      <c r="C35" s="381" t="s">
        <v>692</v>
      </c>
      <c r="D35" s="540">
        <v>22240</v>
      </c>
      <c r="E35" s="162"/>
      <c r="F35" s="4"/>
      <c r="G35" s="4"/>
      <c r="H35" s="4"/>
      <c r="I35" s="4"/>
      <c r="J35" s="161"/>
      <c r="K35" s="22"/>
      <c r="L35" s="5"/>
      <c r="M35" s="23"/>
    </row>
    <row r="36" spans="1:13" s="6" customFormat="1" ht="13.2">
      <c r="A36" s="418" t="s">
        <v>681</v>
      </c>
      <c r="B36" s="556"/>
      <c r="C36" s="419" t="s">
        <v>693</v>
      </c>
      <c r="D36" s="540">
        <v>4275</v>
      </c>
      <c r="E36" s="162"/>
      <c r="F36" s="4"/>
      <c r="G36" s="4"/>
      <c r="H36" s="4"/>
      <c r="I36" s="4"/>
      <c r="J36" s="161"/>
      <c r="K36" s="22"/>
      <c r="L36" s="5"/>
      <c r="M36" s="23"/>
    </row>
    <row r="37" spans="1:13" s="6" customFormat="1" ht="13.2">
      <c r="A37" s="418" t="s">
        <v>681</v>
      </c>
      <c r="B37" s="554" t="s">
        <v>694</v>
      </c>
      <c r="C37" s="381" t="s">
        <v>695</v>
      </c>
      <c r="D37" s="542">
        <f>-3368</f>
        <v>-3368</v>
      </c>
      <c r="E37" s="162"/>
      <c r="F37" s="4"/>
      <c r="G37" s="4"/>
      <c r="H37" s="4"/>
      <c r="I37" s="4"/>
      <c r="J37" s="161"/>
      <c r="K37" s="22"/>
      <c r="L37" s="5"/>
      <c r="M37" s="23"/>
    </row>
    <row r="38" spans="1:13" s="6" customFormat="1" ht="26.4">
      <c r="A38" s="418" t="s">
        <v>681</v>
      </c>
      <c r="B38" s="556"/>
      <c r="C38" s="397" t="s">
        <v>696</v>
      </c>
      <c r="D38" s="543">
        <f>-D33</f>
        <v>-13655</v>
      </c>
      <c r="E38" s="162"/>
      <c r="F38" s="4"/>
      <c r="G38" s="4"/>
      <c r="H38" s="4"/>
      <c r="I38" s="4"/>
      <c r="J38" s="161"/>
      <c r="K38" s="22"/>
      <c r="L38" s="5"/>
      <c r="M38" s="23"/>
    </row>
    <row r="39" spans="1:13">
      <c r="C39" s="420" t="s">
        <v>129</v>
      </c>
      <c r="D39" s="541">
        <f>SUM(D31:D38)</f>
        <v>68277</v>
      </c>
    </row>
  </sheetData>
  <mergeCells count="3">
    <mergeCell ref="B31:B33"/>
    <mergeCell ref="B34:B36"/>
    <mergeCell ref="B37:B38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32E1-D850-47B9-BC45-A3531C4AA684}">
  <sheetPr>
    <tabColor rgb="FFFFFF66"/>
  </sheetPr>
  <dimension ref="A1:T59"/>
  <sheetViews>
    <sheetView topLeftCell="A32" workbookViewId="0">
      <selection activeCell="E49" sqref="E49"/>
    </sheetView>
  </sheetViews>
  <sheetFormatPr defaultRowHeight="17.399999999999999"/>
  <cols>
    <col min="1" max="1" width="25.19921875" customWidth="1"/>
    <col min="2" max="2" width="22.69921875" customWidth="1"/>
    <col min="3" max="3" width="27.8984375" customWidth="1"/>
    <col min="4" max="12" width="20.69921875" customWidth="1"/>
  </cols>
  <sheetData>
    <row r="1" spans="1:20" s="6" customFormat="1" ht="15.6">
      <c r="A1" s="47" t="s">
        <v>697</v>
      </c>
      <c r="B1" s="51"/>
      <c r="C1" s="51"/>
      <c r="D1" s="13"/>
      <c r="E1" s="48"/>
      <c r="F1" s="208"/>
      <c r="G1" s="54"/>
      <c r="H1" s="54"/>
    </row>
    <row r="2" spans="1:20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20" s="6" customFormat="1" ht="4.5" customHeight="1">
      <c r="A3" s="1"/>
      <c r="B3" s="52"/>
      <c r="C3" s="52"/>
      <c r="D3" s="49"/>
      <c r="E3" s="49"/>
      <c r="G3" s="54"/>
      <c r="H3" s="54"/>
    </row>
    <row r="4" spans="1:20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20" s="6" customFormat="1" ht="13.2">
      <c r="A5" s="1"/>
      <c r="B5" s="52"/>
      <c r="C5" s="52"/>
      <c r="D5" s="123"/>
      <c r="G5" s="54"/>
      <c r="H5" s="54"/>
      <c r="Q5" s="55"/>
      <c r="R5" s="56"/>
    </row>
    <row r="6" spans="1:20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20" s="6" customFormat="1" ht="13.2">
      <c r="A7" s="125" t="s">
        <v>52</v>
      </c>
      <c r="B7" s="58" t="s">
        <v>450</v>
      </c>
      <c r="C7" s="59" t="s">
        <v>26</v>
      </c>
      <c r="D7" s="123"/>
      <c r="G7" s="54"/>
      <c r="H7" s="54"/>
      <c r="Q7" s="55"/>
      <c r="R7" s="56"/>
    </row>
    <row r="8" spans="1:20" s="6" customFormat="1" ht="13.2">
      <c r="A8" s="124" t="s">
        <v>54</v>
      </c>
      <c r="B8" s="333">
        <f>C59</f>
        <v>367130000</v>
      </c>
      <c r="C8" s="129"/>
      <c r="D8" s="123"/>
      <c r="G8" s="54"/>
      <c r="H8" s="54"/>
      <c r="Q8" s="55"/>
      <c r="R8" s="56"/>
    </row>
    <row r="9" spans="1:20" s="6" customFormat="1" ht="13.2">
      <c r="A9" s="131" t="s">
        <v>24</v>
      </c>
      <c r="B9" s="334">
        <f>B14+B18+B22+B26+B30</f>
        <v>250597600</v>
      </c>
      <c r="C9" s="133">
        <f>B9/B8</f>
        <v>0.68258546019121291</v>
      </c>
      <c r="D9" s="123"/>
      <c r="G9" s="54"/>
      <c r="H9" s="54"/>
      <c r="Q9" s="55"/>
      <c r="R9" s="56"/>
    </row>
    <row r="10" spans="1:20" s="6" customFormat="1" ht="13.8" thickBot="1">
      <c r="A10" s="126" t="s">
        <v>25</v>
      </c>
      <c r="B10" s="335">
        <f>B8-B9</f>
        <v>116532400</v>
      </c>
      <c r="C10" s="130">
        <f>B10/B8</f>
        <v>0.31741453980878709</v>
      </c>
      <c r="D10" s="123"/>
      <c r="G10" s="54"/>
      <c r="H10" s="54"/>
      <c r="Q10" s="55"/>
      <c r="R10" s="56"/>
    </row>
    <row r="12" spans="1:20" s="6" customFormat="1" ht="13.2">
      <c r="A12" s="379" t="s">
        <v>264</v>
      </c>
      <c r="B12" s="54"/>
      <c r="C12" s="54"/>
      <c r="E12" s="237"/>
      <c r="G12" s="54"/>
      <c r="H12" s="54"/>
      <c r="K12" s="237"/>
      <c r="L12" s="268"/>
      <c r="M12" s="268"/>
      <c r="N12" s="268"/>
    </row>
    <row r="13" spans="1:20" s="149" customFormat="1" ht="13.2">
      <c r="A13" s="241"/>
      <c r="B13" s="241" t="s">
        <v>57</v>
      </c>
      <c r="C13" s="241"/>
      <c r="D13" s="155"/>
      <c r="E13" s="238"/>
      <c r="F13" s="156"/>
      <c r="G13" s="256"/>
      <c r="H13" s="258"/>
      <c r="I13" s="158"/>
      <c r="K13" s="238"/>
      <c r="L13" s="269"/>
      <c r="M13" s="269"/>
      <c r="N13" s="269"/>
      <c r="S13" s="150"/>
      <c r="T13" s="150"/>
    </row>
    <row r="14" spans="1:20" s="149" customFormat="1" ht="13.2">
      <c r="A14" s="241">
        <v>2023</v>
      </c>
      <c r="B14" s="160">
        <f>SUM(A16:L16)</f>
        <v>23650000</v>
      </c>
      <c r="C14" s="242"/>
      <c r="E14" s="238"/>
      <c r="G14" s="158"/>
      <c r="H14" s="158"/>
      <c r="I14" s="158"/>
      <c r="K14" s="238"/>
      <c r="L14" s="272"/>
      <c r="M14" s="272"/>
      <c r="N14" s="272"/>
      <c r="S14" s="150"/>
      <c r="T14" s="150"/>
    </row>
    <row r="15" spans="1:20" s="282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239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239" t="s">
        <v>68</v>
      </c>
      <c r="L15" s="239" t="s">
        <v>69</v>
      </c>
      <c r="S15" s="283"/>
      <c r="T15" s="284"/>
    </row>
    <row r="16" spans="1:20" s="285" customFormat="1" ht="13.2">
      <c r="A16" s="170">
        <f>SUMIFS($J$36:$J$58,$G$36:$G$58,2023,$H$36:$H$58,1,$K$36:$K$58,"Y")</f>
        <v>0</v>
      </c>
      <c r="B16" s="170">
        <f>SUMIFS($J$36:$J$58,$G$36:$G$58,2023,$H$36:$H$58,2,$K$36:$K$58,"Y")</f>
        <v>0</v>
      </c>
      <c r="C16" s="170">
        <f>SUMIFS($J$36:$J$58,$G$36:$G$58,2023,$H$36:$H$58,3,$K$36:$K$58,"Y")</f>
        <v>0</v>
      </c>
      <c r="D16" s="170">
        <f>SUMIFS($J$36:$J$58,$G$36:$G$58,2023,$H$36:$H$58,4,$K$36:$K$58,"Y")</f>
        <v>0</v>
      </c>
      <c r="E16" s="170">
        <f>SUMIFS($J$36:$J$58,$G$36:$G$58,2023,$H$36:$H$58,5,$K$36:$K$58,"Y")</f>
        <v>0</v>
      </c>
      <c r="F16" s="170">
        <f>SUMIFS($J$36:$J$58,$G$36:$G$58,2023,$H$36:$H$58,6,$K$36:$K$58,"Y")</f>
        <v>0</v>
      </c>
      <c r="G16" s="170">
        <f>SUMIFS($J$36:$J$58,$G$36:$G$58,2023,$H$36:$H$58,7,$K$36:$K$58,"Y")</f>
        <v>0</v>
      </c>
      <c r="H16" s="170">
        <f>SUMIFS($J$36:$J$58,$G$36:$G$58,2023,$H$36:$H$58,8,$K$36:$K$58,"Y")</f>
        <v>0</v>
      </c>
      <c r="I16" s="170">
        <f>SUMIFS($J$36:$J$58,$G$36:$G$58,2023,$H$36:$H$58,9,$K$36:$K$58,"Y")</f>
        <v>0</v>
      </c>
      <c r="J16" s="170">
        <f>SUMIFS($J$36:$J$58,$G$36:$G$58,2023,$H$36:$H$58,10,$K$36:$K$58,"Y")</f>
        <v>23650000</v>
      </c>
      <c r="K16" s="170">
        <f>SUMIFS($J$36:$J$58,$G$36:$G$58,2023,$H$36:$H$58,11,$K$36:$K$58,"Y")</f>
        <v>0</v>
      </c>
      <c r="L16" s="170">
        <f>SUMIFS($J$36:$J$58,$G$36:$G$58,2023,$H$36:$H$58,12,$K$36:$K$58,"Y")</f>
        <v>0</v>
      </c>
      <c r="S16" s="286"/>
      <c r="T16" s="286"/>
    </row>
    <row r="17" spans="1:20" s="6" customFormat="1" ht="5.4" customHeight="1">
      <c r="A17" s="54"/>
      <c r="B17" s="282"/>
      <c r="C17" s="54"/>
      <c r="E17" s="237"/>
      <c r="G17" s="54"/>
      <c r="H17" s="54"/>
      <c r="I17" s="54"/>
      <c r="K17" s="237"/>
      <c r="L17" s="271"/>
      <c r="S17" s="55"/>
      <c r="T17" s="56"/>
    </row>
    <row r="18" spans="1:20" s="149" customFormat="1" ht="13.2">
      <c r="A18" s="241">
        <v>2024</v>
      </c>
      <c r="B18" s="160">
        <f>SUM(A20:L20)</f>
        <v>100094500</v>
      </c>
      <c r="C18" s="242"/>
      <c r="E18" s="238"/>
      <c r="G18" s="158"/>
      <c r="H18" s="158"/>
      <c r="I18" s="158"/>
      <c r="K18" s="238"/>
      <c r="L18" s="272"/>
      <c r="S18" s="150"/>
      <c r="T18" s="150"/>
    </row>
    <row r="19" spans="1:20" s="282" customFormat="1" ht="13.8">
      <c r="A19" s="136" t="s">
        <v>58</v>
      </c>
      <c r="B19" s="136" t="s">
        <v>59</v>
      </c>
      <c r="C19" s="136" t="s">
        <v>60</v>
      </c>
      <c r="D19" s="136" t="s">
        <v>61</v>
      </c>
      <c r="E19" s="239" t="s">
        <v>62</v>
      </c>
      <c r="F19" s="136" t="s">
        <v>63</v>
      </c>
      <c r="G19" s="136" t="s">
        <v>64</v>
      </c>
      <c r="H19" s="136" t="s">
        <v>65</v>
      </c>
      <c r="I19" s="136" t="s">
        <v>66</v>
      </c>
      <c r="J19" s="136" t="s">
        <v>67</v>
      </c>
      <c r="K19" s="239" t="s">
        <v>68</v>
      </c>
      <c r="L19" s="239" t="s">
        <v>69</v>
      </c>
      <c r="S19" s="283"/>
      <c r="T19" s="284"/>
    </row>
    <row r="20" spans="1:20" s="285" customFormat="1" ht="13.2">
      <c r="A20" s="170">
        <f>SUMIFS($J$36:$J$58,$G$36:$G$58,2024,$H$36:$H$58,1,$K$36:$K$58,"Y")</f>
        <v>0</v>
      </c>
      <c r="B20" s="170">
        <f>SUMIFS($J$36:$J$58,$G$36:$G$58,2024,$H$36:$H$58,2,$K$36:$K$58,"Y")</f>
        <v>0</v>
      </c>
      <c r="C20" s="170">
        <f>SUMIFS($J$36:$J$58,$G$36:$G$58,2024,$H$36:$H$58,3,$K$36:$K$58,"Y")</f>
        <v>0</v>
      </c>
      <c r="D20" s="170">
        <f>SUMIFS($J$36:$J$58,$G$36:$G$58,2024,$H$36:$H$58,4,$K$36:$K$58,"Y")</f>
        <v>0</v>
      </c>
      <c r="E20" s="170">
        <f>SUMIFS($J$36:$J$58,$G$36:$G$58,2024,$H$36:$H$58,5,$K$36:$K$58,"Y")</f>
        <v>0</v>
      </c>
      <c r="F20" s="170">
        <f>SUMIFS($J$36:$J$58,$G$36:$G$58,2024,$H$36:$H$58,6,$K$36:$K$58,"Y")</f>
        <v>0</v>
      </c>
      <c r="G20" s="170">
        <f>SUMIFS($J$36:$J$58,$G$36:$G$58,2024,$H$36:$H$58,7,$K$36:$K$58,"Y")</f>
        <v>37620000</v>
      </c>
      <c r="H20" s="170">
        <f>SUMIFS($J$36:$J$58,$G$36:$G$58,2024,$H$36:$H$58,8,$K$36:$K$58,"Y")</f>
        <v>0</v>
      </c>
      <c r="I20" s="170">
        <f>SUMIFS($J$36:$J$58,$G$36:$G$58,2024,$H$36:$H$58,9,$K$36:$K$58,"Y")</f>
        <v>15779500</v>
      </c>
      <c r="J20" s="170">
        <f>SUMIFS($J$36:$J$58,$G$36:$G$58,2024,$H$36:$H$58,10,$K$36:$K$58,"Y")</f>
        <v>37620000</v>
      </c>
      <c r="K20" s="170">
        <f>SUMIFS($J$36:$J$58,$G$36:$G$58,2024,$H$36:$H$58,11,$K$36:$K$58,"Y")</f>
        <v>9075000</v>
      </c>
      <c r="L20" s="170">
        <f>SUMIFS($J$36:$J$58,$G$36:$G$58,2024,$H$36:$H$58,12,$K$36:$K$58,"Y")</f>
        <v>0</v>
      </c>
      <c r="S20" s="286"/>
      <c r="T20" s="286"/>
    </row>
    <row r="21" spans="1:20" s="6" customFormat="1" ht="5.4" customHeight="1">
      <c r="A21" s="54"/>
      <c r="B21" s="282"/>
      <c r="C21" s="54"/>
      <c r="E21" s="237"/>
      <c r="G21" s="54"/>
      <c r="H21" s="54"/>
      <c r="I21" s="54"/>
      <c r="K21" s="237"/>
      <c r="L21" s="271"/>
      <c r="S21" s="55"/>
      <c r="T21" s="56"/>
    </row>
    <row r="22" spans="1:20" s="149" customFormat="1" ht="13.2">
      <c r="A22" s="241">
        <v>2025</v>
      </c>
      <c r="B22" s="160">
        <f>SUM(A24:L24)</f>
        <v>117877100</v>
      </c>
      <c r="C22" s="242"/>
      <c r="E22" s="238"/>
      <c r="G22" s="158"/>
      <c r="H22" s="158"/>
      <c r="I22" s="158"/>
      <c r="K22" s="238"/>
      <c r="L22" s="272"/>
      <c r="S22" s="150"/>
      <c r="T22" s="150"/>
    </row>
    <row r="23" spans="1:20" s="282" customFormat="1" ht="13.8">
      <c r="A23" s="136" t="s">
        <v>58</v>
      </c>
      <c r="B23" s="136" t="s">
        <v>59</v>
      </c>
      <c r="C23" s="136" t="s">
        <v>60</v>
      </c>
      <c r="D23" s="136" t="s">
        <v>61</v>
      </c>
      <c r="E23" s="239" t="s">
        <v>62</v>
      </c>
      <c r="F23" s="136" t="s">
        <v>63</v>
      </c>
      <c r="G23" s="136" t="s">
        <v>64</v>
      </c>
      <c r="H23" s="136" t="s">
        <v>65</v>
      </c>
      <c r="I23" s="136" t="s">
        <v>66</v>
      </c>
      <c r="J23" s="136" t="s">
        <v>67</v>
      </c>
      <c r="K23" s="239" t="s">
        <v>68</v>
      </c>
      <c r="L23" s="239" t="s">
        <v>69</v>
      </c>
      <c r="S23" s="283"/>
      <c r="T23" s="284"/>
    </row>
    <row r="24" spans="1:20" s="285" customFormat="1" ht="13.2">
      <c r="A24" s="170">
        <f>SUMIFS($J$36:$J$58,$G$36:$G$58,2025,$H$36:$H$58,1,$K$36:$K$58,"Y")</f>
        <v>50160000</v>
      </c>
      <c r="B24" s="170">
        <f>SUMIFS($J$36:$J$58,$G$36:$G$58,2025,$H$36:$H$58,2,$K$36:$K$58,"Y")</f>
        <v>0</v>
      </c>
      <c r="C24" s="170">
        <f>SUMIFS($J$36:$J$58,$G$36:$G$58,2025,$H$36:$H$58,3,$K$36:$K$58,"Y")</f>
        <v>0</v>
      </c>
      <c r="D24" s="170">
        <f>SUMIFS($J$36:$J$58,$G$36:$G$58,2025,$H$36:$H$58,4,$K$36:$K$58,"Y")</f>
        <v>23650000</v>
      </c>
      <c r="E24" s="170">
        <f>SUMIFS($J$36:$J$58,$G$36:$G$58,2025,$H$36:$H$58,5,$K$36:$K$58,"Y")</f>
        <v>0</v>
      </c>
      <c r="F24" s="170">
        <f>SUMIFS($J$36:$J$58,$G$36:$G$58,2025,$H$36:$H$58,6,$K$36:$K$58,"Y")</f>
        <v>0</v>
      </c>
      <c r="G24" s="170">
        <f>SUMIFS($J$36:$J$58,$G$36:$G$58,2025,$H$36:$H$58,7,$K$36:$K$58,"Y")</f>
        <v>0</v>
      </c>
      <c r="H24" s="170">
        <f>SUMIFS($J$36:$J$58,$G$36:$G$58,2025,$H$36:$H$58,8,$K$36:$K$58,"Y")</f>
        <v>0</v>
      </c>
      <c r="I24" s="170">
        <f>SUMIFS($J$36:$J$58,$G$36:$G$58,2025,$H$36:$H$58,9,$K$36:$K$58,"Y")</f>
        <v>0</v>
      </c>
      <c r="J24" s="170">
        <f>SUMIFS($J$36:$J$58,$G$36:$G$58,2025,$H$36:$H$58,10,$K$36:$K$58,"Y")</f>
        <v>0</v>
      </c>
      <c r="K24" s="170">
        <f>SUMIFS($J$36:$J$58,$G$36:$G$58,2025,$H$36:$H$58,11,$K$36:$K$58,"Y")</f>
        <v>19212600</v>
      </c>
      <c r="L24" s="170">
        <f>SUMIFS($J$36:$J$58,$G$36:$G$58,2025,$H$36:$H$58,12,$K$36:$K$58,"Y")</f>
        <v>24854500</v>
      </c>
      <c r="S24" s="286"/>
      <c r="T24" s="286"/>
    </row>
    <row r="25" spans="1:20" s="6" customFormat="1" ht="5.4" customHeight="1">
      <c r="A25" s="54"/>
      <c r="B25" s="282"/>
      <c r="C25" s="54"/>
      <c r="E25" s="237"/>
      <c r="G25" s="54"/>
      <c r="H25" s="54"/>
      <c r="I25" s="54"/>
      <c r="K25" s="237"/>
      <c r="L25" s="271"/>
      <c r="S25" s="55"/>
      <c r="T25" s="56"/>
    </row>
    <row r="26" spans="1:20" s="149" customFormat="1" ht="13.2">
      <c r="A26" s="241">
        <v>2026</v>
      </c>
      <c r="B26" s="160">
        <f>SUM(A28:L28)</f>
        <v>8976000</v>
      </c>
      <c r="C26" s="242"/>
      <c r="E26" s="238"/>
      <c r="G26" s="158"/>
      <c r="H26" s="158"/>
      <c r="I26" s="158"/>
      <c r="K26" s="238"/>
      <c r="L26" s="272"/>
      <c r="S26" s="150"/>
      <c r="T26" s="150"/>
    </row>
    <row r="27" spans="1:20" s="282" customFormat="1" ht="13.8">
      <c r="A27" s="136" t="s">
        <v>58</v>
      </c>
      <c r="B27" s="136" t="s">
        <v>59</v>
      </c>
      <c r="C27" s="136" t="s">
        <v>60</v>
      </c>
      <c r="D27" s="136" t="s">
        <v>61</v>
      </c>
      <c r="E27" s="239" t="s">
        <v>62</v>
      </c>
      <c r="F27" s="136" t="s">
        <v>63</v>
      </c>
      <c r="G27" s="136" t="s">
        <v>64</v>
      </c>
      <c r="H27" s="136" t="s">
        <v>65</v>
      </c>
      <c r="I27" s="136" t="s">
        <v>66</v>
      </c>
      <c r="J27" s="136" t="s">
        <v>67</v>
      </c>
      <c r="K27" s="239" t="s">
        <v>68</v>
      </c>
      <c r="L27" s="239" t="s">
        <v>69</v>
      </c>
      <c r="S27" s="283"/>
      <c r="T27" s="284"/>
    </row>
    <row r="28" spans="1:20" s="285" customFormat="1" ht="13.2">
      <c r="A28" s="170">
        <f>SUMIFS($J$36:$J$58,$G$36:$G$58,2026,$H$36:$H$58,1,$K$36:$K$58,"Y")</f>
        <v>0</v>
      </c>
      <c r="B28" s="170">
        <f>SUMIFS($J$36:$J$58,$G$36:$G$58,2026,$H$36:$H$58,2,$K$36:$K$58,"Y")</f>
        <v>8976000</v>
      </c>
      <c r="C28" s="170">
        <f>SUMIFS($J$36:$J$58,$G$36:$G$58,2026,$H$36:$H$58,3,$K$36:$K$58,"Y")</f>
        <v>0</v>
      </c>
      <c r="D28" s="170">
        <f>SUMIFS($J$36:$J$58,$G$36:$G$58,2026,$H$36:$H$58,4,$K$36:$K$58,"Y")</f>
        <v>0</v>
      </c>
      <c r="E28" s="170">
        <f>SUMIFS($J$36:$J$58,$G$36:$G$58,2026,$H$36:$H$58,5,$K$36:$K$58,"Y")</f>
        <v>0</v>
      </c>
      <c r="F28" s="170">
        <f>SUMIFS($J$36:$J$58,$G$36:$G$58,2026,$H$36:$H$58,6,$K$36:$K$58,"Y")</f>
        <v>0</v>
      </c>
      <c r="G28" s="170">
        <f>SUMIFS($J$36:$J$58,$G$36:$G$58,2026,$H$36:$H$58,7,$K$36:$K$58,"Y")</f>
        <v>0</v>
      </c>
      <c r="H28" s="170">
        <f>SUMIFS($J$36:$J$58,$G$36:$G$58,2026,$H$36:$H$58,8,$K$36:$K$58,"Y")</f>
        <v>0</v>
      </c>
      <c r="I28" s="170">
        <f>SUMIFS($J$36:$J$58,$G$36:$G$58,2026,$H$36:$H$58,9,$K$36:$K$58,"Y")</f>
        <v>0</v>
      </c>
      <c r="J28" s="170">
        <f>SUMIFS($J$36:$J$58,$G$36:$G$58,2026,$H$36:$H$58,10,$K$36:$K$58,"Y")</f>
        <v>0</v>
      </c>
      <c r="K28" s="170">
        <f>SUMIFS($J$36:$J$58,$G$36:$G$58,2026,$H$36:$H$58,11,$K$36:$K$58,"Y")</f>
        <v>0</v>
      </c>
      <c r="L28" s="170">
        <f>SUMIFS($J$36:$J$58,$G$36:$G$58,2026,$H$36:$H$58,12,$K$36:$K$58,"Y")</f>
        <v>0</v>
      </c>
      <c r="S28" s="286"/>
      <c r="T28" s="286"/>
    </row>
    <row r="29" spans="1:20" s="52" customFormat="1" ht="5.4" customHeight="1">
      <c r="A29" s="54"/>
      <c r="B29" s="282"/>
      <c r="C29" s="54"/>
      <c r="D29" s="6"/>
      <c r="E29" s="237"/>
      <c r="F29" s="6"/>
      <c r="G29" s="54"/>
      <c r="H29" s="54"/>
      <c r="I29" s="54"/>
      <c r="J29" s="6"/>
      <c r="K29" s="237"/>
      <c r="L29" s="271"/>
    </row>
    <row r="30" spans="1:20" s="149" customFormat="1" ht="13.2">
      <c r="A30" s="241">
        <v>2027</v>
      </c>
      <c r="B30" s="160">
        <f>SUM(A32:L32)</f>
        <v>0</v>
      </c>
      <c r="C30" s="242"/>
      <c r="E30" s="238"/>
      <c r="G30" s="158"/>
      <c r="H30" s="158"/>
      <c r="I30" s="158"/>
      <c r="K30" s="238"/>
      <c r="L30" s="272"/>
    </row>
    <row r="31" spans="1:20" s="282" customFormat="1" ht="13.8">
      <c r="A31" s="136" t="s">
        <v>58</v>
      </c>
      <c r="B31" s="136" t="s">
        <v>59</v>
      </c>
      <c r="C31" s="136" t="s">
        <v>60</v>
      </c>
      <c r="D31" s="136" t="s">
        <v>61</v>
      </c>
      <c r="E31" s="239" t="s">
        <v>62</v>
      </c>
      <c r="F31" s="136" t="s">
        <v>63</v>
      </c>
      <c r="G31" s="136" t="s">
        <v>64</v>
      </c>
      <c r="H31" s="136" t="s">
        <v>65</v>
      </c>
      <c r="I31" s="136" t="s">
        <v>66</v>
      </c>
      <c r="J31" s="136" t="s">
        <v>67</v>
      </c>
      <c r="K31" s="239" t="s">
        <v>68</v>
      </c>
      <c r="L31" s="239" t="s">
        <v>69</v>
      </c>
      <c r="S31" s="283"/>
      <c r="T31" s="284"/>
    </row>
    <row r="32" spans="1:20" s="285" customFormat="1" ht="13.2">
      <c r="A32" s="170">
        <f>SUMIFS($J$36:$J$58,$G$36:$G$58,2027,$H$36:$H$58,1,$K$36:$K$58,"Y")</f>
        <v>0</v>
      </c>
      <c r="B32" s="170">
        <f>SUMIFS($J$36:$J$58,$G$36:$G$58,2027,$H$36:$H$58,2,$K$36:$K$58,"Y")</f>
        <v>0</v>
      </c>
      <c r="C32" s="170">
        <f>SUMIFS($J$36:$J$58,$G$36:$G$58,2027,$H$36:$H$58,3,$K$36:$K$58,"Y")</f>
        <v>0</v>
      </c>
      <c r="D32" s="170">
        <f>SUMIFS($J$36:$J$58,$G$36:$G$58,2027,$H$36:$H$58,4,$K$36:$K$58,"Y")</f>
        <v>0</v>
      </c>
      <c r="E32" s="170">
        <f>SUMIFS($J$36:$J$58,$G$36:$G$58,2027,$H$36:$H$58,5,$K$36:$K$58,"Y")</f>
        <v>0</v>
      </c>
      <c r="F32" s="170">
        <f>SUMIFS($J$36:$J$58,$G$36:$G$58,2027,$H$36:$H$58,6,$K$36:$K$58,"Y")</f>
        <v>0</v>
      </c>
      <c r="G32" s="170">
        <f>SUMIFS($J$36:$J$58,$G$36:$G$58,2027,$H$36:$H$58,7,$K$36:$K$58,"Y")</f>
        <v>0</v>
      </c>
      <c r="H32" s="170">
        <f>SUMIFS($J$36:$J$58,$G$36:$G$58,2027,$H$36:$H$58,8,$K$36:$K$58,"Y")</f>
        <v>0</v>
      </c>
      <c r="I32" s="170">
        <f>SUMIFS($J$36:$J$58,$G$36:$G$58,2027,$H$36:$H$58,9,$K$36:$K$58,"Y")</f>
        <v>0</v>
      </c>
      <c r="J32" s="170">
        <f>SUMIFS($J$36:$J$58,$G$36:$G$58,2027,$H$36:$H$58,10,$K$36:$K$58,"Y")</f>
        <v>0</v>
      </c>
      <c r="K32" s="170">
        <f>SUMIFS($J$36:$J$58,$G$36:$G$58,2027,$H$36:$H$58,11,$K$36:$K$58,"Y")</f>
        <v>0</v>
      </c>
      <c r="L32" s="170">
        <f>SUMIFS($J$36:$J$58,$G$36:$G$58,2027,$H$36:$H$58,12,$K$36:$K$58,"Y")</f>
        <v>0</v>
      </c>
      <c r="S32" s="286"/>
      <c r="T32" s="286"/>
    </row>
    <row r="34" spans="1:12" s="6" customFormat="1" ht="13.2">
      <c r="A34" s="1" t="s">
        <v>259</v>
      </c>
      <c r="I34" s="166"/>
    </row>
    <row r="35" spans="1:12" s="6" customFormat="1" ht="28.8">
      <c r="A35" s="14" t="s">
        <v>680</v>
      </c>
      <c r="B35" s="14" t="s">
        <v>134</v>
      </c>
      <c r="C35" s="384" t="s">
        <v>626</v>
      </c>
      <c r="D35" s="14" t="s">
        <v>452</v>
      </c>
      <c r="E35" s="14" t="s">
        <v>137</v>
      </c>
      <c r="F35" s="14" t="s">
        <v>138</v>
      </c>
      <c r="G35" s="14" t="s">
        <v>139</v>
      </c>
      <c r="H35" s="14" t="s">
        <v>140</v>
      </c>
      <c r="I35" s="14" t="s">
        <v>141</v>
      </c>
      <c r="J35" s="384" t="s">
        <v>627</v>
      </c>
      <c r="K35" s="14" t="s">
        <v>143</v>
      </c>
      <c r="L35" s="172" t="s">
        <v>144</v>
      </c>
    </row>
    <row r="36" spans="1:12" s="6" customFormat="1" ht="13.2">
      <c r="A36" s="97" t="s">
        <v>698</v>
      </c>
      <c r="B36" s="381" t="s">
        <v>630</v>
      </c>
      <c r="C36" s="380">
        <f>43000000*50%</f>
        <v>21500000</v>
      </c>
      <c r="D36" s="380">
        <v>23650000</v>
      </c>
      <c r="E36" s="4" t="s">
        <v>699</v>
      </c>
      <c r="F36" s="319">
        <v>45209</v>
      </c>
      <c r="G36" s="4">
        <v>2023</v>
      </c>
      <c r="H36" s="4">
        <v>10</v>
      </c>
      <c r="I36" s="161">
        <v>45218</v>
      </c>
      <c r="J36" s="219">
        <v>23650000</v>
      </c>
      <c r="K36" s="212" t="s">
        <v>167</v>
      </c>
      <c r="L36" s="23" t="s">
        <v>700</v>
      </c>
    </row>
    <row r="37" spans="1:12" s="6" customFormat="1" ht="15.6">
      <c r="A37" s="97" t="s">
        <v>698</v>
      </c>
      <c r="B37" s="381" t="s">
        <v>701</v>
      </c>
      <c r="C37" s="380">
        <f>43000000*50%</f>
        <v>21500000</v>
      </c>
      <c r="D37" s="380">
        <v>23650000</v>
      </c>
      <c r="E37" s="4" t="s">
        <v>699</v>
      </c>
      <c r="F37" s="319">
        <v>45723</v>
      </c>
      <c r="G37" s="4">
        <v>2025</v>
      </c>
      <c r="H37" s="4">
        <v>4</v>
      </c>
      <c r="I37" s="161">
        <v>45764</v>
      </c>
      <c r="J37" s="22">
        <v>23650000</v>
      </c>
      <c r="K37" s="5" t="s">
        <v>167</v>
      </c>
      <c r="L37" s="23" t="s">
        <v>702</v>
      </c>
    </row>
    <row r="38" spans="1:12" s="6" customFormat="1" ht="13.2">
      <c r="A38" s="97" t="s">
        <v>703</v>
      </c>
      <c r="B38" s="381" t="s">
        <v>630</v>
      </c>
      <c r="C38" s="380">
        <f>114000000*30%</f>
        <v>34200000</v>
      </c>
      <c r="D38" s="380">
        <v>37620000</v>
      </c>
      <c r="E38" s="4" t="s">
        <v>704</v>
      </c>
      <c r="F38" s="319">
        <v>45471</v>
      </c>
      <c r="G38" s="4">
        <v>2024</v>
      </c>
      <c r="H38" s="4">
        <v>7</v>
      </c>
      <c r="I38" s="161">
        <v>45484</v>
      </c>
      <c r="J38" s="22">
        <v>37620000</v>
      </c>
      <c r="K38" s="5" t="s">
        <v>167</v>
      </c>
      <c r="L38" s="23" t="s">
        <v>705</v>
      </c>
    </row>
    <row r="39" spans="1:12" s="6" customFormat="1" ht="15.6">
      <c r="A39" s="97" t="s">
        <v>703</v>
      </c>
      <c r="B39" s="382" t="s">
        <v>706</v>
      </c>
      <c r="C39" s="380">
        <f>114000000*30%</f>
        <v>34200000</v>
      </c>
      <c r="D39" s="380">
        <v>37620000</v>
      </c>
      <c r="E39" s="4" t="s">
        <v>704</v>
      </c>
      <c r="F39" s="319">
        <v>45561</v>
      </c>
      <c r="G39" s="4">
        <v>2024</v>
      </c>
      <c r="H39" s="4">
        <v>10</v>
      </c>
      <c r="I39" s="161">
        <v>45575</v>
      </c>
      <c r="J39" s="22">
        <v>37620000</v>
      </c>
      <c r="K39" s="5" t="s">
        <v>167</v>
      </c>
      <c r="L39" s="23" t="s">
        <v>707</v>
      </c>
    </row>
    <row r="40" spans="1:12" s="6" customFormat="1" ht="15.6">
      <c r="A40" s="97" t="s">
        <v>703</v>
      </c>
      <c r="B40" s="381" t="s">
        <v>701</v>
      </c>
      <c r="C40" s="380">
        <f>114000000*40%</f>
        <v>45600000</v>
      </c>
      <c r="D40" s="380">
        <v>50160000</v>
      </c>
      <c r="E40" s="4" t="s">
        <v>704</v>
      </c>
      <c r="F40" s="319">
        <v>45672</v>
      </c>
      <c r="G40" s="4">
        <v>2025</v>
      </c>
      <c r="H40" s="4">
        <v>1</v>
      </c>
      <c r="I40" s="161">
        <v>45680</v>
      </c>
      <c r="J40" s="22">
        <v>50160000</v>
      </c>
      <c r="K40" s="5" t="s">
        <v>167</v>
      </c>
      <c r="L40" s="23" t="s">
        <v>708</v>
      </c>
    </row>
    <row r="41" spans="1:12" s="6" customFormat="1" ht="13.2">
      <c r="A41" s="97" t="s">
        <v>709</v>
      </c>
      <c r="B41" s="381" t="s">
        <v>630</v>
      </c>
      <c r="C41" s="380">
        <v>14345000</v>
      </c>
      <c r="D41" s="380">
        <v>15779500</v>
      </c>
      <c r="E41" s="4" t="s">
        <v>710</v>
      </c>
      <c r="F41" s="319">
        <v>45546</v>
      </c>
      <c r="G41" s="4">
        <v>2024</v>
      </c>
      <c r="H41" s="4">
        <v>9</v>
      </c>
      <c r="I41" s="161">
        <v>45561</v>
      </c>
      <c r="J41" s="22">
        <v>15779500</v>
      </c>
      <c r="K41" s="5" t="s">
        <v>167</v>
      </c>
      <c r="L41" s="23" t="s">
        <v>711</v>
      </c>
    </row>
    <row r="42" spans="1:12" s="6" customFormat="1" ht="15.6">
      <c r="A42" s="97" t="s">
        <v>709</v>
      </c>
      <c r="B42" s="381" t="s">
        <v>701</v>
      </c>
      <c r="C42" s="380">
        <v>14345000</v>
      </c>
      <c r="D42" s="380">
        <v>15779500</v>
      </c>
      <c r="E42" s="4" t="s">
        <v>710</v>
      </c>
      <c r="F42" s="319">
        <v>45968</v>
      </c>
      <c r="G42" s="4">
        <v>2025</v>
      </c>
      <c r="H42" s="4">
        <v>12</v>
      </c>
      <c r="I42" s="161">
        <v>46009</v>
      </c>
      <c r="J42" s="22">
        <v>15779500</v>
      </c>
      <c r="K42" s="5" t="s">
        <v>167</v>
      </c>
      <c r="L42" s="23" t="s">
        <v>712</v>
      </c>
    </row>
    <row r="43" spans="1:12" s="6" customFormat="1" ht="13.2">
      <c r="A43" s="97" t="s">
        <v>713</v>
      </c>
      <c r="B43" s="381" t="s">
        <v>630</v>
      </c>
      <c r="C43" s="380">
        <f>12180000*50%</f>
        <v>6090000</v>
      </c>
      <c r="D43" s="380"/>
      <c r="E43" s="4"/>
      <c r="F43" s="4"/>
      <c r="G43" s="4"/>
      <c r="H43" s="4"/>
      <c r="I43" s="161"/>
      <c r="J43" s="22"/>
      <c r="K43" s="5"/>
      <c r="L43" s="23"/>
    </row>
    <row r="44" spans="1:12" s="6" customFormat="1" ht="15.6">
      <c r="A44" s="97" t="s">
        <v>713</v>
      </c>
      <c r="B44" s="381" t="s">
        <v>701</v>
      </c>
      <c r="C44" s="380">
        <f t="shared" ref="C44" si="0">12180000*50%</f>
        <v>6090000</v>
      </c>
      <c r="D44" s="380"/>
      <c r="E44" s="4"/>
      <c r="F44" s="4"/>
      <c r="G44" s="4"/>
      <c r="H44" s="4"/>
      <c r="I44" s="161"/>
      <c r="J44" s="22"/>
      <c r="K44" s="5"/>
      <c r="L44" s="23"/>
    </row>
    <row r="45" spans="1:12" s="6" customFormat="1" ht="13.2">
      <c r="A45" s="97" t="s">
        <v>714</v>
      </c>
      <c r="B45" s="381" t="s">
        <v>630</v>
      </c>
      <c r="C45" s="380">
        <v>8250000</v>
      </c>
      <c r="D45" s="380">
        <v>9075000</v>
      </c>
      <c r="E45" s="4" t="s">
        <v>715</v>
      </c>
      <c r="F45" s="319">
        <v>45602</v>
      </c>
      <c r="G45" s="4">
        <v>2024</v>
      </c>
      <c r="H45" s="4">
        <v>11</v>
      </c>
      <c r="I45" s="161">
        <v>45624</v>
      </c>
      <c r="J45" s="22">
        <v>9075000</v>
      </c>
      <c r="K45" s="5" t="s">
        <v>167</v>
      </c>
      <c r="L45" s="23" t="s">
        <v>716</v>
      </c>
    </row>
    <row r="46" spans="1:12" s="6" customFormat="1" ht="15.6">
      <c r="A46" s="97" t="s">
        <v>717</v>
      </c>
      <c r="B46" s="381" t="s">
        <v>701</v>
      </c>
      <c r="C46" s="380">
        <v>8250000</v>
      </c>
      <c r="D46" s="380">
        <v>9075000</v>
      </c>
      <c r="E46" s="4" t="s">
        <v>715</v>
      </c>
      <c r="F46" s="319">
        <v>45968</v>
      </c>
      <c r="G46" s="4">
        <v>2025</v>
      </c>
      <c r="H46" s="4">
        <v>12</v>
      </c>
      <c r="I46" s="161">
        <v>46009</v>
      </c>
      <c r="J46" s="22">
        <v>9075000</v>
      </c>
      <c r="K46" s="5" t="s">
        <v>167</v>
      </c>
      <c r="L46" s="23" t="s">
        <v>718</v>
      </c>
    </row>
    <row r="47" spans="1:12" s="6" customFormat="1" ht="13.2">
      <c r="A47" s="97" t="s">
        <v>719</v>
      </c>
      <c r="B47" s="381" t="s">
        <v>630</v>
      </c>
      <c r="C47" s="380">
        <f>72300000*20%</f>
        <v>14460000</v>
      </c>
      <c r="D47" s="380"/>
      <c r="E47" s="4"/>
      <c r="F47" s="4"/>
      <c r="G47" s="4"/>
      <c r="H47" s="4"/>
      <c r="I47" s="161"/>
      <c r="J47" s="22"/>
      <c r="K47" s="5"/>
      <c r="L47" s="23"/>
    </row>
    <row r="48" spans="1:12" s="6" customFormat="1" ht="15.6">
      <c r="A48" s="97" t="s">
        <v>719</v>
      </c>
      <c r="B48" s="381" t="s">
        <v>720</v>
      </c>
      <c r="C48" s="380">
        <f>72300000*30%</f>
        <v>21690000</v>
      </c>
      <c r="D48" s="380"/>
      <c r="E48" s="4"/>
      <c r="F48" s="4"/>
      <c r="G48" s="4"/>
      <c r="H48" s="4"/>
      <c r="I48" s="161"/>
      <c r="J48" s="22"/>
      <c r="K48" s="5"/>
      <c r="L48" s="23"/>
    </row>
    <row r="49" spans="1:12" s="6" customFormat="1" ht="31.2">
      <c r="A49" s="97" t="s">
        <v>719</v>
      </c>
      <c r="B49" s="383" t="s">
        <v>721</v>
      </c>
      <c r="C49" s="380">
        <f>72300000*30%</f>
        <v>21690000</v>
      </c>
      <c r="D49" s="380"/>
      <c r="E49" s="4"/>
      <c r="F49" s="4"/>
      <c r="G49" s="4"/>
      <c r="H49" s="4"/>
      <c r="I49" s="161"/>
      <c r="J49" s="22"/>
      <c r="K49" s="5"/>
      <c r="L49" s="23"/>
    </row>
    <row r="50" spans="1:12" s="6" customFormat="1" ht="31.2">
      <c r="A50" s="97" t="s">
        <v>719</v>
      </c>
      <c r="B50" s="383" t="s">
        <v>722</v>
      </c>
      <c r="C50" s="380">
        <f>72300000*20%</f>
        <v>14460000</v>
      </c>
      <c r="D50" s="380"/>
      <c r="E50" s="4"/>
      <c r="F50" s="4"/>
      <c r="G50" s="4"/>
      <c r="H50" s="4"/>
      <c r="I50" s="161"/>
      <c r="J50" s="22"/>
      <c r="K50" s="5"/>
      <c r="L50" s="23"/>
    </row>
    <row r="51" spans="1:12" s="6" customFormat="1" ht="13.2">
      <c r="A51" s="97" t="s">
        <v>723</v>
      </c>
      <c r="B51" s="381" t="s">
        <v>724</v>
      </c>
      <c r="C51" s="380">
        <v>17466000</v>
      </c>
      <c r="D51" s="380">
        <v>19212600</v>
      </c>
      <c r="E51" s="4" t="s">
        <v>725</v>
      </c>
      <c r="F51" s="319">
        <v>45981</v>
      </c>
      <c r="G51" s="4">
        <v>2025</v>
      </c>
      <c r="H51" s="4">
        <v>11</v>
      </c>
      <c r="I51" s="161">
        <v>45988</v>
      </c>
      <c r="J51" s="22">
        <v>19212600</v>
      </c>
      <c r="K51" s="5" t="s">
        <v>167</v>
      </c>
      <c r="L51" s="23" t="s">
        <v>726</v>
      </c>
    </row>
    <row r="52" spans="1:12" s="6" customFormat="1" ht="13.2">
      <c r="A52" s="97" t="s">
        <v>723</v>
      </c>
      <c r="B52" s="5" t="s">
        <v>727</v>
      </c>
      <c r="C52" s="380">
        <v>29561000</v>
      </c>
      <c r="D52" s="380"/>
      <c r="E52" s="4" t="s">
        <v>725</v>
      </c>
      <c r="F52" s="4"/>
      <c r="G52" s="4"/>
      <c r="H52" s="4"/>
      <c r="I52" s="161"/>
      <c r="J52" s="22"/>
      <c r="K52" s="5"/>
      <c r="L52" s="23"/>
    </row>
    <row r="53" spans="1:12" s="6" customFormat="1" ht="13.2">
      <c r="A53" s="97" t="s">
        <v>723</v>
      </c>
      <c r="B53" s="5" t="s">
        <v>728</v>
      </c>
      <c r="C53" s="380">
        <v>25273000</v>
      </c>
      <c r="D53" s="380"/>
      <c r="E53" s="4" t="s">
        <v>725</v>
      </c>
      <c r="F53" s="4"/>
      <c r="G53" s="4"/>
      <c r="H53" s="4"/>
      <c r="I53" s="161"/>
      <c r="J53" s="22"/>
      <c r="K53" s="5"/>
      <c r="L53" s="23"/>
    </row>
    <row r="54" spans="1:12" s="6" customFormat="1" ht="13.2">
      <c r="A54" s="97" t="s">
        <v>729</v>
      </c>
      <c r="B54" s="5" t="s">
        <v>730</v>
      </c>
      <c r="C54" s="380">
        <v>8160000</v>
      </c>
      <c r="D54" s="380">
        <v>8976000</v>
      </c>
      <c r="E54" s="4" t="s">
        <v>731</v>
      </c>
      <c r="F54" s="319">
        <v>46051</v>
      </c>
      <c r="G54" s="4">
        <v>2026</v>
      </c>
      <c r="H54" s="4">
        <v>2</v>
      </c>
      <c r="I54" s="161">
        <v>46058</v>
      </c>
      <c r="J54" s="22">
        <v>8976000</v>
      </c>
      <c r="K54" s="5" t="s">
        <v>167</v>
      </c>
      <c r="L54" s="23" t="s">
        <v>732</v>
      </c>
    </row>
    <row r="55" spans="1:12" s="6" customFormat="1" ht="13.2">
      <c r="A55" s="97"/>
      <c r="B55" s="5"/>
      <c r="C55" s="380"/>
      <c r="D55" s="380"/>
      <c r="E55" s="4"/>
      <c r="F55" s="4"/>
      <c r="G55" s="4"/>
      <c r="H55" s="4"/>
      <c r="I55" s="161"/>
      <c r="J55" s="22"/>
      <c r="K55" s="5"/>
      <c r="L55" s="23"/>
    </row>
    <row r="56" spans="1:12" s="6" customFormat="1" ht="13.2">
      <c r="A56" s="97"/>
      <c r="B56" s="5"/>
      <c r="C56" s="380"/>
      <c r="D56" s="380"/>
      <c r="E56" s="4"/>
      <c r="F56" s="4"/>
      <c r="G56" s="4"/>
      <c r="H56" s="4"/>
      <c r="I56" s="161"/>
      <c r="J56" s="22"/>
      <c r="K56" s="5"/>
      <c r="L56" s="23"/>
    </row>
    <row r="57" spans="1:12" s="6" customFormat="1" ht="13.2">
      <c r="A57" s="97"/>
      <c r="B57" s="5"/>
      <c r="C57" s="380"/>
      <c r="D57" s="380"/>
      <c r="E57" s="4"/>
      <c r="F57" s="4"/>
      <c r="G57" s="4"/>
      <c r="H57" s="4"/>
      <c r="I57" s="161"/>
      <c r="J57" s="22"/>
      <c r="K57" s="5"/>
      <c r="L57" s="23"/>
    </row>
    <row r="58" spans="1:12" s="6" customFormat="1" ht="13.2">
      <c r="A58" s="97"/>
      <c r="B58" s="5"/>
      <c r="C58" s="380"/>
      <c r="D58" s="380"/>
      <c r="E58" s="4"/>
      <c r="F58" s="4"/>
      <c r="G58" s="4"/>
      <c r="H58" s="4"/>
      <c r="I58" s="161"/>
      <c r="J58" s="22"/>
      <c r="K58" s="5"/>
      <c r="L58" s="23"/>
    </row>
    <row r="59" spans="1:12">
      <c r="B59" s="385" t="s">
        <v>129</v>
      </c>
      <c r="C59" s="386">
        <f>SUM(C36:C58)</f>
        <v>367130000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B4E4-0B4E-46D6-ABB8-1E22A2C8AE6C}">
  <sheetPr>
    <tabColor rgb="FFFFFF66"/>
  </sheetPr>
  <dimension ref="A1:R52"/>
  <sheetViews>
    <sheetView workbookViewId="0">
      <selection activeCell="G38" sqref="G38"/>
    </sheetView>
  </sheetViews>
  <sheetFormatPr defaultRowHeight="17.399999999999999"/>
  <cols>
    <col min="1" max="1" width="20.69921875" customWidth="1"/>
    <col min="2" max="2" width="26.5" customWidth="1"/>
    <col min="3" max="12" width="20.69921875" customWidth="1"/>
    <col min="13" max="13" width="17.19921875" customWidth="1"/>
  </cols>
  <sheetData>
    <row r="1" spans="1:18" s="6" customFormat="1" ht="15.6">
      <c r="A1" s="47" t="s">
        <v>733</v>
      </c>
      <c r="B1" s="51"/>
      <c r="C1" s="51"/>
      <c r="D1" s="13"/>
      <c r="E1" s="48"/>
      <c r="F1" s="208"/>
      <c r="G1" s="54"/>
      <c r="H1" s="54"/>
    </row>
    <row r="2" spans="1:18" s="6" customFormat="1" ht="13.2">
      <c r="A2" s="16"/>
      <c r="B2" s="46" t="s">
        <v>47</v>
      </c>
      <c r="C2" s="46"/>
      <c r="D2" s="17" t="s">
        <v>49</v>
      </c>
      <c r="E2" s="46"/>
      <c r="G2" s="54"/>
      <c r="H2" s="54"/>
    </row>
    <row r="3" spans="1:18" s="6" customFormat="1" ht="4.5" customHeight="1">
      <c r="A3" s="1"/>
      <c r="B3" s="52"/>
      <c r="C3" s="52"/>
      <c r="D3" s="49"/>
      <c r="E3" s="49"/>
      <c r="G3" s="54"/>
      <c r="H3" s="54"/>
    </row>
    <row r="4" spans="1:18" s="6" customFormat="1" ht="13.2">
      <c r="A4" s="50" t="s">
        <v>1</v>
      </c>
      <c r="B4" s="53"/>
      <c r="C4" s="53"/>
      <c r="D4" s="11" t="s">
        <v>2</v>
      </c>
      <c r="E4" s="10"/>
      <c r="G4" s="54"/>
      <c r="H4" s="54"/>
      <c r="Q4" s="55"/>
      <c r="R4" s="56"/>
    </row>
    <row r="5" spans="1:18" s="6" customFormat="1" ht="13.2">
      <c r="A5" s="1"/>
      <c r="B5" s="52"/>
      <c r="C5" s="52"/>
      <c r="D5" s="123"/>
      <c r="G5" s="54"/>
      <c r="H5" s="54"/>
      <c r="Q5" s="55"/>
      <c r="R5" s="56"/>
    </row>
    <row r="6" spans="1:18" s="6" customFormat="1" ht="13.8" thickBot="1">
      <c r="A6" s="1" t="s">
        <v>51</v>
      </c>
      <c r="B6" s="52"/>
      <c r="C6" s="52"/>
      <c r="D6" s="123"/>
      <c r="G6" s="54"/>
      <c r="H6" s="54"/>
      <c r="Q6" s="55"/>
      <c r="R6" s="56"/>
    </row>
    <row r="7" spans="1:18" s="6" customFormat="1" ht="13.2">
      <c r="A7" s="125" t="s">
        <v>52</v>
      </c>
      <c r="B7" s="58" t="s">
        <v>53</v>
      </c>
      <c r="C7" s="59" t="s">
        <v>26</v>
      </c>
      <c r="D7" s="123"/>
      <c r="G7" s="54"/>
      <c r="H7" s="54"/>
      <c r="Q7" s="55"/>
      <c r="R7" s="56"/>
    </row>
    <row r="8" spans="1:18" s="6" customFormat="1" ht="13.2">
      <c r="A8" s="124" t="s">
        <v>54</v>
      </c>
      <c r="B8" s="127">
        <f>D39</f>
        <v>0</v>
      </c>
      <c r="C8" s="129"/>
      <c r="D8" s="123"/>
      <c r="G8" s="54"/>
      <c r="H8" s="54"/>
      <c r="Q8" s="55"/>
      <c r="R8" s="56"/>
    </row>
    <row r="9" spans="1:18" s="6" customFormat="1" ht="13.2">
      <c r="A9" s="131" t="s">
        <v>24</v>
      </c>
      <c r="B9" s="132">
        <f>B14+B19+B24</f>
        <v>0</v>
      </c>
      <c r="C9" s="133" t="e">
        <f>B9/B8</f>
        <v>#DIV/0!</v>
      </c>
      <c r="D9" s="123"/>
      <c r="G9" s="54"/>
      <c r="H9" s="54"/>
      <c r="Q9" s="55"/>
      <c r="R9" s="56"/>
    </row>
    <row r="10" spans="1:18" s="6" customFormat="1" ht="13.8" thickBot="1">
      <c r="A10" s="126" t="s">
        <v>25</v>
      </c>
      <c r="B10" s="128">
        <f>B8-B9</f>
        <v>0</v>
      </c>
      <c r="C10" s="130" t="e">
        <f>B10/B8</f>
        <v>#DIV/0!</v>
      </c>
      <c r="D10" s="123"/>
      <c r="G10" s="54"/>
      <c r="H10" s="54"/>
      <c r="Q10" s="55"/>
      <c r="R10" s="56"/>
    </row>
    <row r="12" spans="1:18" s="6" customFormat="1" ht="13.2">
      <c r="A12" s="1" t="s">
        <v>264</v>
      </c>
    </row>
    <row r="13" spans="1:18" s="149" customFormat="1" ht="13.2">
      <c r="A13" s="153"/>
      <c r="B13" s="154" t="s">
        <v>56</v>
      </c>
      <c r="C13" s="154" t="s">
        <v>57</v>
      </c>
      <c r="D13" s="155"/>
      <c r="F13" s="156"/>
      <c r="G13" s="157"/>
      <c r="H13" s="156"/>
      <c r="I13" s="158"/>
      <c r="Q13" s="150"/>
      <c r="R13" s="150"/>
    </row>
    <row r="14" spans="1:18" s="149" customFormat="1" ht="13.2">
      <c r="A14" s="153">
        <v>2025</v>
      </c>
      <c r="B14" s="159">
        <f>SUM(A16:L16)</f>
        <v>0</v>
      </c>
      <c r="C14" s="160">
        <f>SUM(A17:L17)</f>
        <v>0</v>
      </c>
      <c r="I14" s="158"/>
      <c r="Q14" s="150"/>
      <c r="R14" s="150"/>
    </row>
    <row r="15" spans="1:18" s="6" customFormat="1" ht="13.8">
      <c r="A15" s="136" t="s">
        <v>58</v>
      </c>
      <c r="B15" s="136" t="s">
        <v>59</v>
      </c>
      <c r="C15" s="136" t="s">
        <v>60</v>
      </c>
      <c r="D15" s="136" t="s">
        <v>61</v>
      </c>
      <c r="E15" s="136" t="s">
        <v>62</v>
      </c>
      <c r="F15" s="136" t="s">
        <v>63</v>
      </c>
      <c r="G15" s="136" t="s">
        <v>64</v>
      </c>
      <c r="H15" s="136" t="s">
        <v>65</v>
      </c>
      <c r="I15" s="136" t="s">
        <v>66</v>
      </c>
      <c r="J15" s="136" t="s">
        <v>67</v>
      </c>
      <c r="K15" s="136" t="s">
        <v>68</v>
      </c>
      <c r="L15" s="136" t="s">
        <v>69</v>
      </c>
      <c r="Q15" s="55"/>
      <c r="R15" s="56"/>
    </row>
    <row r="16" spans="1:18" s="178" customFormat="1" ht="13.2">
      <c r="A16" s="402">
        <f>SUMIFS($E$31:$E$38,$H$31:$H$38,2025,$I$31:$I$38,1,$L$31:$L$38,"Y")</f>
        <v>0</v>
      </c>
      <c r="B16" s="402">
        <f>SUMIFS($E$31:$E$38,$H$31:$H$38,2025,$I$31:$I$38,2,$L$31:$L$38,"Y")</f>
        <v>0</v>
      </c>
      <c r="C16" s="402">
        <f>SUMIFS($E$31:$E$38,$H$31:$H$38,2025,$I$31:$I$38,3,$L$31:$L$38,"Y")</f>
        <v>0</v>
      </c>
      <c r="D16" s="402">
        <f>SUMIFS($E$31:$E$38,$H$31:$H$38,2025,$I$31:$I$38,4,$L$31:$L$38,"Y")</f>
        <v>0</v>
      </c>
      <c r="E16" s="402">
        <f>SUMIFS($E$31:$E$38,$H$31:$H$38,2025,$I$31:$I$38,5,$L$31:$L$38,"Y")</f>
        <v>0</v>
      </c>
      <c r="F16" s="402">
        <f>SUMIFS($E$31:$E$38,$H$31:$H$38,2025,$I$31:$I$38,6,$L$31:$L$38,"Y")</f>
        <v>0</v>
      </c>
      <c r="G16" s="402">
        <f>SUMIFS($E$31:$E$38,$H$31:$H$38,2025,$I$31:$I$38,7,$L$31:$L$38,"Y")</f>
        <v>0</v>
      </c>
      <c r="H16" s="402">
        <f>SUMIFS($E$31:$E$38,$H$31:$H$38,2025,$I$31:$I$38,8,$L$31:$L$38,"Y")</f>
        <v>0</v>
      </c>
      <c r="I16" s="402">
        <f>SUMIFS($E$31:$E$38,$H$31:$H$38,2025,$I$31:$I$38,9,$L$31:$L$38,"Y")</f>
        <v>0</v>
      </c>
      <c r="J16" s="402">
        <f>SUMIFS($E$31:$E$38,$H$31:$H$38,2025,$I$31:$I$38,10,$L$31:$L$38,"Y")</f>
        <v>0</v>
      </c>
      <c r="K16" s="402">
        <f>SUMIFS($E$31:$E$38,$H$31:$H$38,2025,$I$31:$I$38,11,$L$31:$L$38,"Y")</f>
        <v>0</v>
      </c>
      <c r="L16" s="402">
        <f>SUMIFS($E$31:$E$38,$H$31:$H$38,2025,$I$31:$I$38,12,$L$31:$L$38,"Y")</f>
        <v>0</v>
      </c>
      <c r="Q16" s="403"/>
      <c r="R16" s="404"/>
    </row>
    <row r="17" spans="1:18" s="421" customFormat="1" ht="13.2">
      <c r="A17" s="401">
        <f>SUMIFS($K$31:$K$38,$H$31:$H$38,2025,$I$31:$I$38,1,$L$31:$L$38,"Y")</f>
        <v>0</v>
      </c>
      <c r="B17" s="401">
        <f>SUMIFS($K$31:$K$38,$H$31:$H$38,2025,$I$31:$I$38,2,$L$31:$L$38,"Y")</f>
        <v>0</v>
      </c>
      <c r="C17" s="401">
        <f>SUMIFS($K$31:$K$38,$H$31:$H$38,2025,$I$31:$I$38,3,$L$31:$L$38,"Y")</f>
        <v>0</v>
      </c>
      <c r="D17" s="401">
        <f>SUMIFS($K$31:$K$38,$H$31:$H$38,2025,$I$31:$I$38,4,$L$31:$L$38,"Y")</f>
        <v>0</v>
      </c>
      <c r="E17" s="401">
        <f>SUMIFS($K$31:$K$38,$H$31:$H$38,2025,$I$31:$I$38,5,$L$31:$L$38,"Y")</f>
        <v>0</v>
      </c>
      <c r="F17" s="401">
        <f>SUMIFS($K$31:$K$38,$H$31:$H$38,2025,$I$31:$I$38,6,$L$31:$L$38,"Y")</f>
        <v>0</v>
      </c>
      <c r="G17" s="401">
        <f>SUMIFS($K$31:$K$38,$H$31:$H$38,2025,$I$31:$I$38,7,$L$31:$L$38,"Y")</f>
        <v>0</v>
      </c>
      <c r="H17" s="401">
        <f>SUMIFS($K$31:$K$38,$H$31:$H$38,2025,$I$31:$I$38,8,$L$31:$L$38,"Y")</f>
        <v>0</v>
      </c>
      <c r="I17" s="401">
        <f>SUMIFS($K$31:$K$38,$H$31:$H$38,2025,$I$31:$I$38,9,$L$31:$L$38,"Y")</f>
        <v>0</v>
      </c>
      <c r="J17" s="401">
        <f>SUMIFS($K$31:$K$38,$H$31:$H$38,2025,$I$31:$I$38,10,$L$31:$L$38,"Y")</f>
        <v>0</v>
      </c>
      <c r="K17" s="401">
        <f>SUMIFS($K$31:$K$38,$H$31:$H$38,2025,$I$31:$I$38,11,$L$31:$L$38,"Y")</f>
        <v>0</v>
      </c>
      <c r="L17" s="401">
        <f>SUMIFS($K$31:$K$38,$H$31:$H$38,2025,$I$31:$I$38,12,$L$31:$L$38,"Y")</f>
        <v>0</v>
      </c>
      <c r="Q17" s="422"/>
      <c r="R17" s="423"/>
    </row>
    <row r="18" spans="1:18" s="6" customFormat="1" ht="5.4" customHeight="1">
      <c r="I18" s="54"/>
      <c r="Q18" s="55"/>
      <c r="R18" s="56"/>
    </row>
    <row r="19" spans="1:18" s="149" customFormat="1" ht="13.2">
      <c r="A19" s="153">
        <v>2026</v>
      </c>
      <c r="B19" s="159">
        <f>SUM(A21:L21)</f>
        <v>0</v>
      </c>
      <c r="C19" s="160">
        <f>SUM(A22:L22)</f>
        <v>0</v>
      </c>
      <c r="I19" s="158"/>
      <c r="Q19" s="150"/>
      <c r="R19" s="150"/>
    </row>
    <row r="20" spans="1:18" s="6" customFormat="1" ht="13.8">
      <c r="A20" s="136" t="s">
        <v>58</v>
      </c>
      <c r="B20" s="136" t="s">
        <v>59</v>
      </c>
      <c r="C20" s="136" t="s">
        <v>60</v>
      </c>
      <c r="D20" s="136" t="s">
        <v>61</v>
      </c>
      <c r="E20" s="136" t="s">
        <v>62</v>
      </c>
      <c r="F20" s="136" t="s">
        <v>63</v>
      </c>
      <c r="G20" s="136" t="s">
        <v>64</v>
      </c>
      <c r="H20" s="136" t="s">
        <v>65</v>
      </c>
      <c r="I20" s="136" t="s">
        <v>66</v>
      </c>
      <c r="J20" s="136" t="s">
        <v>67</v>
      </c>
      <c r="K20" s="136" t="s">
        <v>68</v>
      </c>
      <c r="L20" s="136" t="s">
        <v>69</v>
      </c>
      <c r="Q20" s="55"/>
      <c r="R20" s="56"/>
    </row>
    <row r="21" spans="1:18" s="178" customFormat="1" ht="13.2">
      <c r="A21" s="402">
        <f>SUMIFS($E$31:$E$38,$H$31:$H$38,2026,$I$31:$I$38,1,$L$31:$L$38,"Y")</f>
        <v>0</v>
      </c>
      <c r="B21" s="402">
        <f>SUMIFS($E$31:$E$38,$H$31:$H$38,2026,$I$31:$I$38,2,$L$31:$L$38,"Y")</f>
        <v>0</v>
      </c>
      <c r="C21" s="402">
        <f>SUMIFS($E$31:$E$38,$H$31:$H$38,2026,$I$31:$I$38,3,$L$31:$L$38,"Y")</f>
        <v>0</v>
      </c>
      <c r="D21" s="402">
        <f>SUMIFS($E$31:$E$38,$H$31:$H$38,2026,$I$31:$I$38,4,$L$31:$L$38,"Y")</f>
        <v>0</v>
      </c>
      <c r="E21" s="402">
        <f>SUMIFS($E$31:$E$38,$H$31:$H$38,2026,$I$31:$I$38,5,$L$31:$L$38,"Y")</f>
        <v>0</v>
      </c>
      <c r="F21" s="402">
        <f>SUMIFS($E$31:$E$38,$H$31:$H$38,2026,$I$31:$I$38,6,$L$31:$L$38,"Y")</f>
        <v>0</v>
      </c>
      <c r="G21" s="402">
        <f>SUMIFS($E$31:$E$38,$H$31:$H$38,2026,$I$31:$I$38,7,$L$31:$L$38,"Y")</f>
        <v>0</v>
      </c>
      <c r="H21" s="402">
        <f>SUMIFS($E$31:$E$38,$H$31:$H$38,2026,$I$31:$I$38,8,$L$31:$L$38,"Y")</f>
        <v>0</v>
      </c>
      <c r="I21" s="402">
        <f>SUMIFS($E$31:$E$38,$H$31:$H$38,2026,$I$31:$I$38,9,$L$31:$L$38,"Y")</f>
        <v>0</v>
      </c>
      <c r="J21" s="402">
        <f>SUMIFS($E$31:$E$38,$H$31:$H$38,2026,$I$31:$I$38,10,$L$31:$L$38,"Y")</f>
        <v>0</v>
      </c>
      <c r="K21" s="402">
        <f>SUMIFS($E$31:$E$38,$H$31:$H$38,2026,$I$31:$I$38,11,$L$31:$L$38,"Y")</f>
        <v>0</v>
      </c>
      <c r="L21" s="402">
        <f>SUMIFS($E$31:$E$38,$H$31:$H$38,2026,$I$31:$I$38,12,$L$31:$L$38,"Y")</f>
        <v>0</v>
      </c>
      <c r="Q21" s="403"/>
      <c r="R21" s="404"/>
    </row>
    <row r="22" spans="1:18" s="421" customFormat="1" ht="13.2">
      <c r="A22" s="401">
        <f>SUMIFS($K$31:$K$38,$H$31:$H$38,2026,$I$31:$I$38,1,$L$31:$L$38,"Y")</f>
        <v>0</v>
      </c>
      <c r="B22" s="401">
        <f>SUMIFS($K$31:$K$38,$H$31:$H$38,2026,$I$31:$I$38,2,$L$31:$L$38,"Y")</f>
        <v>0</v>
      </c>
      <c r="C22" s="401">
        <f>SUMIFS($K$31:$K$38,$H$31:$H$38,2026,$I$31:$I$38,3,$L$31:$L$38,"Y")</f>
        <v>0</v>
      </c>
      <c r="D22" s="401">
        <f>SUMIFS($K$31:$K$38,$H$31:$H$38,2026,$I$31:$I$38,4,$L$31:$L$38,"Y")</f>
        <v>0</v>
      </c>
      <c r="E22" s="401">
        <f>SUMIFS($K$31:$K$38,$H$31:$H$38,2026,$I$31:$I$38,5,$L$31:$L$38,"Y")</f>
        <v>0</v>
      </c>
      <c r="F22" s="401">
        <f>SUMIFS($K$31:$K$38,$H$31:$H$38,2026,$I$31:$I$38,6,$L$31:$L$38,"Y")</f>
        <v>0</v>
      </c>
      <c r="G22" s="401">
        <f>SUMIFS($K$31:$K$38,$H$31:$H$38,2026,$I$31:$I$38,7,$L$31:$L$38,"Y")</f>
        <v>0</v>
      </c>
      <c r="H22" s="401">
        <f>SUMIFS($K$31:$K$38,$H$31:$H$38,2026,$I$31:$I$38,8,$L$31:$L$38,"Y")</f>
        <v>0</v>
      </c>
      <c r="I22" s="401">
        <f>SUMIFS($K$31:$K$38,$H$31:$H$38,2026,$I$31:$I$38,9,$L$31:$L$38,"Y")</f>
        <v>0</v>
      </c>
      <c r="J22" s="401">
        <f>SUMIFS($K$31:$K$38,$H$31:$H$38,2026,$I$31:$I$38,10,$L$31:$L$38,"Y")</f>
        <v>0</v>
      </c>
      <c r="K22" s="401">
        <f>SUMIFS($K$31:$K$38,$H$31:$H$38,2026,$I$31:$I$38,11,$L$31:$L$38,"Y")</f>
        <v>0</v>
      </c>
      <c r="L22" s="401">
        <f>SUMIFS($K$31:$K$38,$H$31:$H$38,2026,$I$31:$I$38,12,$L$31:$L$38,"Y")</f>
        <v>0</v>
      </c>
      <c r="Q22" s="422"/>
      <c r="R22" s="423"/>
    </row>
    <row r="23" spans="1:18" s="52" customFormat="1" ht="5.4" customHeight="1">
      <c r="A23" s="6"/>
      <c r="B23" s="6"/>
      <c r="C23" s="6"/>
      <c r="D23" s="6"/>
      <c r="E23" s="6"/>
      <c r="F23" s="6"/>
      <c r="G23" s="6"/>
      <c r="H23" s="6"/>
      <c r="I23" s="54"/>
      <c r="J23" s="6"/>
      <c r="K23" s="6"/>
      <c r="L23" s="6"/>
    </row>
    <row r="24" spans="1:18" s="149" customFormat="1" ht="13.2">
      <c r="A24" s="153">
        <v>2027</v>
      </c>
      <c r="B24" s="159">
        <f>SUM(A26:L26)</f>
        <v>0</v>
      </c>
      <c r="C24" s="160">
        <f>SUM(A27:L27)</f>
        <v>0</v>
      </c>
      <c r="I24" s="158"/>
    </row>
    <row r="25" spans="1:18" s="6" customFormat="1" ht="13.8">
      <c r="A25" s="136" t="s">
        <v>58</v>
      </c>
      <c r="B25" s="136" t="s">
        <v>59</v>
      </c>
      <c r="C25" s="136" t="s">
        <v>60</v>
      </c>
      <c r="D25" s="136" t="s">
        <v>61</v>
      </c>
      <c r="E25" s="136" t="s">
        <v>62</v>
      </c>
      <c r="F25" s="136" t="s">
        <v>63</v>
      </c>
      <c r="G25" s="136" t="s">
        <v>64</v>
      </c>
      <c r="H25" s="136" t="s">
        <v>65</v>
      </c>
      <c r="I25" s="136" t="s">
        <v>66</v>
      </c>
      <c r="J25" s="136" t="s">
        <v>67</v>
      </c>
      <c r="K25" s="136" t="s">
        <v>68</v>
      </c>
      <c r="L25" s="136" t="s">
        <v>69</v>
      </c>
      <c r="Q25" s="55"/>
      <c r="R25" s="56"/>
    </row>
    <row r="26" spans="1:18" s="178" customFormat="1" ht="13.2">
      <c r="A26" s="402">
        <f>SUMIFS($E$31:$E$38,$H$31:$H$38,2027,$I$31:$I$38,1,$L$31:$L$38,"Y")</f>
        <v>0</v>
      </c>
      <c r="B26" s="402">
        <f>SUMIFS($E$31:$E$38,$H$31:$H$38,2027,$I$31:$I$38,2,$L$31:$L$38,"Y")</f>
        <v>0</v>
      </c>
      <c r="C26" s="402">
        <f>SUMIFS($E$31:$E$38,$H$31:$H$38,2027,$I$31:$I$38,3,$L$31:$L$38,"Y")</f>
        <v>0</v>
      </c>
      <c r="D26" s="402">
        <f>SUMIFS($E$31:$E$38,$H$31:$H$38,2027,$I$31:$I$38,4,$L$31:$L$38,"Y")</f>
        <v>0</v>
      </c>
      <c r="E26" s="402">
        <f>SUMIFS($E$31:$E$38,$H$31:$H$38,2027,$I$31:$I$38,5,$L$31:$L$38,"Y")</f>
        <v>0</v>
      </c>
      <c r="F26" s="402">
        <f>SUMIFS($E$31:$E$38,$H$31:$H$38,2027,$I$31:$I$38,6,$L$31:$L$38,"Y")</f>
        <v>0</v>
      </c>
      <c r="G26" s="402">
        <f>SUMIFS($E$31:$E$38,$H$31:$H$38,2027,$I$31:$I$38,7,$L$31:$L$38,"Y")</f>
        <v>0</v>
      </c>
      <c r="H26" s="402">
        <f>SUMIFS($E$31:$E$38,$H$31:$H$38,2027,$I$31:$I$38,8,$L$31:$L$38,"Y")</f>
        <v>0</v>
      </c>
      <c r="I26" s="402">
        <f>SUMIFS($E$31:$E$38,$H$31:$H$38,2027,$I$31:$I$38,9,$L$31:$L$38,"Y")</f>
        <v>0</v>
      </c>
      <c r="J26" s="402">
        <f>SUMIFS($E$31:$E$38,$H$31:$H$38,2027,$I$31:$I$38,10,$L$31:$L$38,"Y")</f>
        <v>0</v>
      </c>
      <c r="K26" s="402">
        <f>SUMIFS($E$31:$E$38,$H$31:$H$38,2027,$I$31:$I$38,11,$L$31:$L$38,"Y")</f>
        <v>0</v>
      </c>
      <c r="L26" s="402">
        <f>SUMIFS($E$31:$E$38,$H$31:$H$38,2027,$I$31:$I$38,12,$L$31:$L$38,"Y")</f>
        <v>0</v>
      </c>
      <c r="Q26" s="403"/>
      <c r="R26" s="404"/>
    </row>
    <row r="27" spans="1:18" s="421" customFormat="1" ht="13.2">
      <c r="A27" s="401">
        <f>SUMIFS($K$31:$K$38,$H$31:$H$38,2027,$I$31:$I$38,1,$L$31:$L$38,"Y")</f>
        <v>0</v>
      </c>
      <c r="B27" s="401">
        <f>SUMIFS($K$31:$K$38,$H$31:$H$38,2027,$I$31:$I$38,2,$L$31:$L$38,"Y")</f>
        <v>0</v>
      </c>
      <c r="C27" s="401">
        <f>SUMIFS($K$31:$K$38,$H$31:$H$38,2027,$I$31:$I$38,3,$L$31:$L$38,"Y")</f>
        <v>0</v>
      </c>
      <c r="D27" s="401">
        <f>SUMIFS($K$31:$K$38,$H$31:$H$38,2027,$I$31:$I$38,4,$L$31:$L$38,"Y")</f>
        <v>0</v>
      </c>
      <c r="E27" s="401">
        <f>SUMIFS($K$31:$K$38,$H$31:$H$38,2027,$I$31:$I$38,5,$L$31:$L$38,"Y")</f>
        <v>0</v>
      </c>
      <c r="F27" s="401">
        <f>SUMIFS($K$31:$K$38,$H$31:$H$38,2027,$I$31:$I$38,6,$L$31:$L$38,"Y")</f>
        <v>0</v>
      </c>
      <c r="G27" s="401">
        <f>SUMIFS($K$31:$K$38,$H$31:$H$38,2027,$I$31:$I$38,7,$L$31:$L$38,"Y")</f>
        <v>0</v>
      </c>
      <c r="H27" s="401">
        <f>SUMIFS($K$31:$K$38,$H$31:$H$38,2027,$I$31:$I$38,8,$L$31:$L$38,"Y")</f>
        <v>0</v>
      </c>
      <c r="I27" s="401">
        <f>SUMIFS($K$31:$K$38,$H$31:$H$38,2027,$I$31:$I$38,9,$L$31:$L$38,"Y")</f>
        <v>0</v>
      </c>
      <c r="J27" s="401">
        <f>SUMIFS($K$31:$K$38,$H$31:$H$38,2027,$I$31:$I$38,10,$L$31:$L$38,"Y")</f>
        <v>0</v>
      </c>
      <c r="K27" s="401">
        <f>SUMIFS($K$31:$K$38,$H$31:$H$38,2027,$I$31:$I$38,11,$L$31:$L$38,"Y")</f>
        <v>0</v>
      </c>
      <c r="L27" s="401">
        <f>SUMIFS($K$31:$K$38,$H$31:$H$38,2027,$I$31:$I$38,12,$L$31:$L$38,"Y")</f>
        <v>0</v>
      </c>
      <c r="Q27" s="422"/>
      <c r="R27" s="423"/>
    </row>
    <row r="28" spans="1:18" s="6" customFormat="1" ht="13.2"/>
    <row r="29" spans="1:18" s="6" customFormat="1" ht="13.2">
      <c r="A29" s="1" t="s">
        <v>259</v>
      </c>
      <c r="I29" s="166"/>
    </row>
    <row r="30" spans="1:18" s="6" customFormat="1" ht="15.6">
      <c r="A30" s="14" t="s">
        <v>680</v>
      </c>
      <c r="B30" s="14" t="s">
        <v>134</v>
      </c>
      <c r="C30" s="384" t="s">
        <v>734</v>
      </c>
      <c r="D30" s="14" t="s">
        <v>735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384" t="s">
        <v>736</v>
      </c>
      <c r="K30" s="14" t="s">
        <v>143</v>
      </c>
      <c r="L30" s="172" t="s">
        <v>144</v>
      </c>
    </row>
    <row r="31" spans="1:18" s="6" customFormat="1" ht="15.6">
      <c r="A31" s="97"/>
      <c r="B31" s="387"/>
      <c r="C31" s="426"/>
      <c r="D31" s="426"/>
      <c r="E31" s="209"/>
      <c r="F31" s="217"/>
      <c r="G31" s="212"/>
      <c r="H31" s="212"/>
      <c r="I31" s="217"/>
      <c r="J31" s="427"/>
      <c r="K31" s="212"/>
      <c r="L31" s="220"/>
    </row>
    <row r="32" spans="1:18" s="6" customFormat="1" ht="13.2">
      <c r="A32" s="97"/>
      <c r="B32" s="387"/>
      <c r="C32" s="426"/>
      <c r="D32" s="426"/>
      <c r="E32" s="4"/>
      <c r="F32" s="4"/>
      <c r="G32" s="4"/>
      <c r="H32" s="4"/>
      <c r="I32" s="161"/>
      <c r="J32" s="428"/>
      <c r="K32" s="5"/>
      <c r="L32" s="23"/>
    </row>
    <row r="33" spans="1:12" s="6" customFormat="1" ht="13.2">
      <c r="A33" s="97"/>
      <c r="B33" s="387"/>
      <c r="C33" s="426"/>
      <c r="D33" s="426"/>
      <c r="E33" s="4"/>
      <c r="F33" s="4"/>
      <c r="G33" s="4"/>
      <c r="H33" s="4"/>
      <c r="I33" s="161"/>
      <c r="J33" s="428"/>
      <c r="K33" s="5"/>
      <c r="L33" s="23"/>
    </row>
    <row r="34" spans="1:12" s="6" customFormat="1" ht="15.6">
      <c r="A34" s="97"/>
      <c r="B34" s="430"/>
      <c r="C34" s="426"/>
      <c r="D34" s="426"/>
      <c r="E34" s="4"/>
      <c r="F34" s="4"/>
      <c r="G34" s="4"/>
      <c r="H34" s="4"/>
      <c r="I34" s="161"/>
      <c r="J34" s="428"/>
      <c r="K34" s="5"/>
      <c r="L34" s="23"/>
    </row>
    <row r="35" spans="1:12" s="6" customFormat="1" ht="13.2">
      <c r="A35" s="97"/>
      <c r="B35" s="387"/>
      <c r="C35" s="429"/>
      <c r="D35" s="426"/>
      <c r="E35" s="4"/>
      <c r="F35" s="4"/>
      <c r="G35" s="4"/>
      <c r="H35" s="4"/>
      <c r="I35" s="161"/>
      <c r="J35" s="428"/>
      <c r="K35" s="5"/>
      <c r="L35" s="23"/>
    </row>
    <row r="36" spans="1:12" s="6" customFormat="1" ht="13.2">
      <c r="A36" s="97"/>
      <c r="B36" s="387"/>
      <c r="C36" s="426"/>
      <c r="D36" s="426"/>
      <c r="E36" s="4"/>
      <c r="F36" s="4"/>
      <c r="G36" s="4"/>
      <c r="H36" s="4"/>
      <c r="I36" s="161"/>
      <c r="J36" s="428"/>
      <c r="K36" s="5"/>
      <c r="L36" s="23"/>
    </row>
    <row r="37" spans="1:12" s="6" customFormat="1" ht="13.2">
      <c r="A37" s="97"/>
      <c r="B37" s="381"/>
      <c r="C37" s="426"/>
      <c r="D37" s="426"/>
      <c r="E37" s="4"/>
      <c r="F37" s="4"/>
      <c r="G37" s="4"/>
      <c r="H37" s="4"/>
      <c r="I37" s="161"/>
      <c r="J37" s="428"/>
      <c r="K37" s="5"/>
      <c r="L37" s="23"/>
    </row>
    <row r="38" spans="1:12" s="6" customFormat="1" ht="13.2">
      <c r="A38" s="97"/>
      <c r="B38" s="381"/>
      <c r="C38" s="426"/>
      <c r="D38" s="426"/>
      <c r="E38" s="4"/>
      <c r="F38" s="4"/>
      <c r="G38" s="4"/>
      <c r="H38" s="4"/>
      <c r="I38" s="161"/>
      <c r="J38" s="428"/>
      <c r="K38" s="5"/>
      <c r="L38" s="23"/>
    </row>
    <row r="39" spans="1:12" s="6" customFormat="1" ht="13.2">
      <c r="A39" s="97"/>
      <c r="B39" s="381"/>
      <c r="C39" s="426"/>
      <c r="D39" s="426"/>
      <c r="E39" s="4"/>
      <c r="F39" s="4"/>
      <c r="G39" s="4"/>
      <c r="H39" s="4"/>
      <c r="I39" s="161"/>
      <c r="J39" s="428"/>
      <c r="K39" s="5"/>
      <c r="L39" s="23"/>
    </row>
    <row r="40" spans="1:12" s="6" customFormat="1" ht="13.2">
      <c r="A40" s="97"/>
      <c r="B40" s="381"/>
      <c r="C40" s="426"/>
      <c r="D40" s="426"/>
      <c r="E40" s="4"/>
      <c r="F40" s="4"/>
      <c r="G40" s="4"/>
      <c r="H40" s="4"/>
      <c r="I40" s="161"/>
      <c r="J40" s="428"/>
      <c r="K40" s="5"/>
      <c r="L40" s="23"/>
    </row>
    <row r="41" spans="1:12" s="6" customFormat="1" ht="13.2">
      <c r="A41" s="97"/>
      <c r="B41" s="381"/>
      <c r="C41" s="426"/>
      <c r="D41" s="426"/>
      <c r="E41" s="4"/>
      <c r="F41" s="4"/>
      <c r="G41" s="4"/>
      <c r="H41" s="4"/>
      <c r="I41" s="161"/>
      <c r="J41" s="428"/>
      <c r="K41" s="5"/>
      <c r="L41" s="23"/>
    </row>
    <row r="42" spans="1:12" s="6" customFormat="1" ht="13.2">
      <c r="A42" s="97"/>
      <c r="B42" s="381"/>
      <c r="C42" s="426"/>
      <c r="D42" s="426"/>
      <c r="E42" s="4"/>
      <c r="F42" s="4"/>
      <c r="G42" s="4"/>
      <c r="H42" s="4"/>
      <c r="I42" s="161"/>
      <c r="J42" s="428"/>
      <c r="K42" s="5"/>
      <c r="L42" s="23"/>
    </row>
    <row r="43" spans="1:12" s="6" customFormat="1" ht="13.2">
      <c r="A43" s="97"/>
      <c r="B43" s="381"/>
      <c r="C43" s="426"/>
      <c r="D43" s="426"/>
      <c r="E43" s="4"/>
      <c r="F43" s="4"/>
      <c r="G43" s="4"/>
      <c r="H43" s="4"/>
      <c r="I43" s="161"/>
      <c r="J43" s="428"/>
      <c r="K43" s="5"/>
      <c r="L43" s="23"/>
    </row>
    <row r="44" spans="1:12" s="6" customFormat="1" ht="13.2">
      <c r="A44" s="97"/>
      <c r="B44" s="383"/>
      <c r="C44" s="426"/>
      <c r="D44" s="426"/>
      <c r="E44" s="4"/>
      <c r="F44" s="4"/>
      <c r="G44" s="4"/>
      <c r="H44" s="4"/>
      <c r="I44" s="161"/>
      <c r="J44" s="428"/>
      <c r="K44" s="5"/>
      <c r="L44" s="23"/>
    </row>
    <row r="45" spans="1:12" s="6" customFormat="1" ht="13.2">
      <c r="A45" s="97"/>
      <c r="B45" s="383"/>
      <c r="C45" s="426"/>
      <c r="D45" s="426"/>
      <c r="E45" s="4"/>
      <c r="F45" s="4"/>
      <c r="G45" s="4"/>
      <c r="H45" s="4"/>
      <c r="I45" s="161"/>
      <c r="J45" s="428"/>
      <c r="K45" s="5"/>
      <c r="L45" s="23"/>
    </row>
    <row r="46" spans="1:12" s="6" customFormat="1" ht="13.2">
      <c r="A46" s="97"/>
      <c r="B46" s="381"/>
      <c r="C46" s="426"/>
      <c r="D46" s="426"/>
      <c r="E46" s="4"/>
      <c r="F46" s="4"/>
      <c r="G46" s="4"/>
      <c r="H46" s="4"/>
      <c r="I46" s="161"/>
      <c r="J46" s="428"/>
      <c r="K46" s="5"/>
      <c r="L46" s="23"/>
    </row>
    <row r="47" spans="1:12" s="6" customFormat="1" ht="13.2">
      <c r="A47" s="97"/>
      <c r="B47" s="5"/>
      <c r="C47" s="426"/>
      <c r="D47" s="426"/>
      <c r="E47" s="4"/>
      <c r="F47" s="4"/>
      <c r="G47" s="4"/>
      <c r="H47" s="4"/>
      <c r="I47" s="161"/>
      <c r="J47" s="428"/>
      <c r="K47" s="5"/>
      <c r="L47" s="23"/>
    </row>
    <row r="48" spans="1:12" s="6" customFormat="1" ht="13.2">
      <c r="A48" s="97"/>
      <c r="B48" s="5"/>
      <c r="C48" s="426"/>
      <c r="D48" s="426"/>
      <c r="E48" s="4"/>
      <c r="F48" s="4"/>
      <c r="G48" s="4"/>
      <c r="H48" s="4"/>
      <c r="I48" s="161"/>
      <c r="J48" s="428"/>
      <c r="K48" s="5"/>
      <c r="L48" s="23"/>
    </row>
    <row r="49" spans="1:12" s="6" customFormat="1" ht="13.2">
      <c r="A49" s="97"/>
      <c r="B49" s="5"/>
      <c r="C49" s="426"/>
      <c r="D49" s="426"/>
      <c r="E49" s="4"/>
      <c r="F49" s="4"/>
      <c r="G49" s="4"/>
      <c r="H49" s="4"/>
      <c r="I49" s="161"/>
      <c r="J49" s="428"/>
      <c r="K49" s="5"/>
      <c r="L49" s="23"/>
    </row>
    <row r="50" spans="1:12" s="6" customFormat="1" ht="13.2">
      <c r="A50" s="97"/>
      <c r="B50" s="5"/>
      <c r="C50" s="426"/>
      <c r="D50" s="426"/>
      <c r="E50" s="4"/>
      <c r="F50" s="4"/>
      <c r="G50" s="4"/>
      <c r="H50" s="4"/>
      <c r="I50" s="161"/>
      <c r="J50" s="428"/>
      <c r="K50" s="5"/>
      <c r="L50" s="23"/>
    </row>
    <row r="51" spans="1:12" s="6" customFormat="1" ht="13.2">
      <c r="A51" s="97"/>
      <c r="B51" s="5"/>
      <c r="C51" s="426"/>
      <c r="D51" s="426"/>
      <c r="E51" s="4"/>
      <c r="F51" s="4"/>
      <c r="G51" s="4"/>
      <c r="H51" s="4"/>
      <c r="I51" s="161"/>
      <c r="J51" s="428"/>
      <c r="K51" s="5"/>
      <c r="L51" s="23"/>
    </row>
    <row r="52" spans="1:12">
      <c r="B52" s="385" t="s">
        <v>129</v>
      </c>
      <c r="C52" s="425">
        <f>SUM(C31:C51)</f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31F11905DFD47A02F9AC57C796E41" ma:contentTypeVersion="4" ma:contentTypeDescription="Create a new document." ma:contentTypeScope="" ma:versionID="e0f528dba4f414f0c0c267236d317ce6">
  <xsd:schema xmlns:xsd="http://www.w3.org/2001/XMLSchema" xmlns:xs="http://www.w3.org/2001/XMLSchema" xmlns:p="http://schemas.microsoft.com/office/2006/metadata/properties" xmlns:ns3="d63fc239-864b-47e3-8f1e-83a2d5bf3436" targetNamespace="http://schemas.microsoft.com/office/2006/metadata/properties" ma:root="true" ma:fieldsID="353bf7edafe2663b13c0b521dcf6c1be" ns3:_="">
    <xsd:import namespace="d63fc239-864b-47e3-8f1e-83a2d5bf343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fc239-864b-47e3-8f1e-83a2d5bf343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CC19D67-8D99-4E92-B454-BD3E51BDB29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D577F9-02FD-455C-BEB6-18B76793D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fc239-864b-47e3-8f1e-83a2d5bf34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03F5EC-3DCB-45BF-B0E9-2F82933DA2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829BBF-7A87-43EA-B42E-58C89AC4F5A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2b062eb-ac17-4b32-84df-7a2b90cfab82}" enabled="0" method="" siteId="{92b062eb-ac17-4b32-84df-7a2b90cfab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0. Budget Summary</vt:lpstr>
      <vt:lpstr>1. IQVIA </vt:lpstr>
      <vt:lpstr>1-1. Direct</vt:lpstr>
      <vt:lpstr>1-2. PTC</vt:lpstr>
      <vt:lpstr>2. Syneos</vt:lpstr>
      <vt:lpstr>3. Sharp</vt:lpstr>
      <vt:lpstr>4. Fisher</vt:lpstr>
      <vt:lpstr>5. Marken</vt:lpstr>
      <vt:lpstr>6. SBQ</vt:lpstr>
      <vt:lpstr>7. Aptamer</vt:lpstr>
      <vt:lpstr>8. Invivo</vt:lpstr>
      <vt:lpstr>9. Labconnect</vt:lpstr>
      <vt:lpstr>10. AIMS</vt:lpstr>
      <vt:lpstr>11. Cytel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이은채(eun.chae.lee)</dc:creator>
  <cp:keywords/>
  <dc:description/>
  <cp:lastModifiedBy>박 건우</cp:lastModifiedBy>
  <cp:revision/>
  <dcterms:created xsi:type="dcterms:W3CDTF">2025-01-08T05:24:07Z</dcterms:created>
  <dcterms:modified xsi:type="dcterms:W3CDTF">2026-07-22T23:12:35Z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0x01010086131F11905DFD47A02F9AC57C796E41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