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7"/>
  <workbookPr/>
  <mc:AlternateContent xmlns:mc="http://schemas.openxmlformats.org/markup-compatibility/2006">
    <mc:Choice Requires="x15">
      <x15ac:absPath xmlns:x15ac="http://schemas.microsoft.com/office/spreadsheetml/2010/11/ac" url="https://sillajen.sharepoint.com/sites/TTK-CS-101/Shared Documents/Study information/Tracker/"/>
    </mc:Choice>
  </mc:AlternateContent>
  <xr:revisionPtr revIDLastSave="3235" documentId="13_ncr:1_{8730D81E-960A-4356-A6D2-AD323F60ABA5}" xr6:coauthVersionLast="47" xr6:coauthVersionMax="47" xr10:uidLastSave="{17A8E4B2-E9DB-4E21-8F36-80AB2D3B3ACB}"/>
  <bookViews>
    <workbookView xWindow="28680" yWindow="-120" windowWidth="29040" windowHeight="15720" xr2:uid="{00000000-000D-0000-FFFF-FFFF00000000}"/>
  </bookViews>
  <sheets>
    <sheet name="TREATMENT STATUS" sheetId="1" r:id="rId1"/>
    <sheet name="TTK-CS-101-229" sheetId="2" r:id="rId2"/>
    <sheet name="Color Legend" sheetId="3" r:id="rId3"/>
  </sheets>
  <definedNames>
    <definedName name="_xlnm._FilterDatabase" localSheetId="0" hidden="1">'TREATMENT STATUS'!$A$2:$EI$260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1" i="1" l="1"/>
  <c r="P261" i="1" s="1"/>
  <c r="Q261" i="1" s="1"/>
  <c r="R261" i="1" s="1"/>
  <c r="T261" i="1" s="1"/>
  <c r="U261" i="1" s="1"/>
  <c r="V261" i="1" s="1"/>
  <c r="X261" i="1" s="1"/>
  <c r="Y261" i="1" s="1"/>
  <c r="Z261" i="1" s="1"/>
  <c r="AB261" i="1" s="1"/>
  <c r="AC261" i="1" s="1"/>
  <c r="AD261" i="1" s="1"/>
  <c r="AF261" i="1" s="1"/>
  <c r="AG261" i="1" s="1"/>
  <c r="AH261" i="1" s="1"/>
  <c r="AJ261" i="1" s="1"/>
  <c r="AK261" i="1" s="1"/>
  <c r="AL261" i="1" s="1"/>
  <c r="AN261" i="1" s="1"/>
  <c r="AO261" i="1" s="1"/>
  <c r="AP261" i="1" s="1"/>
  <c r="AR261" i="1" s="1"/>
  <c r="AS261" i="1" s="1"/>
  <c r="AT261" i="1" s="1"/>
  <c r="AV261" i="1" s="1"/>
  <c r="AW261" i="1" s="1"/>
  <c r="AX261" i="1" s="1"/>
  <c r="AZ261" i="1" s="1"/>
  <c r="BA261" i="1" s="1"/>
  <c r="BB261" i="1" s="1"/>
  <c r="BD261" i="1" s="1"/>
  <c r="BE261" i="1" s="1"/>
  <c r="BF261" i="1" s="1"/>
  <c r="BH261" i="1" s="1"/>
  <c r="BI261" i="1" s="1"/>
  <c r="BJ261" i="1" s="1"/>
  <c r="BL261" i="1" s="1"/>
  <c r="BM261" i="1" s="1"/>
  <c r="BN261" i="1" s="1"/>
  <c r="BP261" i="1" s="1"/>
  <c r="BQ261" i="1" s="1"/>
  <c r="BR261" i="1" s="1"/>
  <c r="BT261" i="1" s="1"/>
  <c r="BU261" i="1" s="1"/>
  <c r="BV261" i="1" s="1"/>
  <c r="BX261" i="1" s="1"/>
  <c r="BY261" i="1" s="1"/>
  <c r="BZ261" i="1" s="1"/>
  <c r="N259" i="1"/>
  <c r="P259" i="1" s="1"/>
  <c r="Q259" i="1" s="1"/>
  <c r="R259" i="1" s="1"/>
  <c r="T259" i="1" s="1"/>
  <c r="U259" i="1" s="1"/>
  <c r="V259" i="1" s="1"/>
  <c r="X259" i="1" s="1"/>
  <c r="Y259" i="1" s="1"/>
  <c r="Z259" i="1" s="1"/>
  <c r="AB259" i="1" s="1"/>
  <c r="AC259" i="1" s="1"/>
  <c r="AD259" i="1" s="1"/>
  <c r="AF259" i="1" s="1"/>
  <c r="AG259" i="1" s="1"/>
  <c r="AH259" i="1" s="1"/>
  <c r="AJ259" i="1" s="1"/>
  <c r="AK259" i="1" s="1"/>
  <c r="AL259" i="1" s="1"/>
  <c r="AN259" i="1" s="1"/>
  <c r="AO259" i="1" s="1"/>
  <c r="AP259" i="1" s="1"/>
  <c r="AR259" i="1" s="1"/>
  <c r="AS259" i="1" s="1"/>
  <c r="AT259" i="1" s="1"/>
  <c r="AV259" i="1" s="1"/>
  <c r="AW259" i="1" s="1"/>
  <c r="AX259" i="1" s="1"/>
  <c r="AZ259" i="1" s="1"/>
  <c r="BA259" i="1" s="1"/>
  <c r="BB259" i="1" s="1"/>
  <c r="BD259" i="1" s="1"/>
  <c r="BE259" i="1" s="1"/>
  <c r="BF259" i="1" s="1"/>
  <c r="BH259" i="1" s="1"/>
  <c r="BI259" i="1" s="1"/>
  <c r="BJ259" i="1" s="1"/>
  <c r="BL259" i="1" s="1"/>
  <c r="BM259" i="1" s="1"/>
  <c r="BN259" i="1" s="1"/>
  <c r="BP259" i="1" s="1"/>
  <c r="BQ259" i="1" s="1"/>
  <c r="BR259" i="1" s="1"/>
  <c r="BT259" i="1" s="1"/>
  <c r="BU259" i="1" s="1"/>
  <c r="BV259" i="1" s="1"/>
  <c r="BX259" i="1" s="1"/>
  <c r="BY259" i="1" s="1"/>
  <c r="BZ259" i="1" s="1"/>
  <c r="M257" i="1"/>
  <c r="N257" i="1" s="1"/>
  <c r="P257" i="1" s="1"/>
  <c r="Q257" i="1" s="1"/>
  <c r="R257" i="1" s="1"/>
  <c r="T257" i="1" s="1"/>
  <c r="U257" i="1" s="1"/>
  <c r="V257" i="1" s="1"/>
  <c r="X257" i="1" s="1"/>
  <c r="Y257" i="1" s="1"/>
  <c r="Z257" i="1" s="1"/>
  <c r="AB257" i="1" s="1"/>
  <c r="AC257" i="1" s="1"/>
  <c r="AD257" i="1" s="1"/>
  <c r="AF257" i="1" s="1"/>
  <c r="AG257" i="1" s="1"/>
  <c r="AH257" i="1" s="1"/>
  <c r="AJ257" i="1" s="1"/>
  <c r="AK257" i="1" s="1"/>
  <c r="AL257" i="1" s="1"/>
  <c r="AN257" i="1" s="1"/>
  <c r="AO257" i="1" s="1"/>
  <c r="AP257" i="1" s="1"/>
  <c r="AR257" i="1" s="1"/>
  <c r="AS257" i="1" s="1"/>
  <c r="AT257" i="1" s="1"/>
  <c r="AV257" i="1" s="1"/>
  <c r="AW257" i="1" s="1"/>
  <c r="AX257" i="1" s="1"/>
  <c r="AZ257" i="1" s="1"/>
  <c r="BA257" i="1" s="1"/>
  <c r="BB257" i="1" s="1"/>
  <c r="BD257" i="1" s="1"/>
  <c r="BE257" i="1" s="1"/>
  <c r="BF257" i="1" s="1"/>
  <c r="BH257" i="1" s="1"/>
  <c r="BI257" i="1" s="1"/>
  <c r="BJ257" i="1" s="1"/>
  <c r="BL257" i="1" s="1"/>
  <c r="BM257" i="1" s="1"/>
  <c r="BN257" i="1" s="1"/>
  <c r="BP257" i="1" s="1"/>
  <c r="BQ257" i="1" s="1"/>
  <c r="BR257" i="1" s="1"/>
  <c r="BT257" i="1" s="1"/>
  <c r="BU257" i="1" s="1"/>
  <c r="BV257" i="1" s="1"/>
  <c r="BX257" i="1" s="1"/>
  <c r="BY257" i="1" s="1"/>
  <c r="BZ257" i="1" s="1"/>
  <c r="M255" i="1"/>
  <c r="N255" i="1" s="1"/>
  <c r="P255" i="1" s="1"/>
  <c r="Q255" i="1" s="1"/>
  <c r="R255" i="1" s="1"/>
  <c r="T255" i="1" s="1"/>
  <c r="U255" i="1" s="1"/>
  <c r="V255" i="1" s="1"/>
  <c r="X255" i="1" s="1"/>
  <c r="Y255" i="1" s="1"/>
  <c r="Z255" i="1" s="1"/>
  <c r="AB255" i="1" s="1"/>
  <c r="AC255" i="1" s="1"/>
  <c r="AD255" i="1" s="1"/>
  <c r="AF255" i="1" s="1"/>
  <c r="AG255" i="1" s="1"/>
  <c r="AH255" i="1" s="1"/>
  <c r="AJ255" i="1" s="1"/>
  <c r="AK255" i="1" s="1"/>
  <c r="AL255" i="1" s="1"/>
  <c r="AN255" i="1" s="1"/>
  <c r="AO255" i="1" s="1"/>
  <c r="AP255" i="1" s="1"/>
  <c r="AR255" i="1" s="1"/>
  <c r="AS255" i="1" s="1"/>
  <c r="AT255" i="1" s="1"/>
  <c r="AV255" i="1" s="1"/>
  <c r="AW255" i="1" s="1"/>
  <c r="AX255" i="1" s="1"/>
  <c r="AZ255" i="1" s="1"/>
  <c r="BA255" i="1" s="1"/>
  <c r="BB255" i="1" s="1"/>
  <c r="BD255" i="1" s="1"/>
  <c r="BE255" i="1" s="1"/>
  <c r="BF255" i="1" s="1"/>
  <c r="BH255" i="1" s="1"/>
  <c r="BI255" i="1" s="1"/>
  <c r="BJ255" i="1" s="1"/>
  <c r="BL255" i="1" s="1"/>
  <c r="BM255" i="1" s="1"/>
  <c r="BN255" i="1" s="1"/>
  <c r="BP255" i="1" s="1"/>
  <c r="BQ255" i="1" s="1"/>
  <c r="BR255" i="1" s="1"/>
  <c r="BT255" i="1" s="1"/>
  <c r="BU255" i="1" s="1"/>
  <c r="BV255" i="1" s="1"/>
  <c r="BX255" i="1" s="1"/>
  <c r="BY255" i="1" s="1"/>
  <c r="BZ255" i="1" s="1"/>
  <c r="Q253" i="1"/>
  <c r="R253" i="1" s="1"/>
  <c r="T253" i="1" s="1"/>
  <c r="U253" i="1" s="1"/>
  <c r="V253" i="1" s="1"/>
  <c r="X253" i="1" s="1"/>
  <c r="Y253" i="1" s="1"/>
  <c r="Z253" i="1" s="1"/>
  <c r="AB253" i="1" s="1"/>
  <c r="AC253" i="1" s="1"/>
  <c r="AD253" i="1" s="1"/>
  <c r="AF253" i="1" s="1"/>
  <c r="AG253" i="1" s="1"/>
  <c r="AH253" i="1" s="1"/>
  <c r="AJ253" i="1" s="1"/>
  <c r="AK253" i="1" s="1"/>
  <c r="AL253" i="1" s="1"/>
  <c r="AN253" i="1" s="1"/>
  <c r="AO253" i="1" s="1"/>
  <c r="AP253" i="1" s="1"/>
  <c r="AR253" i="1" s="1"/>
  <c r="AS253" i="1" s="1"/>
  <c r="AT253" i="1" s="1"/>
  <c r="N253" i="1"/>
  <c r="Q251" i="1"/>
  <c r="R251" i="1" s="1"/>
  <c r="T251" i="1" s="1"/>
  <c r="U251" i="1" s="1"/>
  <c r="V251" i="1" s="1"/>
  <c r="X251" i="1" s="1"/>
  <c r="Y251" i="1" s="1"/>
  <c r="Z251" i="1" s="1"/>
  <c r="AB251" i="1" s="1"/>
  <c r="AC251" i="1" s="1"/>
  <c r="AD251" i="1" s="1"/>
  <c r="AF251" i="1" s="1"/>
  <c r="AG251" i="1" s="1"/>
  <c r="AH251" i="1" s="1"/>
  <c r="AJ251" i="1" s="1"/>
  <c r="AK251" i="1" s="1"/>
  <c r="AL251" i="1" s="1"/>
  <c r="AN251" i="1" s="1"/>
  <c r="AO251" i="1" s="1"/>
  <c r="AP251" i="1" s="1"/>
  <c r="AR251" i="1" s="1"/>
  <c r="AS251" i="1" s="1"/>
  <c r="AT251" i="1" s="1"/>
  <c r="N251" i="1"/>
  <c r="N249" i="1"/>
  <c r="P249" i="1" s="1"/>
  <c r="Q249" i="1" s="1"/>
  <c r="R249" i="1" s="1"/>
  <c r="T249" i="1" s="1"/>
  <c r="U249" i="1" s="1"/>
  <c r="V249" i="1" s="1"/>
  <c r="X249" i="1" s="1"/>
  <c r="Y249" i="1" s="1"/>
  <c r="Z249" i="1" s="1"/>
  <c r="AB249" i="1" s="1"/>
  <c r="AC249" i="1" s="1"/>
  <c r="AD249" i="1" s="1"/>
  <c r="AF249" i="1" s="1"/>
  <c r="AG249" i="1" s="1"/>
  <c r="AH249" i="1" s="1"/>
  <c r="AJ249" i="1" s="1"/>
  <c r="AK249" i="1" s="1"/>
  <c r="AL249" i="1" s="1"/>
  <c r="AN249" i="1" s="1"/>
  <c r="AO249" i="1" s="1"/>
  <c r="AP249" i="1" s="1"/>
  <c r="AR249" i="1" s="1"/>
  <c r="AS249" i="1" s="1"/>
  <c r="AT249" i="1" s="1"/>
  <c r="AV249" i="1" s="1"/>
  <c r="AW249" i="1" s="1"/>
  <c r="AX249" i="1" s="1"/>
  <c r="AZ249" i="1" s="1"/>
  <c r="BA249" i="1" s="1"/>
  <c r="BB249" i="1" s="1"/>
  <c r="BD249" i="1" s="1"/>
  <c r="BE249" i="1" s="1"/>
  <c r="BF249" i="1" s="1"/>
  <c r="BH249" i="1" s="1"/>
  <c r="BI249" i="1" s="1"/>
  <c r="BJ249" i="1" s="1"/>
  <c r="BL249" i="1" s="1"/>
  <c r="BM249" i="1" s="1"/>
  <c r="BN249" i="1" s="1"/>
  <c r="BP249" i="1" s="1"/>
  <c r="BQ249" i="1" s="1"/>
  <c r="BR249" i="1" s="1"/>
  <c r="BT249" i="1" s="1"/>
  <c r="BU249" i="1" s="1"/>
  <c r="BV249" i="1" s="1"/>
  <c r="BX249" i="1" s="1"/>
  <c r="BY249" i="1" s="1"/>
  <c r="BZ249" i="1" s="1"/>
  <c r="N247" i="1"/>
  <c r="P247" i="1" s="1"/>
  <c r="Q247" i="1" s="1"/>
  <c r="R247" i="1" s="1"/>
  <c r="T247" i="1" s="1"/>
  <c r="U247" i="1" s="1"/>
  <c r="V247" i="1" s="1"/>
  <c r="X247" i="1" s="1"/>
  <c r="Y247" i="1" s="1"/>
  <c r="Z247" i="1" s="1"/>
  <c r="AB247" i="1" s="1"/>
  <c r="AC247" i="1" s="1"/>
  <c r="AD247" i="1" s="1"/>
  <c r="AF247" i="1" s="1"/>
  <c r="AG247" i="1" s="1"/>
  <c r="AH247" i="1" s="1"/>
  <c r="AJ247" i="1" s="1"/>
  <c r="AK247" i="1" s="1"/>
  <c r="AL247" i="1" s="1"/>
  <c r="AN247" i="1" s="1"/>
  <c r="AO247" i="1" s="1"/>
  <c r="AP247" i="1" s="1"/>
  <c r="AR247" i="1" s="1"/>
  <c r="AS247" i="1" s="1"/>
  <c r="AT247" i="1" s="1"/>
  <c r="AV247" i="1" s="1"/>
  <c r="AW247" i="1" s="1"/>
  <c r="AX247" i="1" s="1"/>
  <c r="AZ247" i="1" s="1"/>
  <c r="BA247" i="1" s="1"/>
  <c r="BB247" i="1" s="1"/>
  <c r="BD247" i="1" s="1"/>
  <c r="BE247" i="1" s="1"/>
  <c r="BF247" i="1" s="1"/>
  <c r="BH247" i="1" s="1"/>
  <c r="BI247" i="1" s="1"/>
  <c r="BJ247" i="1" s="1"/>
  <c r="BL247" i="1" s="1"/>
  <c r="BM247" i="1" s="1"/>
  <c r="BN247" i="1" s="1"/>
  <c r="BP247" i="1" s="1"/>
  <c r="BQ247" i="1" s="1"/>
  <c r="BR247" i="1" s="1"/>
  <c r="BT247" i="1" s="1"/>
  <c r="BU247" i="1" s="1"/>
  <c r="BV247" i="1" s="1"/>
  <c r="BX247" i="1" s="1"/>
  <c r="BY247" i="1" s="1"/>
  <c r="BZ247" i="1" s="1"/>
  <c r="N245" i="1"/>
  <c r="P245" i="1" s="1"/>
  <c r="Q245" i="1" s="1"/>
  <c r="R245" i="1" s="1"/>
  <c r="T245" i="1" s="1"/>
  <c r="U245" i="1" s="1"/>
  <c r="V245" i="1" s="1"/>
  <c r="X245" i="1" s="1"/>
  <c r="Y245" i="1" s="1"/>
  <c r="Z245" i="1" s="1"/>
  <c r="AB245" i="1" s="1"/>
  <c r="AC245" i="1" s="1"/>
  <c r="AD245" i="1" s="1"/>
  <c r="AF245" i="1" s="1"/>
  <c r="AG245" i="1" s="1"/>
  <c r="AH245" i="1" s="1"/>
  <c r="AJ245" i="1" s="1"/>
  <c r="AK245" i="1" s="1"/>
  <c r="AL245" i="1" s="1"/>
  <c r="AN245" i="1" s="1"/>
  <c r="AO245" i="1" s="1"/>
  <c r="AP245" i="1" s="1"/>
  <c r="AR245" i="1" s="1"/>
  <c r="AS245" i="1" s="1"/>
  <c r="AT245" i="1" s="1"/>
  <c r="AV245" i="1" s="1"/>
  <c r="AW245" i="1" s="1"/>
  <c r="AX245" i="1" s="1"/>
  <c r="AZ245" i="1" s="1"/>
  <c r="BA245" i="1" s="1"/>
  <c r="BB245" i="1" s="1"/>
  <c r="N243" i="1"/>
  <c r="P243" i="1" s="1"/>
  <c r="Q243" i="1" s="1"/>
  <c r="R243" i="1" s="1"/>
  <c r="T243" i="1" s="1"/>
  <c r="U243" i="1" s="1"/>
  <c r="V243" i="1" s="1"/>
  <c r="X243" i="1" s="1"/>
  <c r="Y243" i="1" s="1"/>
  <c r="Z243" i="1" s="1"/>
  <c r="AB243" i="1" s="1"/>
  <c r="AC243" i="1" s="1"/>
  <c r="AD243" i="1" s="1"/>
  <c r="AF243" i="1" s="1"/>
  <c r="AG243" i="1" s="1"/>
  <c r="AH243" i="1" s="1"/>
  <c r="AJ243" i="1" s="1"/>
  <c r="AK243" i="1" s="1"/>
  <c r="AL243" i="1" s="1"/>
  <c r="AN243" i="1" s="1"/>
  <c r="AO243" i="1" s="1"/>
  <c r="AP243" i="1" s="1"/>
  <c r="AR243" i="1" s="1"/>
  <c r="AS243" i="1" s="1"/>
  <c r="AT243" i="1" s="1"/>
  <c r="AV243" i="1" s="1"/>
  <c r="AW243" i="1" s="1"/>
  <c r="AX243" i="1" s="1"/>
  <c r="AZ243" i="1" s="1"/>
  <c r="BA243" i="1" s="1"/>
  <c r="BB243" i="1" s="1"/>
  <c r="N241" i="1"/>
  <c r="P241" i="1" s="1"/>
  <c r="Q241" i="1" s="1"/>
  <c r="R241" i="1" s="1"/>
  <c r="T241" i="1" s="1"/>
  <c r="U241" i="1" s="1"/>
  <c r="V241" i="1" s="1"/>
  <c r="X241" i="1" s="1"/>
  <c r="Y241" i="1" s="1"/>
  <c r="Z241" i="1" s="1"/>
  <c r="AB241" i="1" s="1"/>
  <c r="AC241" i="1" s="1"/>
  <c r="AD241" i="1" s="1"/>
  <c r="AF241" i="1" s="1"/>
  <c r="AG241" i="1" s="1"/>
  <c r="AH241" i="1" s="1"/>
  <c r="AJ241" i="1" s="1"/>
  <c r="AK241" i="1" s="1"/>
  <c r="AL241" i="1" s="1"/>
  <c r="AN241" i="1" s="1"/>
  <c r="AO241" i="1" s="1"/>
  <c r="AP241" i="1" s="1"/>
  <c r="AR241" i="1" s="1"/>
  <c r="AS241" i="1" s="1"/>
  <c r="AT241" i="1" s="1"/>
  <c r="AV241" i="1" s="1"/>
  <c r="AW241" i="1" s="1"/>
  <c r="AX241" i="1" s="1"/>
  <c r="AZ241" i="1" s="1"/>
  <c r="BA241" i="1" s="1"/>
  <c r="BB241" i="1" s="1"/>
  <c r="N239" i="1"/>
  <c r="P239" i="1" s="1"/>
  <c r="Q239" i="1" s="1"/>
  <c r="R239" i="1" s="1"/>
  <c r="T239" i="1" s="1"/>
  <c r="U239" i="1" s="1"/>
  <c r="V239" i="1" s="1"/>
  <c r="X239" i="1" s="1"/>
  <c r="Y239" i="1" s="1"/>
  <c r="Z239" i="1" s="1"/>
  <c r="AB239" i="1" s="1"/>
  <c r="AC239" i="1" s="1"/>
  <c r="AD239" i="1" s="1"/>
  <c r="AF239" i="1" s="1"/>
  <c r="AG239" i="1" s="1"/>
  <c r="AH239" i="1" s="1"/>
  <c r="AJ239" i="1" s="1"/>
  <c r="AK239" i="1" s="1"/>
  <c r="AL239" i="1" s="1"/>
  <c r="AN239" i="1" s="1"/>
  <c r="AO239" i="1" s="1"/>
  <c r="AP239" i="1" s="1"/>
  <c r="AR239" i="1" s="1"/>
  <c r="AS239" i="1" s="1"/>
  <c r="AT239" i="1" s="1"/>
  <c r="AV239" i="1" s="1"/>
  <c r="AW239" i="1" s="1"/>
  <c r="AX239" i="1" s="1"/>
  <c r="AZ239" i="1" s="1"/>
  <c r="BA239" i="1" s="1"/>
  <c r="BB239" i="1" s="1"/>
  <c r="BD239" i="1" s="1"/>
  <c r="BE239" i="1" s="1"/>
  <c r="BF239" i="1" s="1"/>
  <c r="BH239" i="1" s="1"/>
  <c r="BI239" i="1" s="1"/>
  <c r="BJ239" i="1" s="1"/>
  <c r="BL239" i="1" s="1"/>
  <c r="BM239" i="1" s="1"/>
  <c r="BN239" i="1" s="1"/>
  <c r="BP239" i="1" s="1"/>
  <c r="BQ239" i="1" s="1"/>
  <c r="BR239" i="1" s="1"/>
  <c r="BT239" i="1" s="1"/>
  <c r="BU239" i="1" s="1"/>
  <c r="BV239" i="1" s="1"/>
  <c r="BX239" i="1" s="1"/>
  <c r="BY239" i="1" s="1"/>
  <c r="BZ239" i="1" s="1"/>
  <c r="N237" i="1"/>
  <c r="P237" i="1" s="1"/>
  <c r="Q237" i="1" s="1"/>
  <c r="R237" i="1" s="1"/>
  <c r="T237" i="1" s="1"/>
  <c r="U237" i="1" s="1"/>
  <c r="V237" i="1" s="1"/>
  <c r="X237" i="1" s="1"/>
  <c r="Y237" i="1" s="1"/>
  <c r="Z237" i="1" s="1"/>
  <c r="AB237" i="1" s="1"/>
  <c r="AC237" i="1" s="1"/>
  <c r="AD237" i="1" s="1"/>
  <c r="AF237" i="1" s="1"/>
  <c r="AG237" i="1" s="1"/>
  <c r="AH237" i="1" s="1"/>
  <c r="AJ237" i="1" s="1"/>
  <c r="AK237" i="1" s="1"/>
  <c r="AL237" i="1" s="1"/>
  <c r="AN237" i="1" s="1"/>
  <c r="AO237" i="1" s="1"/>
  <c r="AP237" i="1" s="1"/>
  <c r="AR237" i="1" s="1"/>
  <c r="AS237" i="1" s="1"/>
  <c r="AT237" i="1" s="1"/>
  <c r="AV237" i="1" s="1"/>
  <c r="AW237" i="1" s="1"/>
  <c r="AX237" i="1" s="1"/>
  <c r="AZ237" i="1" s="1"/>
  <c r="BA237" i="1" s="1"/>
  <c r="BB237" i="1" s="1"/>
  <c r="BD237" i="1" s="1"/>
  <c r="BE237" i="1" s="1"/>
  <c r="BF237" i="1" s="1"/>
  <c r="BH237" i="1" s="1"/>
  <c r="BI237" i="1" s="1"/>
  <c r="BJ237" i="1" s="1"/>
  <c r="BL237" i="1" s="1"/>
  <c r="BM237" i="1" s="1"/>
  <c r="BN237" i="1" s="1"/>
  <c r="BP237" i="1" s="1"/>
  <c r="BQ237" i="1" s="1"/>
  <c r="BR237" i="1" s="1"/>
  <c r="BT237" i="1" s="1"/>
  <c r="BU237" i="1" s="1"/>
  <c r="BV237" i="1" s="1"/>
  <c r="BX237" i="1" s="1"/>
  <c r="BY237" i="1" s="1"/>
  <c r="BZ237" i="1" s="1"/>
  <c r="N235" i="1"/>
  <c r="P235" i="1" s="1"/>
  <c r="Q235" i="1" s="1"/>
  <c r="R235" i="1" s="1"/>
  <c r="T235" i="1" s="1"/>
  <c r="U235" i="1" s="1"/>
  <c r="V235" i="1" s="1"/>
  <c r="X235" i="1" s="1"/>
  <c r="Y235" i="1" s="1"/>
  <c r="Z235" i="1" s="1"/>
  <c r="AB235" i="1" s="1"/>
  <c r="AC235" i="1" s="1"/>
  <c r="AD235" i="1" s="1"/>
  <c r="AF235" i="1" s="1"/>
  <c r="AG235" i="1" s="1"/>
  <c r="AH235" i="1" s="1"/>
  <c r="AJ235" i="1" s="1"/>
  <c r="AK235" i="1" s="1"/>
  <c r="AL235" i="1" s="1"/>
  <c r="AN235" i="1" s="1"/>
  <c r="AO235" i="1" s="1"/>
  <c r="AP235" i="1" s="1"/>
  <c r="AR235" i="1" s="1"/>
  <c r="AS235" i="1" s="1"/>
  <c r="AT235" i="1" s="1"/>
  <c r="AV235" i="1" s="1"/>
  <c r="AW235" i="1" s="1"/>
  <c r="AX235" i="1" s="1"/>
  <c r="AZ235" i="1" s="1"/>
  <c r="BA235" i="1" s="1"/>
  <c r="BB235" i="1" s="1"/>
  <c r="BD235" i="1" s="1"/>
  <c r="BE235" i="1" s="1"/>
  <c r="BF235" i="1" s="1"/>
  <c r="BH235" i="1" s="1"/>
  <c r="BI235" i="1" s="1"/>
  <c r="BJ235" i="1" s="1"/>
  <c r="BL235" i="1" s="1"/>
  <c r="BM235" i="1" s="1"/>
  <c r="BN235" i="1" s="1"/>
  <c r="BP235" i="1" s="1"/>
  <c r="BQ235" i="1" s="1"/>
  <c r="BR235" i="1" s="1"/>
  <c r="BT235" i="1" s="1"/>
  <c r="BU235" i="1" s="1"/>
  <c r="BV235" i="1" s="1"/>
  <c r="BX235" i="1" s="1"/>
  <c r="BY235" i="1" s="1"/>
  <c r="BZ235" i="1" s="1"/>
  <c r="M233" i="1"/>
  <c r="N233" i="1" s="1"/>
  <c r="P233" i="1" s="1"/>
  <c r="Q233" i="1" s="1"/>
  <c r="R233" i="1" s="1"/>
  <c r="T233" i="1" s="1"/>
  <c r="U233" i="1" s="1"/>
  <c r="V233" i="1" s="1"/>
  <c r="X233" i="1" s="1"/>
  <c r="Y233" i="1" s="1"/>
  <c r="Z233" i="1" s="1"/>
  <c r="AB233" i="1" s="1"/>
  <c r="AC233" i="1" s="1"/>
  <c r="AD233" i="1" s="1"/>
  <c r="AF233" i="1" s="1"/>
  <c r="AG233" i="1" s="1"/>
  <c r="AH233" i="1" s="1"/>
  <c r="AJ233" i="1" s="1"/>
  <c r="AK233" i="1" s="1"/>
  <c r="AL233" i="1" s="1"/>
  <c r="AN233" i="1" s="1"/>
  <c r="AO233" i="1" s="1"/>
  <c r="AP233" i="1" s="1"/>
  <c r="AR233" i="1" s="1"/>
  <c r="AS233" i="1" s="1"/>
  <c r="AT233" i="1" s="1"/>
  <c r="AV233" i="1" s="1"/>
  <c r="AW233" i="1" s="1"/>
  <c r="AX233" i="1" s="1"/>
  <c r="AZ233" i="1" s="1"/>
  <c r="BA233" i="1" s="1"/>
  <c r="BB233" i="1" s="1"/>
  <c r="BD233" i="1" s="1"/>
  <c r="BE233" i="1" s="1"/>
  <c r="BF233" i="1" s="1"/>
  <c r="BH233" i="1" s="1"/>
  <c r="BI233" i="1" s="1"/>
  <c r="BJ233" i="1" s="1"/>
  <c r="BL233" i="1" s="1"/>
  <c r="BM233" i="1" s="1"/>
  <c r="BN233" i="1" s="1"/>
  <c r="BP233" i="1" s="1"/>
  <c r="BQ233" i="1" s="1"/>
  <c r="BR233" i="1" s="1"/>
  <c r="BT233" i="1" s="1"/>
  <c r="BU233" i="1" s="1"/>
  <c r="BV233" i="1" s="1"/>
  <c r="BX233" i="1" s="1"/>
  <c r="BY233" i="1" s="1"/>
  <c r="BZ233" i="1" s="1"/>
  <c r="M231" i="1"/>
  <c r="N231" i="1" s="1"/>
  <c r="P231" i="1" s="1"/>
  <c r="Q231" i="1" s="1"/>
  <c r="R231" i="1" s="1"/>
  <c r="T231" i="1" s="1"/>
  <c r="U231" i="1" s="1"/>
  <c r="V231" i="1" s="1"/>
  <c r="X231" i="1" s="1"/>
  <c r="Y231" i="1" s="1"/>
  <c r="Z231" i="1" s="1"/>
  <c r="AB231" i="1" s="1"/>
  <c r="AC231" i="1" s="1"/>
  <c r="AD231" i="1" s="1"/>
  <c r="AF231" i="1" s="1"/>
  <c r="AG231" i="1" s="1"/>
  <c r="AH231" i="1" s="1"/>
  <c r="AJ231" i="1" s="1"/>
  <c r="AK231" i="1" s="1"/>
  <c r="AL231" i="1" s="1"/>
  <c r="AN231" i="1" s="1"/>
  <c r="AO231" i="1" s="1"/>
  <c r="AP231" i="1" s="1"/>
  <c r="AR231" i="1" s="1"/>
  <c r="AS231" i="1" s="1"/>
  <c r="AT231" i="1" s="1"/>
  <c r="AV231" i="1" s="1"/>
  <c r="AW231" i="1" s="1"/>
  <c r="AX231" i="1" s="1"/>
  <c r="AZ231" i="1" s="1"/>
  <c r="BA231" i="1" s="1"/>
  <c r="BB231" i="1" s="1"/>
  <c r="BD231" i="1" s="1"/>
  <c r="BE231" i="1" s="1"/>
  <c r="BF231" i="1" s="1"/>
  <c r="BH231" i="1" s="1"/>
  <c r="BI231" i="1" s="1"/>
  <c r="BJ231" i="1" s="1"/>
  <c r="BL231" i="1" s="1"/>
  <c r="BM231" i="1" s="1"/>
  <c r="BN231" i="1" s="1"/>
  <c r="BP231" i="1" s="1"/>
  <c r="BQ231" i="1" s="1"/>
  <c r="BR231" i="1" s="1"/>
  <c r="BT231" i="1" s="1"/>
  <c r="BU231" i="1" s="1"/>
  <c r="BV231" i="1" s="1"/>
  <c r="BX231" i="1" s="1"/>
  <c r="BY231" i="1" s="1"/>
  <c r="BZ231" i="1" s="1"/>
  <c r="M227" i="1"/>
  <c r="N227" i="1" s="1"/>
  <c r="P227" i="1" s="1"/>
  <c r="Q227" i="1" s="1"/>
  <c r="R227" i="1" s="1"/>
  <c r="T227" i="1" s="1"/>
  <c r="U227" i="1" s="1"/>
  <c r="V227" i="1" s="1"/>
  <c r="X227" i="1" s="1"/>
  <c r="Y227" i="1" s="1"/>
  <c r="Z227" i="1" s="1"/>
  <c r="AB227" i="1" s="1"/>
  <c r="AC227" i="1" s="1"/>
  <c r="AD227" i="1" s="1"/>
  <c r="AF227" i="1" s="1"/>
  <c r="AG227" i="1" s="1"/>
  <c r="AH227" i="1" s="1"/>
  <c r="AJ227" i="1" s="1"/>
  <c r="AK227" i="1" s="1"/>
  <c r="AL227" i="1" s="1"/>
  <c r="AN227" i="1" s="1"/>
  <c r="AO227" i="1" s="1"/>
  <c r="AP227" i="1" s="1"/>
  <c r="AR227" i="1" s="1"/>
  <c r="AS227" i="1" s="1"/>
  <c r="AT227" i="1" s="1"/>
  <c r="AV227" i="1" s="1"/>
  <c r="AW227" i="1" s="1"/>
  <c r="AX227" i="1" s="1"/>
  <c r="AZ227" i="1" s="1"/>
  <c r="BA227" i="1" s="1"/>
  <c r="BB227" i="1" s="1"/>
  <c r="BD227" i="1" s="1"/>
  <c r="BE227" i="1" s="1"/>
  <c r="BF227" i="1" s="1"/>
  <c r="BH227" i="1" s="1"/>
  <c r="BI227" i="1" s="1"/>
  <c r="BJ227" i="1" s="1"/>
  <c r="BL227" i="1" s="1"/>
  <c r="BM227" i="1" s="1"/>
  <c r="BN227" i="1" s="1"/>
  <c r="BP227" i="1" s="1"/>
  <c r="BQ227" i="1" s="1"/>
  <c r="BR227" i="1" s="1"/>
  <c r="BT227" i="1" s="1"/>
  <c r="BU227" i="1" s="1"/>
  <c r="BV227" i="1" s="1"/>
  <c r="BX227" i="1" s="1"/>
  <c r="BY227" i="1" s="1"/>
  <c r="BZ227" i="1" s="1"/>
  <c r="M229" i="1"/>
  <c r="N229" i="1" s="1"/>
  <c r="P229" i="1" s="1"/>
  <c r="Q229" i="1" s="1"/>
  <c r="R229" i="1" s="1"/>
  <c r="T229" i="1" s="1"/>
  <c r="U229" i="1" s="1"/>
  <c r="V229" i="1" s="1"/>
  <c r="X229" i="1" s="1"/>
  <c r="Y229" i="1" s="1"/>
  <c r="Z229" i="1" s="1"/>
  <c r="AB229" i="1" s="1"/>
  <c r="AC229" i="1" s="1"/>
  <c r="AD229" i="1" s="1"/>
  <c r="AF229" i="1" s="1"/>
  <c r="AG229" i="1" s="1"/>
  <c r="AH229" i="1" s="1"/>
  <c r="AJ229" i="1" s="1"/>
  <c r="AK229" i="1" s="1"/>
  <c r="AL229" i="1" s="1"/>
  <c r="AN229" i="1" s="1"/>
  <c r="AO229" i="1" s="1"/>
  <c r="AP229" i="1" s="1"/>
  <c r="AR229" i="1" s="1"/>
  <c r="AS229" i="1" s="1"/>
  <c r="AT229" i="1" s="1"/>
  <c r="AV229" i="1" s="1"/>
  <c r="AW229" i="1" s="1"/>
  <c r="AX229" i="1" s="1"/>
  <c r="AZ229" i="1" s="1"/>
  <c r="BA229" i="1" s="1"/>
  <c r="BB229" i="1" s="1"/>
  <c r="BD229" i="1" s="1"/>
  <c r="BE229" i="1" s="1"/>
  <c r="BF229" i="1" s="1"/>
  <c r="BH229" i="1" s="1"/>
  <c r="BI229" i="1" s="1"/>
  <c r="BJ229" i="1" s="1"/>
  <c r="BL229" i="1" s="1"/>
  <c r="BM229" i="1" s="1"/>
  <c r="BN229" i="1" s="1"/>
  <c r="BP229" i="1" s="1"/>
  <c r="BQ229" i="1" s="1"/>
  <c r="BR229" i="1" s="1"/>
  <c r="BT229" i="1" s="1"/>
  <c r="BU229" i="1" s="1"/>
  <c r="BV229" i="1" s="1"/>
  <c r="BX229" i="1" s="1"/>
  <c r="BY229" i="1" s="1"/>
  <c r="BZ229" i="1" s="1"/>
  <c r="N225" i="1"/>
  <c r="P225" i="1" s="1"/>
  <c r="Q225" i="1" s="1"/>
  <c r="R225" i="1" s="1"/>
  <c r="T225" i="1" s="1"/>
  <c r="U225" i="1" s="1"/>
  <c r="V225" i="1" s="1"/>
  <c r="X225" i="1" s="1"/>
  <c r="Y225" i="1" s="1"/>
  <c r="Z225" i="1" s="1"/>
  <c r="AB225" i="1" s="1"/>
  <c r="AC225" i="1" s="1"/>
  <c r="AD225" i="1" s="1"/>
  <c r="AF225" i="1" s="1"/>
  <c r="AG225" i="1" s="1"/>
  <c r="AH225" i="1" s="1"/>
  <c r="AJ225" i="1" s="1"/>
  <c r="AK225" i="1" s="1"/>
  <c r="AL225" i="1" s="1"/>
  <c r="AN225" i="1" s="1"/>
  <c r="AO225" i="1" s="1"/>
  <c r="AP225" i="1" s="1"/>
  <c r="AR225" i="1" s="1"/>
  <c r="AS225" i="1" s="1"/>
  <c r="AT225" i="1" s="1"/>
  <c r="AV225" i="1" s="1"/>
  <c r="AW225" i="1" s="1"/>
  <c r="AX225" i="1" s="1"/>
  <c r="AZ225" i="1" s="1"/>
  <c r="BA225" i="1" s="1"/>
  <c r="BB225" i="1" s="1"/>
  <c r="BD225" i="1" s="1"/>
  <c r="BE225" i="1" s="1"/>
  <c r="BF225" i="1" s="1"/>
  <c r="BH225" i="1" s="1"/>
  <c r="BI225" i="1" s="1"/>
  <c r="BJ225" i="1" s="1"/>
  <c r="BL225" i="1" s="1"/>
  <c r="BM225" i="1" s="1"/>
  <c r="BN225" i="1" s="1"/>
  <c r="BP225" i="1" s="1"/>
  <c r="BQ225" i="1" s="1"/>
  <c r="BR225" i="1" s="1"/>
  <c r="BT225" i="1" s="1"/>
  <c r="BU225" i="1" s="1"/>
  <c r="BV225" i="1" s="1"/>
  <c r="BX225" i="1" s="1"/>
  <c r="BY225" i="1" s="1"/>
  <c r="BZ225" i="1" s="1"/>
  <c r="N223" i="1"/>
  <c r="P223" i="1" s="1"/>
  <c r="Q223" i="1" s="1"/>
  <c r="R223" i="1" s="1"/>
  <c r="T223" i="1" s="1"/>
  <c r="U223" i="1" s="1"/>
  <c r="V223" i="1" s="1"/>
  <c r="X223" i="1" s="1"/>
  <c r="Y223" i="1" s="1"/>
  <c r="Z223" i="1" s="1"/>
  <c r="AB223" i="1" s="1"/>
  <c r="AC223" i="1" s="1"/>
  <c r="AD223" i="1" s="1"/>
  <c r="AF223" i="1" s="1"/>
  <c r="AG223" i="1" s="1"/>
  <c r="AH223" i="1" s="1"/>
  <c r="AJ223" i="1" s="1"/>
  <c r="AK223" i="1" s="1"/>
  <c r="AL223" i="1" s="1"/>
  <c r="AN223" i="1" s="1"/>
  <c r="AO223" i="1" s="1"/>
  <c r="AP223" i="1" s="1"/>
  <c r="AR223" i="1" s="1"/>
  <c r="AS223" i="1" s="1"/>
  <c r="AT223" i="1" s="1"/>
  <c r="AV223" i="1" s="1"/>
  <c r="AW223" i="1" s="1"/>
  <c r="AX223" i="1" s="1"/>
  <c r="AZ223" i="1" s="1"/>
  <c r="BA223" i="1" s="1"/>
  <c r="BB223" i="1" s="1"/>
  <c r="N221" i="1"/>
  <c r="P221" i="1" s="1"/>
  <c r="Q221" i="1" s="1"/>
  <c r="R221" i="1" s="1"/>
  <c r="T221" i="1" s="1"/>
  <c r="U221" i="1" s="1"/>
  <c r="V221" i="1" s="1"/>
  <c r="X221" i="1" s="1"/>
  <c r="Y221" i="1" s="1"/>
  <c r="Z221" i="1" s="1"/>
  <c r="AB221" i="1" s="1"/>
  <c r="AC221" i="1" s="1"/>
  <c r="AD221" i="1" s="1"/>
  <c r="AF221" i="1" s="1"/>
  <c r="AG221" i="1" s="1"/>
  <c r="AH221" i="1" s="1"/>
  <c r="AJ221" i="1" s="1"/>
  <c r="AK221" i="1" s="1"/>
  <c r="AL221" i="1" s="1"/>
  <c r="AN221" i="1" s="1"/>
  <c r="AO221" i="1" s="1"/>
  <c r="AP221" i="1" s="1"/>
  <c r="AR221" i="1" s="1"/>
  <c r="AS221" i="1" s="1"/>
  <c r="AT221" i="1" s="1"/>
  <c r="AV221" i="1" s="1"/>
  <c r="AW221" i="1" s="1"/>
  <c r="AX221" i="1" s="1"/>
  <c r="AZ221" i="1" s="1"/>
  <c r="BA221" i="1" s="1"/>
  <c r="BB221" i="1" s="1"/>
  <c r="N219" i="1"/>
  <c r="P219" i="1" s="1"/>
  <c r="Q219" i="1" s="1"/>
  <c r="R219" i="1" s="1"/>
  <c r="T219" i="1" s="1"/>
  <c r="U219" i="1" s="1"/>
  <c r="V219" i="1" s="1"/>
  <c r="X219" i="1" s="1"/>
  <c r="Y219" i="1" s="1"/>
  <c r="Z219" i="1" s="1"/>
  <c r="AB219" i="1" s="1"/>
  <c r="AC219" i="1" s="1"/>
  <c r="AD219" i="1" s="1"/>
  <c r="AF219" i="1" s="1"/>
  <c r="AG219" i="1" s="1"/>
  <c r="AH219" i="1" s="1"/>
  <c r="AJ219" i="1" s="1"/>
  <c r="AK219" i="1" s="1"/>
  <c r="AL219" i="1" s="1"/>
  <c r="AN219" i="1" s="1"/>
  <c r="AO219" i="1" s="1"/>
  <c r="AP219" i="1" s="1"/>
  <c r="AR219" i="1" s="1"/>
  <c r="AS219" i="1" s="1"/>
  <c r="AT219" i="1" s="1"/>
  <c r="AV219" i="1" s="1"/>
  <c r="AW219" i="1" s="1"/>
  <c r="AX219" i="1" s="1"/>
  <c r="AZ219" i="1" s="1"/>
  <c r="BA219" i="1" s="1"/>
  <c r="BB219" i="1" s="1"/>
  <c r="AU253" i="1" l="1"/>
  <c r="AV253" i="1"/>
  <c r="AW253" i="1" s="1"/>
  <c r="AX253" i="1" s="1"/>
  <c r="AV251" i="1"/>
  <c r="AW251" i="1" s="1"/>
  <c r="AX251" i="1" s="1"/>
  <c r="AU251" i="1"/>
  <c r="N217" i="1"/>
  <c r="P217" i="1" s="1"/>
  <c r="Q217" i="1" s="1"/>
  <c r="R217" i="1" s="1"/>
  <c r="T217" i="1" s="1"/>
  <c r="U217" i="1" s="1"/>
  <c r="V217" i="1" s="1"/>
  <c r="X217" i="1" s="1"/>
  <c r="Y217" i="1" s="1"/>
  <c r="Z217" i="1" s="1"/>
  <c r="AB217" i="1" s="1"/>
  <c r="AC217" i="1" s="1"/>
  <c r="AD217" i="1" s="1"/>
  <c r="AF217" i="1" s="1"/>
  <c r="AG217" i="1" s="1"/>
  <c r="AH217" i="1" s="1"/>
  <c r="AJ217" i="1" s="1"/>
  <c r="AK217" i="1" s="1"/>
  <c r="AL217" i="1" s="1"/>
  <c r="AN217" i="1" s="1"/>
  <c r="AO217" i="1" s="1"/>
  <c r="AP217" i="1" s="1"/>
  <c r="AR217" i="1" s="1"/>
  <c r="AS217" i="1" s="1"/>
  <c r="AT217" i="1" s="1"/>
  <c r="AV217" i="1" s="1"/>
  <c r="AW217" i="1" s="1"/>
  <c r="AX217" i="1" s="1"/>
  <c r="AZ217" i="1" s="1"/>
  <c r="BA217" i="1" s="1"/>
  <c r="BB217" i="1" s="1"/>
  <c r="M215" i="1"/>
  <c r="N215" i="1" s="1"/>
  <c r="P215" i="1" s="1"/>
  <c r="Q215" i="1" s="1"/>
  <c r="Q213" i="1"/>
  <c r="R213" i="1" s="1"/>
  <c r="T213" i="1" s="1"/>
  <c r="U213" i="1" s="1"/>
  <c r="V213" i="1" s="1"/>
  <c r="X213" i="1" s="1"/>
  <c r="Y213" i="1" s="1"/>
  <c r="Z213" i="1" s="1"/>
  <c r="AB213" i="1" s="1"/>
  <c r="AC213" i="1" s="1"/>
  <c r="AD213" i="1" s="1"/>
  <c r="AF213" i="1" s="1"/>
  <c r="AG213" i="1" s="1"/>
  <c r="AH213" i="1" s="1"/>
  <c r="AJ213" i="1" s="1"/>
  <c r="AK213" i="1" s="1"/>
  <c r="AL213" i="1" s="1"/>
  <c r="AN213" i="1" s="1"/>
  <c r="AO213" i="1" s="1"/>
  <c r="AP213" i="1" s="1"/>
  <c r="AR213" i="1" s="1"/>
  <c r="AS213" i="1" s="1"/>
  <c r="AT213" i="1" s="1"/>
  <c r="N213" i="1"/>
  <c r="Q211" i="1"/>
  <c r="R211" i="1" s="1"/>
  <c r="T211" i="1" s="1"/>
  <c r="U211" i="1" s="1"/>
  <c r="V211" i="1" s="1"/>
  <c r="X211" i="1" s="1"/>
  <c r="Y211" i="1" s="1"/>
  <c r="Z211" i="1" s="1"/>
  <c r="AB211" i="1" s="1"/>
  <c r="AC211" i="1" s="1"/>
  <c r="AD211" i="1" s="1"/>
  <c r="AF211" i="1" s="1"/>
  <c r="AG211" i="1" s="1"/>
  <c r="AH211" i="1" s="1"/>
  <c r="AJ211" i="1" s="1"/>
  <c r="AK211" i="1" s="1"/>
  <c r="AL211" i="1" s="1"/>
  <c r="AN211" i="1" s="1"/>
  <c r="AO211" i="1" s="1"/>
  <c r="AP211" i="1" s="1"/>
  <c r="AR211" i="1" s="1"/>
  <c r="AS211" i="1" s="1"/>
  <c r="AT211" i="1" s="1"/>
  <c r="M211" i="1"/>
  <c r="N211" i="1" s="1"/>
  <c r="M209" i="1"/>
  <c r="N209" i="1" s="1"/>
  <c r="P209" i="1" s="1"/>
  <c r="P207" i="1"/>
  <c r="Q207" i="1" s="1"/>
  <c r="R207" i="1" s="1"/>
  <c r="T207" i="1" s="1"/>
  <c r="U207" i="1" s="1"/>
  <c r="V207" i="1" s="1"/>
  <c r="X207" i="1" s="1"/>
  <c r="Y207" i="1" s="1"/>
  <c r="Z207" i="1" s="1"/>
  <c r="AB207" i="1" s="1"/>
  <c r="AC207" i="1" s="1"/>
  <c r="AD207" i="1" s="1"/>
  <c r="AF207" i="1" s="1"/>
  <c r="AG207" i="1" s="1"/>
  <c r="AH207" i="1" s="1"/>
  <c r="AJ207" i="1" s="1"/>
  <c r="AK207" i="1" s="1"/>
  <c r="AL207" i="1" s="1"/>
  <c r="AN207" i="1" s="1"/>
  <c r="AO207" i="1" s="1"/>
  <c r="AP207" i="1" s="1"/>
  <c r="AR207" i="1" s="1"/>
  <c r="AS207" i="1" s="1"/>
  <c r="AT207" i="1" s="1"/>
  <c r="AV207" i="1" s="1"/>
  <c r="AW207" i="1" s="1"/>
  <c r="AX207" i="1" s="1"/>
  <c r="AZ207" i="1" s="1"/>
  <c r="BA207" i="1" s="1"/>
  <c r="BB207" i="1" s="1"/>
  <c r="BD207" i="1" s="1"/>
  <c r="BE207" i="1" s="1"/>
  <c r="BF207" i="1" s="1"/>
  <c r="BH207" i="1" s="1"/>
  <c r="BI207" i="1" s="1"/>
  <c r="BJ207" i="1" s="1"/>
  <c r="BL207" i="1" s="1"/>
  <c r="BM207" i="1" s="1"/>
  <c r="BN207" i="1" s="1"/>
  <c r="BP207" i="1" s="1"/>
  <c r="BQ207" i="1" s="1"/>
  <c r="BR207" i="1" s="1"/>
  <c r="BT207" i="1" s="1"/>
  <c r="BU207" i="1" s="1"/>
  <c r="BV207" i="1" s="1"/>
  <c r="BX207" i="1" s="1"/>
  <c r="BY207" i="1" s="1"/>
  <c r="BZ207" i="1" s="1"/>
  <c r="N205" i="1"/>
  <c r="P205" i="1" s="1"/>
  <c r="Q205" i="1" s="1"/>
  <c r="R205" i="1" s="1"/>
  <c r="T205" i="1" s="1"/>
  <c r="U205" i="1" s="1"/>
  <c r="V205" i="1" s="1"/>
  <c r="X205" i="1" s="1"/>
  <c r="Y205" i="1" s="1"/>
  <c r="Z205" i="1" s="1"/>
  <c r="AB205" i="1" s="1"/>
  <c r="AC205" i="1" s="1"/>
  <c r="AD205" i="1" s="1"/>
  <c r="AF205" i="1" s="1"/>
  <c r="AG205" i="1" s="1"/>
  <c r="AH205" i="1" s="1"/>
  <c r="AJ205" i="1" s="1"/>
  <c r="AK205" i="1" s="1"/>
  <c r="AL205" i="1" s="1"/>
  <c r="AN205" i="1" s="1"/>
  <c r="AO205" i="1" s="1"/>
  <c r="AP205" i="1" s="1"/>
  <c r="AR205" i="1" s="1"/>
  <c r="AS205" i="1" s="1"/>
  <c r="AT205" i="1" s="1"/>
  <c r="AV205" i="1" s="1"/>
  <c r="AW205" i="1" s="1"/>
  <c r="AX205" i="1" s="1"/>
  <c r="AZ205" i="1" s="1"/>
  <c r="BA205" i="1" s="1"/>
  <c r="BB205" i="1" s="1"/>
  <c r="M203" i="1"/>
  <c r="N203" i="1" s="1"/>
  <c r="P203" i="1" s="1"/>
  <c r="Q203" i="1" s="1"/>
  <c r="R203" i="1" s="1"/>
  <c r="T203" i="1" s="1"/>
  <c r="U203" i="1" s="1"/>
  <c r="V203" i="1" s="1"/>
  <c r="X203" i="1" s="1"/>
  <c r="Y203" i="1" s="1"/>
  <c r="Z203" i="1" s="1"/>
  <c r="AB203" i="1" s="1"/>
  <c r="AC203" i="1" s="1"/>
  <c r="AD203" i="1" s="1"/>
  <c r="AF203" i="1" s="1"/>
  <c r="AG203" i="1" s="1"/>
  <c r="AH203" i="1" s="1"/>
  <c r="AJ203" i="1" s="1"/>
  <c r="AK203" i="1" s="1"/>
  <c r="AL203" i="1" s="1"/>
  <c r="AN203" i="1" s="1"/>
  <c r="AO203" i="1" s="1"/>
  <c r="AP203" i="1" s="1"/>
  <c r="AR203" i="1" s="1"/>
  <c r="AS203" i="1" s="1"/>
  <c r="AT203" i="1" s="1"/>
  <c r="AV203" i="1" s="1"/>
  <c r="AW203" i="1" s="1"/>
  <c r="AX203" i="1" s="1"/>
  <c r="AZ203" i="1" s="1"/>
  <c r="BA203" i="1" s="1"/>
  <c r="BB203" i="1" s="1"/>
  <c r="BD203" i="1" s="1"/>
  <c r="BE203" i="1" s="1"/>
  <c r="BF203" i="1" s="1"/>
  <c r="BH203" i="1" s="1"/>
  <c r="BI203" i="1" s="1"/>
  <c r="BJ203" i="1" s="1"/>
  <c r="BL203" i="1" s="1"/>
  <c r="BM203" i="1" s="1"/>
  <c r="BN203" i="1" s="1"/>
  <c r="BP203" i="1" s="1"/>
  <c r="BQ203" i="1" s="1"/>
  <c r="BR203" i="1" s="1"/>
  <c r="BT203" i="1" s="1"/>
  <c r="BU203" i="1" s="1"/>
  <c r="BV203" i="1" s="1"/>
  <c r="BX203" i="1" s="1"/>
  <c r="BY203" i="1" s="1"/>
  <c r="BZ203" i="1" s="1"/>
  <c r="N201" i="1"/>
  <c r="P201" i="1" s="1"/>
  <c r="Q201" i="1" s="1"/>
  <c r="R201" i="1" s="1"/>
  <c r="T201" i="1" s="1"/>
  <c r="U201" i="1" s="1"/>
  <c r="V201" i="1" s="1"/>
  <c r="X201" i="1" s="1"/>
  <c r="Y201" i="1" s="1"/>
  <c r="Z201" i="1" s="1"/>
  <c r="AB201" i="1" s="1"/>
  <c r="AC201" i="1" s="1"/>
  <c r="AD201" i="1" s="1"/>
  <c r="AF201" i="1" s="1"/>
  <c r="AG201" i="1" s="1"/>
  <c r="AH201" i="1" s="1"/>
  <c r="AJ201" i="1" s="1"/>
  <c r="AK201" i="1" s="1"/>
  <c r="AL201" i="1" s="1"/>
  <c r="AN201" i="1" s="1"/>
  <c r="AO201" i="1" s="1"/>
  <c r="AP201" i="1" s="1"/>
  <c r="AR201" i="1" s="1"/>
  <c r="AS201" i="1" s="1"/>
  <c r="AT201" i="1" s="1"/>
  <c r="AV201" i="1" s="1"/>
  <c r="AW201" i="1" s="1"/>
  <c r="AX201" i="1" s="1"/>
  <c r="AZ201" i="1" s="1"/>
  <c r="BA201" i="1" s="1"/>
  <c r="BB201" i="1" s="1"/>
  <c r="BD201" i="1" s="1"/>
  <c r="BE201" i="1" s="1"/>
  <c r="BF201" i="1" s="1"/>
  <c r="BH201" i="1" s="1"/>
  <c r="BI201" i="1" s="1"/>
  <c r="BJ201" i="1" s="1"/>
  <c r="BL201" i="1" s="1"/>
  <c r="BM201" i="1" s="1"/>
  <c r="BN201" i="1" s="1"/>
  <c r="BP201" i="1" s="1"/>
  <c r="BQ201" i="1" s="1"/>
  <c r="BR201" i="1" s="1"/>
  <c r="BT201" i="1" s="1"/>
  <c r="BU201" i="1" s="1"/>
  <c r="BV201" i="1" s="1"/>
  <c r="BX201" i="1" s="1"/>
  <c r="BY201" i="1" s="1"/>
  <c r="BZ201" i="1" s="1"/>
  <c r="N199" i="1"/>
  <c r="P199" i="1" s="1"/>
  <c r="Q199" i="1" s="1"/>
  <c r="R199" i="1" s="1"/>
  <c r="T199" i="1" s="1"/>
  <c r="U199" i="1" s="1"/>
  <c r="V199" i="1" s="1"/>
  <c r="X199" i="1" s="1"/>
  <c r="Y199" i="1" s="1"/>
  <c r="Z199" i="1" s="1"/>
  <c r="AB199" i="1" s="1"/>
  <c r="AC199" i="1" s="1"/>
  <c r="AD199" i="1" s="1"/>
  <c r="AF199" i="1" s="1"/>
  <c r="AG199" i="1" s="1"/>
  <c r="AH199" i="1" s="1"/>
  <c r="AJ199" i="1" s="1"/>
  <c r="AK199" i="1" s="1"/>
  <c r="AL199" i="1" s="1"/>
  <c r="AN199" i="1" s="1"/>
  <c r="AO199" i="1" s="1"/>
  <c r="AP199" i="1" s="1"/>
  <c r="AR199" i="1" s="1"/>
  <c r="AS199" i="1" s="1"/>
  <c r="AT199" i="1" s="1"/>
  <c r="AV199" i="1" s="1"/>
  <c r="AW199" i="1" s="1"/>
  <c r="AX199" i="1" s="1"/>
  <c r="AZ199" i="1" s="1"/>
  <c r="BA199" i="1" s="1"/>
  <c r="BB199" i="1" s="1"/>
  <c r="BD199" i="1" s="1"/>
  <c r="BE199" i="1" s="1"/>
  <c r="BF199" i="1" s="1"/>
  <c r="BH199" i="1" s="1"/>
  <c r="BI199" i="1" s="1"/>
  <c r="BJ199" i="1" s="1"/>
  <c r="BL199" i="1" s="1"/>
  <c r="BM199" i="1" s="1"/>
  <c r="BN199" i="1" s="1"/>
  <c r="BP199" i="1" s="1"/>
  <c r="BQ199" i="1" s="1"/>
  <c r="BR199" i="1" s="1"/>
  <c r="BT199" i="1" s="1"/>
  <c r="BU199" i="1" s="1"/>
  <c r="BV199" i="1" s="1"/>
  <c r="BX199" i="1" s="1"/>
  <c r="BY199" i="1" s="1"/>
  <c r="BZ199" i="1" s="1"/>
  <c r="N197" i="1"/>
  <c r="Q197" i="1" s="1"/>
  <c r="R197" i="1" s="1"/>
  <c r="T197" i="1" s="1"/>
  <c r="U197" i="1" s="1"/>
  <c r="V197" i="1" s="1"/>
  <c r="X197" i="1" s="1"/>
  <c r="Y197" i="1" s="1"/>
  <c r="Z197" i="1" s="1"/>
  <c r="AB197" i="1" s="1"/>
  <c r="AC197" i="1" s="1"/>
  <c r="AD197" i="1" s="1"/>
  <c r="AF197" i="1" s="1"/>
  <c r="AG197" i="1" s="1"/>
  <c r="AH197" i="1" s="1"/>
  <c r="AJ197" i="1" s="1"/>
  <c r="AK197" i="1" s="1"/>
  <c r="AL197" i="1" s="1"/>
  <c r="AN197" i="1" s="1"/>
  <c r="AO197" i="1" s="1"/>
  <c r="AP197" i="1" s="1"/>
  <c r="AR197" i="1" s="1"/>
  <c r="AS197" i="1" s="1"/>
  <c r="AT197" i="1" s="1"/>
  <c r="AV197" i="1" s="1"/>
  <c r="AW197" i="1" s="1"/>
  <c r="AX197" i="1" s="1"/>
  <c r="AZ197" i="1" s="1"/>
  <c r="BA197" i="1" s="1"/>
  <c r="BB197" i="1" s="1"/>
  <c r="BD197" i="1" s="1"/>
  <c r="BE197" i="1" s="1"/>
  <c r="BF197" i="1" s="1"/>
  <c r="BH197" i="1" s="1"/>
  <c r="BI197" i="1" s="1"/>
  <c r="BJ197" i="1" s="1"/>
  <c r="BL197" i="1" s="1"/>
  <c r="BM197" i="1" s="1"/>
  <c r="BN197" i="1" s="1"/>
  <c r="BP197" i="1" s="1"/>
  <c r="BQ197" i="1" s="1"/>
  <c r="BR197" i="1" s="1"/>
  <c r="BT197" i="1" s="1"/>
  <c r="BU197" i="1" s="1"/>
  <c r="BV197" i="1" s="1"/>
  <c r="BX197" i="1" s="1"/>
  <c r="BY197" i="1" s="1"/>
  <c r="BZ197" i="1" s="1"/>
  <c r="BP195" i="1"/>
  <c r="BQ195" i="1" s="1"/>
  <c r="BR195" i="1" s="1"/>
  <c r="N195" i="1"/>
  <c r="P195" i="1" s="1"/>
  <c r="Q195" i="1" s="1"/>
  <c r="R195" i="1" s="1"/>
  <c r="T195" i="1" s="1"/>
  <c r="U195" i="1" s="1"/>
  <c r="V195" i="1" s="1"/>
  <c r="X195" i="1" s="1"/>
  <c r="Y195" i="1" s="1"/>
  <c r="Z195" i="1" s="1"/>
  <c r="AB195" i="1" s="1"/>
  <c r="AC195" i="1" s="1"/>
  <c r="AD195" i="1" s="1"/>
  <c r="AF195" i="1" s="1"/>
  <c r="AG195" i="1" s="1"/>
  <c r="AH195" i="1" s="1"/>
  <c r="AJ195" i="1" s="1"/>
  <c r="AK195" i="1" s="1"/>
  <c r="AL195" i="1" s="1"/>
  <c r="AN195" i="1" s="1"/>
  <c r="AO195" i="1" s="1"/>
  <c r="AP195" i="1" s="1"/>
  <c r="AR195" i="1" s="1"/>
  <c r="AS195" i="1" s="1"/>
  <c r="AT195" i="1" s="1"/>
  <c r="N193" i="1"/>
  <c r="P193" i="1" s="1"/>
  <c r="Q193" i="1" s="1"/>
  <c r="R193" i="1" s="1"/>
  <c r="T193" i="1" s="1"/>
  <c r="U193" i="1" s="1"/>
  <c r="V193" i="1" s="1"/>
  <c r="X193" i="1" s="1"/>
  <c r="Y193" i="1" s="1"/>
  <c r="Z193" i="1" s="1"/>
  <c r="AB193" i="1" s="1"/>
  <c r="AC193" i="1" s="1"/>
  <c r="AD193" i="1" s="1"/>
  <c r="AF193" i="1" s="1"/>
  <c r="AG193" i="1" s="1"/>
  <c r="AH193" i="1" s="1"/>
  <c r="AJ193" i="1" s="1"/>
  <c r="AK193" i="1" s="1"/>
  <c r="AL193" i="1" s="1"/>
  <c r="AN193" i="1" s="1"/>
  <c r="AO193" i="1" s="1"/>
  <c r="AP193" i="1" s="1"/>
  <c r="AR193" i="1" s="1"/>
  <c r="AS193" i="1" s="1"/>
  <c r="AT193" i="1" s="1"/>
  <c r="AV193" i="1" s="1"/>
  <c r="AW193" i="1" s="1"/>
  <c r="AX193" i="1" s="1"/>
  <c r="AZ193" i="1" s="1"/>
  <c r="BA193" i="1" s="1"/>
  <c r="BB193" i="1" s="1"/>
  <c r="BD193" i="1" s="1"/>
  <c r="BE193" i="1" s="1"/>
  <c r="BF193" i="1" s="1"/>
  <c r="BH193" i="1" s="1"/>
  <c r="BI193" i="1" s="1"/>
  <c r="BJ193" i="1" s="1"/>
  <c r="BL193" i="1" s="1"/>
  <c r="BM193" i="1" s="1"/>
  <c r="BN193" i="1" s="1"/>
  <c r="BP193" i="1" s="1"/>
  <c r="BQ193" i="1" s="1"/>
  <c r="BR193" i="1" s="1"/>
  <c r="BT193" i="1" s="1"/>
  <c r="BU193" i="1" s="1"/>
  <c r="BV193" i="1" s="1"/>
  <c r="BX193" i="1" s="1"/>
  <c r="BY193" i="1" s="1"/>
  <c r="BZ193" i="1" s="1"/>
  <c r="N191" i="1"/>
  <c r="P191" i="1" s="1"/>
  <c r="Q191" i="1" s="1"/>
  <c r="R191" i="1" s="1"/>
  <c r="T191" i="1" s="1"/>
  <c r="U191" i="1" s="1"/>
  <c r="V191" i="1" s="1"/>
  <c r="X191" i="1" s="1"/>
  <c r="Y191" i="1" s="1"/>
  <c r="Z191" i="1" s="1"/>
  <c r="AB191" i="1" s="1"/>
  <c r="AC191" i="1" s="1"/>
  <c r="AD191" i="1" s="1"/>
  <c r="AF191" i="1" s="1"/>
  <c r="AG191" i="1" s="1"/>
  <c r="AH191" i="1" s="1"/>
  <c r="AJ191" i="1" s="1"/>
  <c r="AK191" i="1" s="1"/>
  <c r="AL191" i="1" s="1"/>
  <c r="AN191" i="1" s="1"/>
  <c r="AO191" i="1" s="1"/>
  <c r="AP191" i="1" s="1"/>
  <c r="AR191" i="1" s="1"/>
  <c r="AS191" i="1" s="1"/>
  <c r="AT191" i="1" s="1"/>
  <c r="AV191" i="1" s="1"/>
  <c r="AW191" i="1" s="1"/>
  <c r="AX191" i="1" s="1"/>
  <c r="AZ191" i="1" s="1"/>
  <c r="BA191" i="1" s="1"/>
  <c r="BB191" i="1" s="1"/>
  <c r="BD191" i="1" s="1"/>
  <c r="BE191" i="1" s="1"/>
  <c r="BF191" i="1" s="1"/>
  <c r="BH191" i="1" s="1"/>
  <c r="BI191" i="1" s="1"/>
  <c r="BJ191" i="1" s="1"/>
  <c r="BL191" i="1" s="1"/>
  <c r="BM191" i="1" s="1"/>
  <c r="BN191" i="1" s="1"/>
  <c r="BP191" i="1" s="1"/>
  <c r="BQ191" i="1" s="1"/>
  <c r="BR191" i="1" s="1"/>
  <c r="BT191" i="1" s="1"/>
  <c r="BU191" i="1" s="1"/>
  <c r="BV191" i="1" s="1"/>
  <c r="BX191" i="1" s="1"/>
  <c r="BY191" i="1" s="1"/>
  <c r="BZ191" i="1" s="1"/>
  <c r="N189" i="1"/>
  <c r="P189" i="1" s="1"/>
  <c r="Q189" i="1" s="1"/>
  <c r="R189" i="1" s="1"/>
  <c r="T189" i="1" s="1"/>
  <c r="U189" i="1" s="1"/>
  <c r="V189" i="1" s="1"/>
  <c r="X189" i="1" s="1"/>
  <c r="Y189" i="1" s="1"/>
  <c r="Z189" i="1" s="1"/>
  <c r="AB189" i="1" s="1"/>
  <c r="AC189" i="1" s="1"/>
  <c r="AD189" i="1" s="1"/>
  <c r="AF189" i="1" s="1"/>
  <c r="AG189" i="1" s="1"/>
  <c r="AH189" i="1" s="1"/>
  <c r="AJ189" i="1" s="1"/>
  <c r="AK189" i="1" s="1"/>
  <c r="AL189" i="1" s="1"/>
  <c r="AN189" i="1" s="1"/>
  <c r="AO189" i="1" s="1"/>
  <c r="AP189" i="1" s="1"/>
  <c r="AR189" i="1" s="1"/>
  <c r="AS189" i="1" s="1"/>
  <c r="AT189" i="1" s="1"/>
  <c r="AV189" i="1" s="1"/>
  <c r="AW189" i="1" s="1"/>
  <c r="AX189" i="1" s="1"/>
  <c r="AZ189" i="1" s="1"/>
  <c r="BA189" i="1" s="1"/>
  <c r="BB189" i="1" s="1"/>
  <c r="BD189" i="1" s="1"/>
  <c r="BE189" i="1" s="1"/>
  <c r="BF189" i="1" s="1"/>
  <c r="BH189" i="1" s="1"/>
  <c r="BI189" i="1" s="1"/>
  <c r="BJ189" i="1" s="1"/>
  <c r="BL189" i="1" s="1"/>
  <c r="BM189" i="1" s="1"/>
  <c r="BN189" i="1" s="1"/>
  <c r="BP189" i="1" s="1"/>
  <c r="BQ189" i="1" s="1"/>
  <c r="BR189" i="1" s="1"/>
  <c r="BT189" i="1" s="1"/>
  <c r="BU189" i="1" s="1"/>
  <c r="BV189" i="1" s="1"/>
  <c r="BX189" i="1" s="1"/>
  <c r="BY189" i="1" s="1"/>
  <c r="BZ189" i="1" s="1"/>
  <c r="N187" i="1"/>
  <c r="P187" i="1" s="1"/>
  <c r="Q187" i="1" s="1"/>
  <c r="R187" i="1" s="1"/>
  <c r="T187" i="1" s="1"/>
  <c r="U187" i="1" s="1"/>
  <c r="V187" i="1" s="1"/>
  <c r="X187" i="1" s="1"/>
  <c r="Y187" i="1" s="1"/>
  <c r="Z187" i="1" s="1"/>
  <c r="AB187" i="1" s="1"/>
  <c r="AC187" i="1" s="1"/>
  <c r="AD187" i="1" s="1"/>
  <c r="AF187" i="1" s="1"/>
  <c r="AG187" i="1" s="1"/>
  <c r="AH187" i="1" s="1"/>
  <c r="AJ187" i="1" s="1"/>
  <c r="AK187" i="1" s="1"/>
  <c r="AL187" i="1" s="1"/>
  <c r="AN187" i="1" s="1"/>
  <c r="AO187" i="1" s="1"/>
  <c r="AP187" i="1" s="1"/>
  <c r="AR187" i="1" s="1"/>
  <c r="AS187" i="1" s="1"/>
  <c r="AT187" i="1" s="1"/>
  <c r="AV187" i="1" s="1"/>
  <c r="AW187" i="1" s="1"/>
  <c r="AX187" i="1" s="1"/>
  <c r="AZ187" i="1" s="1"/>
  <c r="BA187" i="1" s="1"/>
  <c r="BB187" i="1" s="1"/>
  <c r="BD187" i="1" s="1"/>
  <c r="BE187" i="1" s="1"/>
  <c r="BF187" i="1" s="1"/>
  <c r="BH187" i="1" s="1"/>
  <c r="BI187" i="1" s="1"/>
  <c r="BJ187" i="1" s="1"/>
  <c r="BL187" i="1" s="1"/>
  <c r="BM187" i="1" s="1"/>
  <c r="BN187" i="1" s="1"/>
  <c r="BP187" i="1" s="1"/>
  <c r="BQ187" i="1" s="1"/>
  <c r="BR187" i="1" s="1"/>
  <c r="BT187" i="1" s="1"/>
  <c r="BU187" i="1" s="1"/>
  <c r="BV187" i="1" s="1"/>
  <c r="BX187" i="1" s="1"/>
  <c r="BY187" i="1" s="1"/>
  <c r="BZ187" i="1" s="1"/>
  <c r="N185" i="1"/>
  <c r="P185" i="1" s="1"/>
  <c r="Q185" i="1" s="1"/>
  <c r="R185" i="1" s="1"/>
  <c r="T185" i="1" s="1"/>
  <c r="U185" i="1" s="1"/>
  <c r="V185" i="1" s="1"/>
  <c r="X185" i="1" s="1"/>
  <c r="Y185" i="1" s="1"/>
  <c r="Z185" i="1" s="1"/>
  <c r="AB185" i="1" s="1"/>
  <c r="AC185" i="1" s="1"/>
  <c r="AD185" i="1" s="1"/>
  <c r="AF185" i="1" s="1"/>
  <c r="AG185" i="1" s="1"/>
  <c r="AH185" i="1" s="1"/>
  <c r="AJ185" i="1" s="1"/>
  <c r="AK185" i="1" s="1"/>
  <c r="AL185" i="1" s="1"/>
  <c r="AN185" i="1" s="1"/>
  <c r="AO185" i="1" s="1"/>
  <c r="AP185" i="1" s="1"/>
  <c r="AR185" i="1" s="1"/>
  <c r="AS185" i="1" s="1"/>
  <c r="AT185" i="1" s="1"/>
  <c r="AV185" i="1" s="1"/>
  <c r="AW185" i="1" s="1"/>
  <c r="AX185" i="1" s="1"/>
  <c r="AZ185" i="1" s="1"/>
  <c r="BA185" i="1" s="1"/>
  <c r="BB185" i="1" s="1"/>
  <c r="BD185" i="1" s="1"/>
  <c r="BE185" i="1" s="1"/>
  <c r="BF185" i="1" s="1"/>
  <c r="BH185" i="1" s="1"/>
  <c r="BI185" i="1" s="1"/>
  <c r="BJ185" i="1" s="1"/>
  <c r="BL185" i="1" s="1"/>
  <c r="BM185" i="1" s="1"/>
  <c r="BN185" i="1" s="1"/>
  <c r="BP185" i="1" s="1"/>
  <c r="BQ185" i="1" s="1"/>
  <c r="BR185" i="1" s="1"/>
  <c r="BT185" i="1" s="1"/>
  <c r="BU185" i="1" s="1"/>
  <c r="BV185" i="1" s="1"/>
  <c r="BX185" i="1" s="1"/>
  <c r="BY185" i="1" s="1"/>
  <c r="BZ185" i="1" s="1"/>
  <c r="M183" i="1"/>
  <c r="N183" i="1" s="1"/>
  <c r="P183" i="1" s="1"/>
  <c r="Q183" i="1" s="1"/>
  <c r="R183" i="1" s="1"/>
  <c r="T183" i="1" s="1"/>
  <c r="U183" i="1" s="1"/>
  <c r="V183" i="1" s="1"/>
  <c r="X183" i="1" s="1"/>
  <c r="Y183" i="1" s="1"/>
  <c r="Z183" i="1" s="1"/>
  <c r="AB183" i="1" s="1"/>
  <c r="AC183" i="1" s="1"/>
  <c r="AD183" i="1" s="1"/>
  <c r="AF183" i="1" s="1"/>
  <c r="AG183" i="1" s="1"/>
  <c r="AH183" i="1" s="1"/>
  <c r="AJ183" i="1" s="1"/>
  <c r="AK183" i="1" s="1"/>
  <c r="AL183" i="1" s="1"/>
  <c r="AN183" i="1" s="1"/>
  <c r="AO183" i="1" s="1"/>
  <c r="AP183" i="1" s="1"/>
  <c r="AR183" i="1" s="1"/>
  <c r="AS183" i="1" s="1"/>
  <c r="AT183" i="1" s="1"/>
  <c r="AV183" i="1" s="1"/>
  <c r="AW183" i="1" s="1"/>
  <c r="AX183" i="1" s="1"/>
  <c r="AZ183" i="1" s="1"/>
  <c r="BA183" i="1" s="1"/>
  <c r="BB183" i="1" s="1"/>
  <c r="M181" i="1"/>
  <c r="N181" i="1" s="1"/>
  <c r="P181" i="1" s="1"/>
  <c r="Q181" i="1" s="1"/>
  <c r="R181" i="1" s="1"/>
  <c r="T181" i="1" s="1"/>
  <c r="U181" i="1" s="1"/>
  <c r="V181" i="1" s="1"/>
  <c r="X181" i="1" s="1"/>
  <c r="Y181" i="1" s="1"/>
  <c r="Z181" i="1" s="1"/>
  <c r="AB181" i="1" s="1"/>
  <c r="AC181" i="1" s="1"/>
  <c r="AD181" i="1" s="1"/>
  <c r="AF181" i="1" s="1"/>
  <c r="AG181" i="1" s="1"/>
  <c r="AH181" i="1" s="1"/>
  <c r="AJ181" i="1" s="1"/>
  <c r="AK181" i="1" s="1"/>
  <c r="AL181" i="1" s="1"/>
  <c r="AN181" i="1" s="1"/>
  <c r="AO181" i="1" s="1"/>
  <c r="AP181" i="1" s="1"/>
  <c r="AR181" i="1" s="1"/>
  <c r="AS181" i="1" s="1"/>
  <c r="AT181" i="1" s="1"/>
  <c r="AV181" i="1" s="1"/>
  <c r="AW181" i="1" s="1"/>
  <c r="AX181" i="1" s="1"/>
  <c r="AZ181" i="1" s="1"/>
  <c r="BA181" i="1" s="1"/>
  <c r="BB181" i="1" s="1"/>
  <c r="N179" i="1"/>
  <c r="P179" i="1" s="1"/>
  <c r="Q179" i="1" s="1"/>
  <c r="R179" i="1" s="1"/>
  <c r="T179" i="1" s="1"/>
  <c r="U179" i="1" s="1"/>
  <c r="V179" i="1" s="1"/>
  <c r="X179" i="1" s="1"/>
  <c r="Y179" i="1" s="1"/>
  <c r="Z179" i="1" s="1"/>
  <c r="AB179" i="1" s="1"/>
  <c r="AC179" i="1" s="1"/>
  <c r="AD179" i="1" s="1"/>
  <c r="AF179" i="1" s="1"/>
  <c r="AG179" i="1" s="1"/>
  <c r="AH179" i="1" s="1"/>
  <c r="AJ179" i="1" s="1"/>
  <c r="AK179" i="1" s="1"/>
  <c r="AL179" i="1" s="1"/>
  <c r="AN179" i="1" s="1"/>
  <c r="AO179" i="1" s="1"/>
  <c r="AP179" i="1" s="1"/>
  <c r="AR179" i="1" s="1"/>
  <c r="AS179" i="1" s="1"/>
  <c r="AT179" i="1" s="1"/>
  <c r="AV179" i="1" s="1"/>
  <c r="AW179" i="1" s="1"/>
  <c r="AX179" i="1" s="1"/>
  <c r="AZ179" i="1" s="1"/>
  <c r="BA179" i="1" s="1"/>
  <c r="BB179" i="1" s="1"/>
  <c r="BD179" i="1" s="1"/>
  <c r="BE179" i="1" s="1"/>
  <c r="BF179" i="1" s="1"/>
  <c r="BH179" i="1" s="1"/>
  <c r="BI179" i="1" s="1"/>
  <c r="BJ179" i="1" s="1"/>
  <c r="BL179" i="1" s="1"/>
  <c r="BM179" i="1" s="1"/>
  <c r="BN179" i="1" s="1"/>
  <c r="BP179" i="1" s="1"/>
  <c r="BQ179" i="1" s="1"/>
  <c r="BR179" i="1" s="1"/>
  <c r="BT179" i="1" s="1"/>
  <c r="BU179" i="1" s="1"/>
  <c r="BV179" i="1" s="1"/>
  <c r="BX179" i="1" s="1"/>
  <c r="BY179" i="1" s="1"/>
  <c r="BZ179" i="1" s="1"/>
  <c r="M177" i="1"/>
  <c r="N177" i="1" s="1"/>
  <c r="P177" i="1" s="1"/>
  <c r="Q177" i="1" s="1"/>
  <c r="R177" i="1" s="1"/>
  <c r="T177" i="1" s="1"/>
  <c r="U177" i="1" s="1"/>
  <c r="V177" i="1" s="1"/>
  <c r="X177" i="1" s="1"/>
  <c r="Y177" i="1" s="1"/>
  <c r="Z177" i="1" s="1"/>
  <c r="AB177" i="1" s="1"/>
  <c r="AC177" i="1" s="1"/>
  <c r="AD177" i="1" s="1"/>
  <c r="AF177" i="1" s="1"/>
  <c r="AG177" i="1" s="1"/>
  <c r="AH177" i="1" s="1"/>
  <c r="AJ177" i="1" s="1"/>
  <c r="AK177" i="1" s="1"/>
  <c r="AL177" i="1" s="1"/>
  <c r="AN177" i="1" s="1"/>
  <c r="AO177" i="1" s="1"/>
  <c r="AP177" i="1" s="1"/>
  <c r="AR177" i="1" s="1"/>
  <c r="AS177" i="1" s="1"/>
  <c r="AT177" i="1" s="1"/>
  <c r="AV177" i="1" s="1"/>
  <c r="AW177" i="1" s="1"/>
  <c r="AX177" i="1" s="1"/>
  <c r="AZ177" i="1" s="1"/>
  <c r="BA177" i="1" s="1"/>
  <c r="BB177" i="1" s="1"/>
  <c r="BD177" i="1" s="1"/>
  <c r="BE177" i="1" s="1"/>
  <c r="BF177" i="1" s="1"/>
  <c r="BH177" i="1" s="1"/>
  <c r="BI177" i="1" s="1"/>
  <c r="BJ177" i="1" s="1"/>
  <c r="BL177" i="1" s="1"/>
  <c r="BM177" i="1" s="1"/>
  <c r="BN177" i="1" s="1"/>
  <c r="BP177" i="1" s="1"/>
  <c r="BQ177" i="1" s="1"/>
  <c r="BR177" i="1" s="1"/>
  <c r="BT177" i="1" s="1"/>
  <c r="BU177" i="1" s="1"/>
  <c r="BV177" i="1" s="1"/>
  <c r="BX177" i="1" s="1"/>
  <c r="BY177" i="1" s="1"/>
  <c r="BZ177" i="1" s="1"/>
  <c r="Q175" i="1"/>
  <c r="R175" i="1" s="1"/>
  <c r="T175" i="1" s="1"/>
  <c r="U175" i="1" s="1"/>
  <c r="V175" i="1" s="1"/>
  <c r="X175" i="1" s="1"/>
  <c r="Y175" i="1" s="1"/>
  <c r="Z175" i="1" s="1"/>
  <c r="AB175" i="1" s="1"/>
  <c r="AC175" i="1" s="1"/>
  <c r="AD175" i="1" s="1"/>
  <c r="AF175" i="1" s="1"/>
  <c r="AG175" i="1" s="1"/>
  <c r="AH175" i="1" s="1"/>
  <c r="AJ175" i="1" s="1"/>
  <c r="AK175" i="1" s="1"/>
  <c r="AL175" i="1" s="1"/>
  <c r="AN175" i="1" s="1"/>
  <c r="AO175" i="1" s="1"/>
  <c r="AP175" i="1" s="1"/>
  <c r="AR175" i="1" s="1"/>
  <c r="AS175" i="1" s="1"/>
  <c r="AT175" i="1" s="1"/>
  <c r="M175" i="1"/>
  <c r="N175" i="1" s="1"/>
  <c r="N173" i="1"/>
  <c r="P173" i="1" s="1"/>
  <c r="Q173" i="1" s="1"/>
  <c r="R173" i="1" s="1"/>
  <c r="T173" i="1" s="1"/>
  <c r="U173" i="1" s="1"/>
  <c r="V173" i="1" s="1"/>
  <c r="X173" i="1" s="1"/>
  <c r="Y173" i="1" s="1"/>
  <c r="Z173" i="1" s="1"/>
  <c r="AB173" i="1" s="1"/>
  <c r="AC173" i="1" s="1"/>
  <c r="AD173" i="1" s="1"/>
  <c r="AF173" i="1" s="1"/>
  <c r="AG173" i="1" s="1"/>
  <c r="AH173" i="1" s="1"/>
  <c r="AJ173" i="1" s="1"/>
  <c r="AK173" i="1" s="1"/>
  <c r="AL173" i="1" s="1"/>
  <c r="AN173" i="1" s="1"/>
  <c r="AO173" i="1" s="1"/>
  <c r="AP173" i="1" s="1"/>
  <c r="AR173" i="1" s="1"/>
  <c r="AS173" i="1" s="1"/>
  <c r="AT173" i="1" s="1"/>
  <c r="AV173" i="1" s="1"/>
  <c r="AW173" i="1" s="1"/>
  <c r="AX173" i="1" s="1"/>
  <c r="AZ173" i="1" s="1"/>
  <c r="BA173" i="1" s="1"/>
  <c r="BB173" i="1" s="1"/>
  <c r="BD173" i="1" s="1"/>
  <c r="BE173" i="1" s="1"/>
  <c r="BF173" i="1" s="1"/>
  <c r="BH173" i="1" s="1"/>
  <c r="BI173" i="1" s="1"/>
  <c r="BJ173" i="1" s="1"/>
  <c r="BL173" i="1" s="1"/>
  <c r="BM173" i="1" s="1"/>
  <c r="BN173" i="1" s="1"/>
  <c r="BP173" i="1" s="1"/>
  <c r="BQ173" i="1" s="1"/>
  <c r="BR173" i="1" s="1"/>
  <c r="BT173" i="1" s="1"/>
  <c r="BU173" i="1" s="1"/>
  <c r="BV173" i="1" s="1"/>
  <c r="BX173" i="1" s="1"/>
  <c r="BY173" i="1" s="1"/>
  <c r="BZ173" i="1" s="1"/>
  <c r="M149" i="1"/>
  <c r="N149" i="1" s="1"/>
  <c r="P149" i="1" s="1"/>
  <c r="Q149" i="1" s="1"/>
  <c r="R149" i="1" s="1"/>
  <c r="T149" i="1" s="1"/>
  <c r="U149" i="1" s="1"/>
  <c r="V149" i="1" s="1"/>
  <c r="X149" i="1" s="1"/>
  <c r="Y149" i="1" s="1"/>
  <c r="Z149" i="1" s="1"/>
  <c r="AB149" i="1" s="1"/>
  <c r="AC149" i="1" s="1"/>
  <c r="AD149" i="1" s="1"/>
  <c r="AF149" i="1" s="1"/>
  <c r="AG149" i="1" s="1"/>
  <c r="AH149" i="1" s="1"/>
  <c r="AJ149" i="1" s="1"/>
  <c r="AK149" i="1" s="1"/>
  <c r="AL149" i="1" s="1"/>
  <c r="AN149" i="1" s="1"/>
  <c r="AO149" i="1" s="1"/>
  <c r="AP149" i="1" s="1"/>
  <c r="AR149" i="1" s="1"/>
  <c r="AS149" i="1" s="1"/>
  <c r="AT149" i="1" s="1"/>
  <c r="AV149" i="1" s="1"/>
  <c r="AW149" i="1" s="1"/>
  <c r="AX149" i="1" s="1"/>
  <c r="AZ149" i="1" s="1"/>
  <c r="BA149" i="1" s="1"/>
  <c r="BB149" i="1" s="1"/>
  <c r="BD149" i="1" s="1"/>
  <c r="BE149" i="1" s="1"/>
  <c r="BF149" i="1" s="1"/>
  <c r="BH149" i="1" s="1"/>
  <c r="BI149" i="1" s="1"/>
  <c r="BJ149" i="1" s="1"/>
  <c r="BL149" i="1" s="1"/>
  <c r="BM149" i="1" s="1"/>
  <c r="BN149" i="1" s="1"/>
  <c r="BP149" i="1" s="1"/>
  <c r="BQ149" i="1" s="1"/>
  <c r="BR149" i="1" s="1"/>
  <c r="BT149" i="1" s="1"/>
  <c r="BU149" i="1" s="1"/>
  <c r="BV149" i="1" s="1"/>
  <c r="BX149" i="1" s="1"/>
  <c r="BY149" i="1" s="1"/>
  <c r="BZ149" i="1" s="1"/>
  <c r="N171" i="1"/>
  <c r="P171" i="1" s="1"/>
  <c r="Q171" i="1" s="1"/>
  <c r="R171" i="1" s="1"/>
  <c r="T171" i="1" s="1"/>
  <c r="U171" i="1" s="1"/>
  <c r="V171" i="1" s="1"/>
  <c r="X171" i="1" s="1"/>
  <c r="Y171" i="1" s="1"/>
  <c r="Z171" i="1" s="1"/>
  <c r="AB171" i="1" s="1"/>
  <c r="AC171" i="1" s="1"/>
  <c r="AD171" i="1" s="1"/>
  <c r="AF171" i="1" s="1"/>
  <c r="AG171" i="1" s="1"/>
  <c r="AH171" i="1" s="1"/>
  <c r="AJ171" i="1" s="1"/>
  <c r="AK171" i="1" s="1"/>
  <c r="AL171" i="1" s="1"/>
  <c r="AN171" i="1" s="1"/>
  <c r="AO171" i="1" s="1"/>
  <c r="AP171" i="1" s="1"/>
  <c r="AR171" i="1" s="1"/>
  <c r="AS171" i="1" s="1"/>
  <c r="AT171" i="1" s="1"/>
  <c r="AV171" i="1" s="1"/>
  <c r="AW171" i="1" s="1"/>
  <c r="AX171" i="1" s="1"/>
  <c r="AZ171" i="1" s="1"/>
  <c r="BA171" i="1" s="1"/>
  <c r="BB171" i="1" s="1"/>
  <c r="BD171" i="1" s="1"/>
  <c r="BE171" i="1" s="1"/>
  <c r="BF171" i="1" s="1"/>
  <c r="BH171" i="1" s="1"/>
  <c r="BI171" i="1" s="1"/>
  <c r="BJ171" i="1" s="1"/>
  <c r="BL171" i="1" s="1"/>
  <c r="BM171" i="1" s="1"/>
  <c r="BN171" i="1" s="1"/>
  <c r="BP171" i="1" s="1"/>
  <c r="BQ171" i="1" s="1"/>
  <c r="BR171" i="1" s="1"/>
  <c r="BT171" i="1" s="1"/>
  <c r="BU171" i="1" s="1"/>
  <c r="BV171" i="1" s="1"/>
  <c r="BX171" i="1" s="1"/>
  <c r="BY171" i="1" s="1"/>
  <c r="BZ171" i="1" s="1"/>
  <c r="M169" i="1"/>
  <c r="N169" i="1" s="1"/>
  <c r="P169" i="1" s="1"/>
  <c r="Q169" i="1" s="1"/>
  <c r="R169" i="1" s="1"/>
  <c r="T169" i="1" s="1"/>
  <c r="U169" i="1" s="1"/>
  <c r="Q167" i="1"/>
  <c r="R167" i="1" s="1"/>
  <c r="T167" i="1" s="1"/>
  <c r="U167" i="1" s="1"/>
  <c r="V167" i="1" s="1"/>
  <c r="X167" i="1" s="1"/>
  <c r="Y167" i="1" s="1"/>
  <c r="Z167" i="1" s="1"/>
  <c r="AB167" i="1" s="1"/>
  <c r="AC167" i="1" s="1"/>
  <c r="AD167" i="1" s="1"/>
  <c r="AF167" i="1" s="1"/>
  <c r="AG167" i="1" s="1"/>
  <c r="AH167" i="1" s="1"/>
  <c r="AJ167" i="1" s="1"/>
  <c r="AK167" i="1" s="1"/>
  <c r="AL167" i="1" s="1"/>
  <c r="AN167" i="1" s="1"/>
  <c r="AO167" i="1" s="1"/>
  <c r="AP167" i="1" s="1"/>
  <c r="AR167" i="1" s="1"/>
  <c r="AS167" i="1" s="1"/>
  <c r="AT167" i="1" s="1"/>
  <c r="M167" i="1"/>
  <c r="N167" i="1" s="1"/>
  <c r="N165" i="1"/>
  <c r="P165" i="1" s="1"/>
  <c r="Q165" i="1" s="1"/>
  <c r="R165" i="1" s="1"/>
  <c r="T165" i="1" s="1"/>
  <c r="U165" i="1" s="1"/>
  <c r="V165" i="1" s="1"/>
  <c r="X165" i="1" s="1"/>
  <c r="Y165" i="1" s="1"/>
  <c r="Z165" i="1" s="1"/>
  <c r="AB165" i="1" s="1"/>
  <c r="AC165" i="1" s="1"/>
  <c r="AD165" i="1" s="1"/>
  <c r="AF165" i="1" s="1"/>
  <c r="AG165" i="1" s="1"/>
  <c r="AH165" i="1" s="1"/>
  <c r="AJ165" i="1" s="1"/>
  <c r="AK165" i="1" s="1"/>
  <c r="AL165" i="1" s="1"/>
  <c r="AN165" i="1" s="1"/>
  <c r="AO165" i="1" s="1"/>
  <c r="AP165" i="1" s="1"/>
  <c r="AR165" i="1" s="1"/>
  <c r="AS165" i="1" s="1"/>
  <c r="AT165" i="1" s="1"/>
  <c r="AV165" i="1" s="1"/>
  <c r="AW165" i="1" s="1"/>
  <c r="AX165" i="1" s="1"/>
  <c r="AZ165" i="1" s="1"/>
  <c r="BA165" i="1" s="1"/>
  <c r="BB165" i="1" s="1"/>
  <c r="BD165" i="1" s="1"/>
  <c r="BE165" i="1" s="1"/>
  <c r="BF165" i="1" s="1"/>
  <c r="BH165" i="1" s="1"/>
  <c r="BI165" i="1" s="1"/>
  <c r="BJ165" i="1" s="1"/>
  <c r="BL165" i="1" s="1"/>
  <c r="BM165" i="1" s="1"/>
  <c r="BN165" i="1" s="1"/>
  <c r="BP165" i="1" s="1"/>
  <c r="BQ165" i="1" s="1"/>
  <c r="BR165" i="1" s="1"/>
  <c r="BT165" i="1" s="1"/>
  <c r="BU165" i="1" s="1"/>
  <c r="BV165" i="1" s="1"/>
  <c r="BX165" i="1" s="1"/>
  <c r="BY165" i="1" s="1"/>
  <c r="BZ165" i="1" s="1"/>
  <c r="M163" i="1"/>
  <c r="N163" i="1" s="1"/>
  <c r="P163" i="1" s="1"/>
  <c r="Q163" i="1" s="1"/>
  <c r="R163" i="1" s="1"/>
  <c r="T163" i="1" s="1"/>
  <c r="U163" i="1" s="1"/>
  <c r="V163" i="1" s="1"/>
  <c r="X163" i="1" s="1"/>
  <c r="Y163" i="1" s="1"/>
  <c r="Z163" i="1" s="1"/>
  <c r="AB163" i="1" s="1"/>
  <c r="AC163" i="1" s="1"/>
  <c r="AD163" i="1" s="1"/>
  <c r="AF163" i="1" s="1"/>
  <c r="AG163" i="1" s="1"/>
  <c r="AH163" i="1" s="1"/>
  <c r="AJ163" i="1" s="1"/>
  <c r="AK163" i="1" s="1"/>
  <c r="AL163" i="1" s="1"/>
  <c r="AN163" i="1" s="1"/>
  <c r="AO163" i="1" s="1"/>
  <c r="AP163" i="1" s="1"/>
  <c r="AR163" i="1" s="1"/>
  <c r="AS163" i="1" s="1"/>
  <c r="AT163" i="1" s="1"/>
  <c r="AV163" i="1" s="1"/>
  <c r="AW163" i="1" s="1"/>
  <c r="AX163" i="1" s="1"/>
  <c r="AZ163" i="1" s="1"/>
  <c r="BA163" i="1" s="1"/>
  <c r="BB163" i="1" s="1"/>
  <c r="M161" i="1"/>
  <c r="N161" i="1" s="1"/>
  <c r="P161" i="1" s="1"/>
  <c r="Q161" i="1" s="1"/>
  <c r="R161" i="1" s="1"/>
  <c r="T161" i="1" s="1"/>
  <c r="U161" i="1" s="1"/>
  <c r="V161" i="1" s="1"/>
  <c r="X161" i="1" s="1"/>
  <c r="Y161" i="1" s="1"/>
  <c r="Z161" i="1" s="1"/>
  <c r="AB161" i="1" s="1"/>
  <c r="AC161" i="1" s="1"/>
  <c r="AD161" i="1" s="1"/>
  <c r="AF161" i="1" s="1"/>
  <c r="AG161" i="1" s="1"/>
  <c r="AH161" i="1" s="1"/>
  <c r="AJ161" i="1" s="1"/>
  <c r="AK161" i="1" s="1"/>
  <c r="AL161" i="1" s="1"/>
  <c r="AN161" i="1" s="1"/>
  <c r="AO161" i="1" s="1"/>
  <c r="AP161" i="1" s="1"/>
  <c r="AR161" i="1" s="1"/>
  <c r="AS161" i="1" s="1"/>
  <c r="AT161" i="1" s="1"/>
  <c r="AV161" i="1" s="1"/>
  <c r="AW161" i="1" s="1"/>
  <c r="AX161" i="1" s="1"/>
  <c r="AZ161" i="1" s="1"/>
  <c r="BA161" i="1" s="1"/>
  <c r="BB161" i="1" s="1"/>
  <c r="BD161" i="1" s="1"/>
  <c r="BE161" i="1" s="1"/>
  <c r="BF161" i="1" s="1"/>
  <c r="BH161" i="1" s="1"/>
  <c r="BI161" i="1" s="1"/>
  <c r="BJ161" i="1" s="1"/>
  <c r="BL161" i="1" s="1"/>
  <c r="BM161" i="1" s="1"/>
  <c r="BN161" i="1" s="1"/>
  <c r="BP161" i="1" s="1"/>
  <c r="BQ161" i="1" s="1"/>
  <c r="BR161" i="1" s="1"/>
  <c r="BT161" i="1" s="1"/>
  <c r="BU161" i="1" s="1"/>
  <c r="BV161" i="1" s="1"/>
  <c r="BX161" i="1" s="1"/>
  <c r="BY161" i="1" s="1"/>
  <c r="BZ161" i="1" s="1"/>
  <c r="M159" i="1"/>
  <c r="N159" i="1" s="1"/>
  <c r="P159" i="1" s="1"/>
  <c r="Q159" i="1" s="1"/>
  <c r="R159" i="1" s="1"/>
  <c r="T159" i="1" s="1"/>
  <c r="U159" i="1" s="1"/>
  <c r="V159" i="1" s="1"/>
  <c r="X159" i="1" s="1"/>
  <c r="Y159" i="1" s="1"/>
  <c r="Z159" i="1" s="1"/>
  <c r="AB159" i="1" s="1"/>
  <c r="AC159" i="1" s="1"/>
  <c r="AD159" i="1" s="1"/>
  <c r="AF159" i="1" s="1"/>
  <c r="AG159" i="1" s="1"/>
  <c r="AH159" i="1" s="1"/>
  <c r="AJ159" i="1" s="1"/>
  <c r="AK159" i="1" s="1"/>
  <c r="AL159" i="1" s="1"/>
  <c r="AN159" i="1" s="1"/>
  <c r="AO159" i="1" s="1"/>
  <c r="AP159" i="1" s="1"/>
  <c r="AR159" i="1" s="1"/>
  <c r="AS159" i="1" s="1"/>
  <c r="AT159" i="1" s="1"/>
  <c r="AV159" i="1" s="1"/>
  <c r="AW159" i="1" s="1"/>
  <c r="AX159" i="1" s="1"/>
  <c r="AZ159" i="1" s="1"/>
  <c r="BA159" i="1" s="1"/>
  <c r="BB159" i="1" s="1"/>
  <c r="M157" i="1"/>
  <c r="N157" i="1" s="1"/>
  <c r="P157" i="1" s="1"/>
  <c r="Q157" i="1" s="1"/>
  <c r="R157" i="1" s="1"/>
  <c r="T157" i="1" s="1"/>
  <c r="U157" i="1" s="1"/>
  <c r="V157" i="1" s="1"/>
  <c r="X157" i="1" s="1"/>
  <c r="Y157" i="1" s="1"/>
  <c r="Z157" i="1" s="1"/>
  <c r="AB157" i="1" s="1"/>
  <c r="AC157" i="1" s="1"/>
  <c r="AD157" i="1" s="1"/>
  <c r="AF157" i="1" s="1"/>
  <c r="AG157" i="1" s="1"/>
  <c r="AH157" i="1" s="1"/>
  <c r="AJ157" i="1" s="1"/>
  <c r="AK157" i="1" s="1"/>
  <c r="AL157" i="1" s="1"/>
  <c r="AN157" i="1" s="1"/>
  <c r="AO157" i="1" s="1"/>
  <c r="AP157" i="1" s="1"/>
  <c r="AR157" i="1" s="1"/>
  <c r="AS157" i="1" s="1"/>
  <c r="AT157" i="1" s="1"/>
  <c r="AV157" i="1" s="1"/>
  <c r="AW157" i="1" s="1"/>
  <c r="AX157" i="1" s="1"/>
  <c r="AZ157" i="1" s="1"/>
  <c r="BA157" i="1" s="1"/>
  <c r="BB157" i="1" s="1"/>
  <c r="BD157" i="1" s="1"/>
  <c r="BE157" i="1" s="1"/>
  <c r="BF157" i="1" s="1"/>
  <c r="BH157" i="1" s="1"/>
  <c r="BI157" i="1" s="1"/>
  <c r="BJ157" i="1" s="1"/>
  <c r="BL157" i="1" s="1"/>
  <c r="BM157" i="1" s="1"/>
  <c r="BN157" i="1" s="1"/>
  <c r="BP157" i="1" s="1"/>
  <c r="BQ157" i="1" s="1"/>
  <c r="BR157" i="1" s="1"/>
  <c r="BT157" i="1" s="1"/>
  <c r="BU157" i="1" s="1"/>
  <c r="BV157" i="1" s="1"/>
  <c r="BX157" i="1" s="1"/>
  <c r="BY157" i="1" s="1"/>
  <c r="BZ157" i="1" s="1"/>
  <c r="M155" i="1"/>
  <c r="N155" i="1" s="1"/>
  <c r="P155" i="1" s="1"/>
  <c r="Q155" i="1" s="1"/>
  <c r="R155" i="1" s="1"/>
  <c r="T155" i="1" s="1"/>
  <c r="U155" i="1" s="1"/>
  <c r="V155" i="1" s="1"/>
  <c r="X155" i="1" s="1"/>
  <c r="Y155" i="1" s="1"/>
  <c r="Z155" i="1" s="1"/>
  <c r="AB155" i="1" s="1"/>
  <c r="AC155" i="1" s="1"/>
  <c r="AD155" i="1" s="1"/>
  <c r="AF155" i="1" s="1"/>
  <c r="AG155" i="1" s="1"/>
  <c r="AH155" i="1" s="1"/>
  <c r="AJ155" i="1" s="1"/>
  <c r="AK155" i="1" s="1"/>
  <c r="AL155" i="1" s="1"/>
  <c r="AN155" i="1" s="1"/>
  <c r="AO155" i="1" s="1"/>
  <c r="AP155" i="1" s="1"/>
  <c r="AR155" i="1" s="1"/>
  <c r="AS155" i="1" s="1"/>
  <c r="AT155" i="1" s="1"/>
  <c r="AV155" i="1" s="1"/>
  <c r="AW155" i="1" s="1"/>
  <c r="AX155" i="1" s="1"/>
  <c r="AZ155" i="1" s="1"/>
  <c r="BA155" i="1" s="1"/>
  <c r="BB155" i="1" s="1"/>
  <c r="M153" i="1"/>
  <c r="N153" i="1" s="1"/>
  <c r="P153" i="1" s="1"/>
  <c r="Q153" i="1" s="1"/>
  <c r="R153" i="1" s="1"/>
  <c r="T153" i="1" s="1"/>
  <c r="U153" i="1" s="1"/>
  <c r="V153" i="1" s="1"/>
  <c r="X153" i="1" s="1"/>
  <c r="Y153" i="1" s="1"/>
  <c r="Z153" i="1" s="1"/>
  <c r="AB153" i="1" s="1"/>
  <c r="AC153" i="1" s="1"/>
  <c r="AD153" i="1" s="1"/>
  <c r="AF153" i="1" s="1"/>
  <c r="AG153" i="1" s="1"/>
  <c r="AH153" i="1" s="1"/>
  <c r="AJ153" i="1" s="1"/>
  <c r="AK153" i="1" s="1"/>
  <c r="AL153" i="1" s="1"/>
  <c r="AN153" i="1" s="1"/>
  <c r="AO153" i="1" s="1"/>
  <c r="AP153" i="1" s="1"/>
  <c r="AR153" i="1" s="1"/>
  <c r="AS153" i="1" s="1"/>
  <c r="AT153" i="1" s="1"/>
  <c r="AV153" i="1" s="1"/>
  <c r="AW153" i="1" s="1"/>
  <c r="AX153" i="1" s="1"/>
  <c r="AZ153" i="1" s="1"/>
  <c r="BA153" i="1" s="1"/>
  <c r="BB153" i="1" s="1"/>
  <c r="BD153" i="1" s="1"/>
  <c r="BE153" i="1" s="1"/>
  <c r="BF153" i="1" s="1"/>
  <c r="BH153" i="1" s="1"/>
  <c r="BI153" i="1" s="1"/>
  <c r="BJ153" i="1" s="1"/>
  <c r="BL153" i="1" s="1"/>
  <c r="BM153" i="1" s="1"/>
  <c r="BN153" i="1" s="1"/>
  <c r="BP153" i="1" s="1"/>
  <c r="BQ153" i="1" s="1"/>
  <c r="BR153" i="1" s="1"/>
  <c r="BT153" i="1" s="1"/>
  <c r="BU153" i="1" s="1"/>
  <c r="BV153" i="1" s="1"/>
  <c r="BX153" i="1" s="1"/>
  <c r="BY153" i="1" s="1"/>
  <c r="BZ153" i="1" s="1"/>
  <c r="BP151" i="1"/>
  <c r="BQ151" i="1" s="1"/>
  <c r="BR151" i="1" s="1"/>
  <c r="M151" i="1"/>
  <c r="N151" i="1" s="1"/>
  <c r="P151" i="1" s="1"/>
  <c r="Q151" i="1" s="1"/>
  <c r="R151" i="1" s="1"/>
  <c r="T151" i="1" s="1"/>
  <c r="U151" i="1" s="1"/>
  <c r="V151" i="1" s="1"/>
  <c r="X151" i="1" s="1"/>
  <c r="Y151" i="1" s="1"/>
  <c r="Z151" i="1" s="1"/>
  <c r="AB151" i="1" s="1"/>
  <c r="AC151" i="1" s="1"/>
  <c r="AD151" i="1" s="1"/>
  <c r="AF151" i="1" s="1"/>
  <c r="AG151" i="1" s="1"/>
  <c r="AH151" i="1" s="1"/>
  <c r="AJ151" i="1" s="1"/>
  <c r="AK151" i="1" s="1"/>
  <c r="AL151" i="1" s="1"/>
  <c r="AN151" i="1" s="1"/>
  <c r="AO151" i="1" s="1"/>
  <c r="AP151" i="1" s="1"/>
  <c r="AR151" i="1" s="1"/>
  <c r="AS151" i="1" s="1"/>
  <c r="AT151" i="1" s="1"/>
  <c r="M147" i="1"/>
  <c r="N147" i="1" s="1"/>
  <c r="P147" i="1" s="1"/>
  <c r="Q147" i="1" s="1"/>
  <c r="R147" i="1" s="1"/>
  <c r="T147" i="1" s="1"/>
  <c r="U147" i="1" s="1"/>
  <c r="V147" i="1" s="1"/>
  <c r="X147" i="1" s="1"/>
  <c r="Y147" i="1" s="1"/>
  <c r="Z147" i="1" s="1"/>
  <c r="AB147" i="1" s="1"/>
  <c r="AC147" i="1" s="1"/>
  <c r="AD147" i="1" s="1"/>
  <c r="AF147" i="1" s="1"/>
  <c r="AG147" i="1" s="1"/>
  <c r="AH147" i="1" s="1"/>
  <c r="AJ147" i="1" s="1"/>
  <c r="AK147" i="1" s="1"/>
  <c r="AL147" i="1" s="1"/>
  <c r="AN147" i="1" s="1"/>
  <c r="AO147" i="1" s="1"/>
  <c r="AP147" i="1" s="1"/>
  <c r="AR147" i="1" s="1"/>
  <c r="AS147" i="1" s="1"/>
  <c r="AT147" i="1" s="1"/>
  <c r="AV147" i="1" s="1"/>
  <c r="AW147" i="1" s="1"/>
  <c r="AX147" i="1" s="1"/>
  <c r="AZ147" i="1" s="1"/>
  <c r="BA147" i="1" s="1"/>
  <c r="BB147" i="1" s="1"/>
  <c r="BD147" i="1" s="1"/>
  <c r="BE147" i="1" s="1"/>
  <c r="BF147" i="1" s="1"/>
  <c r="BH147" i="1" s="1"/>
  <c r="BI147" i="1" s="1"/>
  <c r="BJ147" i="1" s="1"/>
  <c r="BL147" i="1" s="1"/>
  <c r="BM147" i="1" s="1"/>
  <c r="BN147" i="1" s="1"/>
  <c r="BP147" i="1" s="1"/>
  <c r="BQ147" i="1" s="1"/>
  <c r="BR147" i="1" s="1"/>
  <c r="BT147" i="1" s="1"/>
  <c r="BU147" i="1" s="1"/>
  <c r="BV147" i="1" s="1"/>
  <c r="BX147" i="1" s="1"/>
  <c r="BY147" i="1" s="1"/>
  <c r="BZ147" i="1" s="1"/>
  <c r="CB147" i="1" s="1"/>
  <c r="CC147" i="1" s="1"/>
  <c r="CD147" i="1" s="1"/>
  <c r="CF147" i="1" s="1"/>
  <c r="AY253" i="1" l="1"/>
  <c r="AZ253" i="1"/>
  <c r="BA253" i="1" s="1"/>
  <c r="BB253" i="1" s="1"/>
  <c r="BD253" i="1" s="1"/>
  <c r="BE253" i="1" s="1"/>
  <c r="BF253" i="1" s="1"/>
  <c r="BH253" i="1" s="1"/>
  <c r="BI253" i="1" s="1"/>
  <c r="BJ253" i="1" s="1"/>
  <c r="BL253" i="1" s="1"/>
  <c r="BM253" i="1" s="1"/>
  <c r="BN253" i="1" s="1"/>
  <c r="BP253" i="1" s="1"/>
  <c r="BQ253" i="1" s="1"/>
  <c r="BR253" i="1" s="1"/>
  <c r="BT253" i="1" s="1"/>
  <c r="BU253" i="1" s="1"/>
  <c r="BV253" i="1" s="1"/>
  <c r="BX253" i="1" s="1"/>
  <c r="BY253" i="1" s="1"/>
  <c r="BZ253" i="1" s="1"/>
  <c r="AZ251" i="1"/>
  <c r="BA251" i="1" s="1"/>
  <c r="BB251" i="1" s="1"/>
  <c r="BD251" i="1" s="1"/>
  <c r="BE251" i="1" s="1"/>
  <c r="BF251" i="1" s="1"/>
  <c r="BH251" i="1" s="1"/>
  <c r="BI251" i="1" s="1"/>
  <c r="BJ251" i="1" s="1"/>
  <c r="BL251" i="1" s="1"/>
  <c r="BM251" i="1" s="1"/>
  <c r="BN251" i="1" s="1"/>
  <c r="BP251" i="1" s="1"/>
  <c r="BQ251" i="1" s="1"/>
  <c r="BR251" i="1" s="1"/>
  <c r="BT251" i="1" s="1"/>
  <c r="BU251" i="1" s="1"/>
  <c r="BV251" i="1" s="1"/>
  <c r="BX251" i="1" s="1"/>
  <c r="BY251" i="1" s="1"/>
  <c r="BZ251" i="1" s="1"/>
  <c r="AY251" i="1"/>
  <c r="R215" i="1"/>
  <c r="T215" i="1" s="1"/>
  <c r="U215" i="1" s="1"/>
  <c r="V215" i="1" s="1"/>
  <c r="X215" i="1" s="1"/>
  <c r="Y215" i="1" s="1"/>
  <c r="Z215" i="1" s="1"/>
  <c r="AB215" i="1" s="1"/>
  <c r="AC215" i="1" s="1"/>
  <c r="AD215" i="1" s="1"/>
  <c r="AF215" i="1" s="1"/>
  <c r="AG215" i="1" s="1"/>
  <c r="AH215" i="1" s="1"/>
  <c r="AJ215" i="1" s="1"/>
  <c r="AK215" i="1" s="1"/>
  <c r="AL215" i="1" s="1"/>
  <c r="AN215" i="1" s="1"/>
  <c r="AO215" i="1" s="1"/>
  <c r="AP215" i="1" s="1"/>
  <c r="AR215" i="1" s="1"/>
  <c r="AS215" i="1" s="1"/>
  <c r="AT215" i="1" s="1"/>
  <c r="AV215" i="1" s="1"/>
  <c r="AW215" i="1" s="1"/>
  <c r="AX215" i="1" s="1"/>
  <c r="AZ215" i="1" s="1"/>
  <c r="BA215" i="1" s="1"/>
  <c r="BB215" i="1" s="1"/>
  <c r="BD215" i="1" s="1"/>
  <c r="BE215" i="1" s="1"/>
  <c r="BF215" i="1" s="1"/>
  <c r="BH215" i="1" s="1"/>
  <c r="BI215" i="1" s="1"/>
  <c r="BJ215" i="1" s="1"/>
  <c r="BL215" i="1" s="1"/>
  <c r="BM215" i="1" s="1"/>
  <c r="BN215" i="1" s="1"/>
  <c r="BP215" i="1" s="1"/>
  <c r="BQ215" i="1" s="1"/>
  <c r="BR215" i="1" s="1"/>
  <c r="BT215" i="1" s="1"/>
  <c r="BU215" i="1" s="1"/>
  <c r="BV215" i="1" s="1"/>
  <c r="BX215" i="1" s="1"/>
  <c r="BY215" i="1" s="1"/>
  <c r="BZ215" i="1" s="1"/>
  <c r="Q209" i="1"/>
  <c r="R209" i="1" s="1"/>
  <c r="T209" i="1" s="1"/>
  <c r="U209" i="1" s="1"/>
  <c r="V209" i="1" s="1"/>
  <c r="X209" i="1" s="1"/>
  <c r="Y209" i="1" s="1"/>
  <c r="Z209" i="1" s="1"/>
  <c r="AB209" i="1" s="1"/>
  <c r="AC209" i="1" s="1"/>
  <c r="AD209" i="1" s="1"/>
  <c r="AF209" i="1" s="1"/>
  <c r="AG209" i="1" s="1"/>
  <c r="AH209" i="1" s="1"/>
  <c r="AJ209" i="1" s="1"/>
  <c r="AK209" i="1" s="1"/>
  <c r="AL209" i="1" s="1"/>
  <c r="AN209" i="1" s="1"/>
  <c r="AO209" i="1" s="1"/>
  <c r="AP209" i="1" s="1"/>
  <c r="AR209" i="1" s="1"/>
  <c r="AS209" i="1" s="1"/>
  <c r="AT209" i="1" s="1"/>
  <c r="AV209" i="1" s="1"/>
  <c r="AW209" i="1" s="1"/>
  <c r="AX209" i="1" s="1"/>
  <c r="AZ209" i="1" s="1"/>
  <c r="BA209" i="1" s="1"/>
  <c r="BB209" i="1" s="1"/>
  <c r="BD209" i="1" s="1"/>
  <c r="BE209" i="1" s="1"/>
  <c r="BF209" i="1" s="1"/>
  <c r="BH209" i="1" s="1"/>
  <c r="BI209" i="1" s="1"/>
  <c r="BJ209" i="1" s="1"/>
  <c r="BL209" i="1" s="1"/>
  <c r="BM209" i="1" s="1"/>
  <c r="BN209" i="1" s="1"/>
  <c r="BP209" i="1" s="1"/>
  <c r="BQ209" i="1" s="1"/>
  <c r="BR209" i="1" s="1"/>
  <c r="BT209" i="1" s="1"/>
  <c r="BU209" i="1" s="1"/>
  <c r="BV209" i="1" s="1"/>
  <c r="BX209" i="1" s="1"/>
  <c r="BY209" i="1" s="1"/>
  <c r="BZ209" i="1" s="1"/>
  <c r="AV213" i="1"/>
  <c r="AW213" i="1" s="1"/>
  <c r="AX213" i="1" s="1"/>
  <c r="AU213" i="1"/>
  <c r="AV211" i="1"/>
  <c r="AW211" i="1" s="1"/>
  <c r="AX211" i="1" s="1"/>
  <c r="AU211" i="1"/>
  <c r="AU195" i="1"/>
  <c r="AV195" i="1"/>
  <c r="AW195" i="1" s="1"/>
  <c r="AX195" i="1" s="1"/>
  <c r="V169" i="1"/>
  <c r="X169" i="1" s="1"/>
  <c r="AV175" i="1"/>
  <c r="AW175" i="1" s="1"/>
  <c r="AX175" i="1" s="1"/>
  <c r="AU175" i="1"/>
  <c r="AV167" i="1"/>
  <c r="AW167" i="1" s="1"/>
  <c r="AX167" i="1" s="1"/>
  <c r="AU167" i="1"/>
  <c r="AU151" i="1"/>
  <c r="AV151" i="1"/>
  <c r="AW151" i="1" s="1"/>
  <c r="AX151" i="1" s="1"/>
  <c r="BP145" i="1"/>
  <c r="BQ145" i="1" s="1"/>
  <c r="BR145" i="1" s="1"/>
  <c r="BP143" i="1"/>
  <c r="BQ143" i="1" s="1"/>
  <c r="BR143" i="1" s="1"/>
  <c r="N143" i="1"/>
  <c r="P143" i="1" s="1"/>
  <c r="Q143" i="1" s="1"/>
  <c r="R143" i="1" s="1"/>
  <c r="T143" i="1" s="1"/>
  <c r="U143" i="1" s="1"/>
  <c r="V143" i="1" s="1"/>
  <c r="X143" i="1" s="1"/>
  <c r="Y143" i="1" s="1"/>
  <c r="Z143" i="1" s="1"/>
  <c r="AB143" i="1" s="1"/>
  <c r="AC143" i="1" s="1"/>
  <c r="AD143" i="1" s="1"/>
  <c r="AF143" i="1" s="1"/>
  <c r="AG143" i="1" s="1"/>
  <c r="AH143" i="1" s="1"/>
  <c r="AJ143" i="1" s="1"/>
  <c r="AK143" i="1" s="1"/>
  <c r="AL143" i="1" s="1"/>
  <c r="AN143" i="1" s="1"/>
  <c r="AO143" i="1" s="1"/>
  <c r="AP143" i="1" s="1"/>
  <c r="AR143" i="1" s="1"/>
  <c r="AS143" i="1" s="1"/>
  <c r="AT143" i="1" s="1"/>
  <c r="BP141" i="1"/>
  <c r="BQ141" i="1" s="1"/>
  <c r="BR141" i="1" s="1"/>
  <c r="N141" i="1"/>
  <c r="P141" i="1" s="1"/>
  <c r="Q141" i="1" s="1"/>
  <c r="R141" i="1" s="1"/>
  <c r="T141" i="1" s="1"/>
  <c r="U141" i="1" s="1"/>
  <c r="V141" i="1" s="1"/>
  <c r="X141" i="1" s="1"/>
  <c r="Y141" i="1" s="1"/>
  <c r="Z141" i="1" s="1"/>
  <c r="AB141" i="1" s="1"/>
  <c r="AC141" i="1" s="1"/>
  <c r="AD141" i="1" s="1"/>
  <c r="AF141" i="1" s="1"/>
  <c r="AG141" i="1" s="1"/>
  <c r="AH141" i="1" s="1"/>
  <c r="AJ141" i="1" s="1"/>
  <c r="AK141" i="1" s="1"/>
  <c r="AL141" i="1" s="1"/>
  <c r="AN141" i="1" s="1"/>
  <c r="AO141" i="1" s="1"/>
  <c r="AP141" i="1" s="1"/>
  <c r="AR141" i="1" s="1"/>
  <c r="AS141" i="1" s="1"/>
  <c r="AT141" i="1" s="1"/>
  <c r="BP139" i="1"/>
  <c r="BQ139" i="1" s="1"/>
  <c r="BR139" i="1" s="1"/>
  <c r="M139" i="1"/>
  <c r="N139" i="1" s="1"/>
  <c r="P139" i="1" s="1"/>
  <c r="Q139" i="1" s="1"/>
  <c r="R139" i="1" s="1"/>
  <c r="T139" i="1" s="1"/>
  <c r="U139" i="1" s="1"/>
  <c r="V139" i="1" s="1"/>
  <c r="X139" i="1" s="1"/>
  <c r="Y139" i="1" s="1"/>
  <c r="Z139" i="1" s="1"/>
  <c r="AB139" i="1" s="1"/>
  <c r="AC139" i="1" s="1"/>
  <c r="AD139" i="1" s="1"/>
  <c r="AF139" i="1" s="1"/>
  <c r="AG139" i="1" s="1"/>
  <c r="AH139" i="1" s="1"/>
  <c r="AJ139" i="1" s="1"/>
  <c r="AK139" i="1" s="1"/>
  <c r="AL139" i="1" s="1"/>
  <c r="AN139" i="1" s="1"/>
  <c r="AO139" i="1" s="1"/>
  <c r="AP139" i="1" s="1"/>
  <c r="AR139" i="1" s="1"/>
  <c r="AS139" i="1" s="1"/>
  <c r="AT139" i="1" s="1"/>
  <c r="M137" i="1"/>
  <c r="N137" i="1" s="1"/>
  <c r="P137" i="1" s="1"/>
  <c r="Q137" i="1" s="1"/>
  <c r="R137" i="1" s="1"/>
  <c r="T137" i="1" s="1"/>
  <c r="U137" i="1" s="1"/>
  <c r="V137" i="1" s="1"/>
  <c r="X137" i="1" s="1"/>
  <c r="Y137" i="1" s="1"/>
  <c r="Z137" i="1" s="1"/>
  <c r="AB137" i="1" s="1"/>
  <c r="AC137" i="1" s="1"/>
  <c r="AD137" i="1" s="1"/>
  <c r="AF137" i="1" s="1"/>
  <c r="AG137" i="1" s="1"/>
  <c r="AH137" i="1" s="1"/>
  <c r="AJ137" i="1" s="1"/>
  <c r="AK137" i="1" s="1"/>
  <c r="AL137" i="1" s="1"/>
  <c r="AN137" i="1" s="1"/>
  <c r="AO137" i="1" s="1"/>
  <c r="AP137" i="1" s="1"/>
  <c r="AR137" i="1" s="1"/>
  <c r="AS137" i="1" s="1"/>
  <c r="AT137" i="1" s="1"/>
  <c r="AV137" i="1" s="1"/>
  <c r="AW137" i="1" s="1"/>
  <c r="AX137" i="1" s="1"/>
  <c r="AZ137" i="1" s="1"/>
  <c r="BA137" i="1" s="1"/>
  <c r="BB137" i="1" s="1"/>
  <c r="BD137" i="1" s="1"/>
  <c r="BE137" i="1" s="1"/>
  <c r="BF137" i="1" s="1"/>
  <c r="BH137" i="1" s="1"/>
  <c r="BI137" i="1" s="1"/>
  <c r="BJ137" i="1" s="1"/>
  <c r="BL137" i="1" s="1"/>
  <c r="BM137" i="1" s="1"/>
  <c r="BN137" i="1" s="1"/>
  <c r="BP137" i="1" s="1"/>
  <c r="BQ137" i="1" s="1"/>
  <c r="BR137" i="1" s="1"/>
  <c r="BT137" i="1" s="1"/>
  <c r="BU137" i="1" s="1"/>
  <c r="BV137" i="1" s="1"/>
  <c r="BX137" i="1" s="1"/>
  <c r="BY137" i="1" s="1"/>
  <c r="BZ137" i="1" s="1"/>
  <c r="CB137" i="1" s="1"/>
  <c r="CC137" i="1" s="1"/>
  <c r="CD137" i="1" s="1"/>
  <c r="CF137" i="1" s="1"/>
  <c r="M135" i="1"/>
  <c r="N135" i="1" s="1"/>
  <c r="P135" i="1" s="1"/>
  <c r="Q135" i="1" s="1"/>
  <c r="R135" i="1" s="1"/>
  <c r="T135" i="1" s="1"/>
  <c r="U135" i="1" s="1"/>
  <c r="V135" i="1" s="1"/>
  <c r="X135" i="1" s="1"/>
  <c r="Y135" i="1" s="1"/>
  <c r="Z135" i="1" s="1"/>
  <c r="AB135" i="1" s="1"/>
  <c r="AC135" i="1" s="1"/>
  <c r="AD135" i="1" s="1"/>
  <c r="AF135" i="1" s="1"/>
  <c r="AG135" i="1" s="1"/>
  <c r="AH135" i="1" s="1"/>
  <c r="AJ135" i="1" s="1"/>
  <c r="AK135" i="1" s="1"/>
  <c r="AL135" i="1" s="1"/>
  <c r="AN135" i="1" s="1"/>
  <c r="AO135" i="1" s="1"/>
  <c r="AP135" i="1" s="1"/>
  <c r="AR135" i="1" s="1"/>
  <c r="AS135" i="1" s="1"/>
  <c r="AT135" i="1" s="1"/>
  <c r="AV135" i="1" s="1"/>
  <c r="AW135" i="1" s="1"/>
  <c r="AX135" i="1" s="1"/>
  <c r="AZ135" i="1" s="1"/>
  <c r="BA135" i="1" s="1"/>
  <c r="BB135" i="1" s="1"/>
  <c r="N133" i="1"/>
  <c r="P133" i="1" s="1"/>
  <c r="Q133" i="1" s="1"/>
  <c r="R133" i="1" s="1"/>
  <c r="T133" i="1" s="1"/>
  <c r="U133" i="1" s="1"/>
  <c r="V133" i="1" s="1"/>
  <c r="X133" i="1" s="1"/>
  <c r="Y133" i="1" s="1"/>
  <c r="Z133" i="1" s="1"/>
  <c r="AB133" i="1" s="1"/>
  <c r="AC133" i="1" s="1"/>
  <c r="AD133" i="1" s="1"/>
  <c r="AF133" i="1" s="1"/>
  <c r="AG133" i="1" s="1"/>
  <c r="AH133" i="1" s="1"/>
  <c r="AJ133" i="1" s="1"/>
  <c r="AK133" i="1" s="1"/>
  <c r="AL133" i="1" s="1"/>
  <c r="AN133" i="1" s="1"/>
  <c r="AO133" i="1" s="1"/>
  <c r="AP133" i="1" s="1"/>
  <c r="AR133" i="1" s="1"/>
  <c r="AS133" i="1" s="1"/>
  <c r="AT133" i="1" s="1"/>
  <c r="AV133" i="1" s="1"/>
  <c r="AW133" i="1" s="1"/>
  <c r="AX133" i="1" s="1"/>
  <c r="AZ133" i="1" s="1"/>
  <c r="BA133" i="1" s="1"/>
  <c r="BB133" i="1" s="1"/>
  <c r="BD133" i="1" s="1"/>
  <c r="BE133" i="1" s="1"/>
  <c r="BF133" i="1" s="1"/>
  <c r="BH133" i="1" s="1"/>
  <c r="BI133" i="1" s="1"/>
  <c r="BJ133" i="1" s="1"/>
  <c r="BL133" i="1" s="1"/>
  <c r="BM133" i="1" s="1"/>
  <c r="BN133" i="1" s="1"/>
  <c r="BP133" i="1" s="1"/>
  <c r="BQ133" i="1" s="1"/>
  <c r="BR133" i="1" s="1"/>
  <c r="BT133" i="1" s="1"/>
  <c r="BU133" i="1" s="1"/>
  <c r="BV133" i="1" s="1"/>
  <c r="BX133" i="1" s="1"/>
  <c r="BY133" i="1" s="1"/>
  <c r="BZ133" i="1" s="1"/>
  <c r="N131" i="1"/>
  <c r="P131" i="1" s="1"/>
  <c r="Q131" i="1" s="1"/>
  <c r="R131" i="1" s="1"/>
  <c r="T131" i="1" s="1"/>
  <c r="U131" i="1" s="1"/>
  <c r="V131" i="1" s="1"/>
  <c r="X131" i="1" s="1"/>
  <c r="Y131" i="1" s="1"/>
  <c r="Z131" i="1" s="1"/>
  <c r="AB131" i="1" s="1"/>
  <c r="AC131" i="1" s="1"/>
  <c r="AD131" i="1" s="1"/>
  <c r="AF131" i="1" s="1"/>
  <c r="AG131" i="1" s="1"/>
  <c r="AH131" i="1" s="1"/>
  <c r="AJ131" i="1" s="1"/>
  <c r="AK131" i="1" s="1"/>
  <c r="AL131" i="1" s="1"/>
  <c r="AN131" i="1" s="1"/>
  <c r="AO131" i="1" s="1"/>
  <c r="AP131" i="1" s="1"/>
  <c r="AR131" i="1" s="1"/>
  <c r="AS131" i="1" s="1"/>
  <c r="AT131" i="1" s="1"/>
  <c r="AV131" i="1" s="1"/>
  <c r="AW131" i="1" s="1"/>
  <c r="AX131" i="1" s="1"/>
  <c r="AZ131" i="1" s="1"/>
  <c r="BA131" i="1" s="1"/>
  <c r="BB131" i="1" s="1"/>
  <c r="BD131" i="1" s="1"/>
  <c r="BE131" i="1" s="1"/>
  <c r="BF131" i="1" s="1"/>
  <c r="BH131" i="1" s="1"/>
  <c r="BI131" i="1" s="1"/>
  <c r="BJ131" i="1" s="1"/>
  <c r="BL131" i="1" s="1"/>
  <c r="BM131" i="1" s="1"/>
  <c r="BN131" i="1" s="1"/>
  <c r="BP131" i="1" s="1"/>
  <c r="BQ131" i="1" s="1"/>
  <c r="BR131" i="1" s="1"/>
  <c r="BT131" i="1" s="1"/>
  <c r="BU131" i="1" s="1"/>
  <c r="BV131" i="1" s="1"/>
  <c r="BX131" i="1" s="1"/>
  <c r="BY131" i="1" s="1"/>
  <c r="BZ131" i="1" s="1"/>
  <c r="N129" i="1"/>
  <c r="P129" i="1" s="1"/>
  <c r="Q129" i="1" s="1"/>
  <c r="R129" i="1" s="1"/>
  <c r="T129" i="1" s="1"/>
  <c r="U129" i="1" s="1"/>
  <c r="V129" i="1" s="1"/>
  <c r="X129" i="1" s="1"/>
  <c r="Y129" i="1" s="1"/>
  <c r="Z129" i="1" s="1"/>
  <c r="AB129" i="1" s="1"/>
  <c r="AC129" i="1" s="1"/>
  <c r="AD129" i="1" s="1"/>
  <c r="AF129" i="1" s="1"/>
  <c r="AG129" i="1" s="1"/>
  <c r="AH129" i="1" s="1"/>
  <c r="AJ129" i="1" s="1"/>
  <c r="AK129" i="1" s="1"/>
  <c r="AL129" i="1" s="1"/>
  <c r="AN129" i="1" s="1"/>
  <c r="AO129" i="1" s="1"/>
  <c r="AP129" i="1" s="1"/>
  <c r="AR129" i="1" s="1"/>
  <c r="AS129" i="1" s="1"/>
  <c r="AT129" i="1" s="1"/>
  <c r="AV129" i="1" s="1"/>
  <c r="AW129" i="1" s="1"/>
  <c r="AX129" i="1" s="1"/>
  <c r="AZ129" i="1" s="1"/>
  <c r="BA129" i="1" s="1"/>
  <c r="BB129" i="1" s="1"/>
  <c r="BD129" i="1" s="1"/>
  <c r="BE129" i="1" s="1"/>
  <c r="BF129" i="1" s="1"/>
  <c r="BH129" i="1" s="1"/>
  <c r="BI129" i="1" s="1"/>
  <c r="BJ129" i="1" s="1"/>
  <c r="BL129" i="1" s="1"/>
  <c r="BM129" i="1" s="1"/>
  <c r="BN129" i="1" s="1"/>
  <c r="BP129" i="1" s="1"/>
  <c r="BQ129" i="1" s="1"/>
  <c r="BR129" i="1" s="1"/>
  <c r="BT129" i="1" s="1"/>
  <c r="BU129" i="1" s="1"/>
  <c r="BV129" i="1" s="1"/>
  <c r="BX129" i="1" s="1"/>
  <c r="BY129" i="1" s="1"/>
  <c r="BZ129" i="1" s="1"/>
  <c r="M121" i="1"/>
  <c r="N121" i="1" s="1"/>
  <c r="P121" i="1" s="1"/>
  <c r="Q121" i="1" s="1"/>
  <c r="R121" i="1" s="1"/>
  <c r="T121" i="1" s="1"/>
  <c r="U121" i="1" s="1"/>
  <c r="V121" i="1" s="1"/>
  <c r="X121" i="1" s="1"/>
  <c r="Y121" i="1" s="1"/>
  <c r="Z121" i="1" s="1"/>
  <c r="AB121" i="1" s="1"/>
  <c r="AC121" i="1" s="1"/>
  <c r="AD121" i="1" s="1"/>
  <c r="AF121" i="1" s="1"/>
  <c r="AG121" i="1" s="1"/>
  <c r="AH121" i="1" s="1"/>
  <c r="AJ121" i="1" s="1"/>
  <c r="AK121" i="1" s="1"/>
  <c r="AL121" i="1" s="1"/>
  <c r="AN121" i="1" s="1"/>
  <c r="AO121" i="1" s="1"/>
  <c r="AP121" i="1" s="1"/>
  <c r="AR121" i="1" s="1"/>
  <c r="AS121" i="1" s="1"/>
  <c r="AT121" i="1" s="1"/>
  <c r="AV121" i="1" s="1"/>
  <c r="AW121" i="1" s="1"/>
  <c r="AX121" i="1" s="1"/>
  <c r="AZ121" i="1" s="1"/>
  <c r="BA121" i="1" s="1"/>
  <c r="BB121" i="1" s="1"/>
  <c r="BD121" i="1" s="1"/>
  <c r="BE121" i="1" s="1"/>
  <c r="BF121" i="1" s="1"/>
  <c r="BH121" i="1" s="1"/>
  <c r="BI121" i="1" s="1"/>
  <c r="BJ121" i="1" s="1"/>
  <c r="BL121" i="1" s="1"/>
  <c r="BM121" i="1" s="1"/>
  <c r="BN121" i="1" s="1"/>
  <c r="BP121" i="1" s="1"/>
  <c r="BQ121" i="1" s="1"/>
  <c r="BR121" i="1" s="1"/>
  <c r="BT121" i="1" s="1"/>
  <c r="BU121" i="1" s="1"/>
  <c r="BV121" i="1" s="1"/>
  <c r="BX121" i="1" s="1"/>
  <c r="BY121" i="1" s="1"/>
  <c r="BZ121" i="1" s="1"/>
  <c r="Q127" i="1"/>
  <c r="R127" i="1" s="1"/>
  <c r="T127" i="1" s="1"/>
  <c r="U127" i="1" s="1"/>
  <c r="V127" i="1" s="1"/>
  <c r="X127" i="1" s="1"/>
  <c r="Y127" i="1" s="1"/>
  <c r="Z127" i="1" s="1"/>
  <c r="AB127" i="1" s="1"/>
  <c r="AC127" i="1" s="1"/>
  <c r="AD127" i="1" s="1"/>
  <c r="AF127" i="1" s="1"/>
  <c r="AG127" i="1" s="1"/>
  <c r="AH127" i="1" s="1"/>
  <c r="AJ127" i="1" s="1"/>
  <c r="AK127" i="1" s="1"/>
  <c r="AL127" i="1" s="1"/>
  <c r="AN127" i="1" s="1"/>
  <c r="AO127" i="1" s="1"/>
  <c r="AP127" i="1" s="1"/>
  <c r="AR127" i="1" s="1"/>
  <c r="AS127" i="1" s="1"/>
  <c r="AT127" i="1" s="1"/>
  <c r="M127" i="1"/>
  <c r="N127" i="1" s="1"/>
  <c r="M123" i="1"/>
  <c r="N123" i="1" s="1"/>
  <c r="P123" i="1" s="1"/>
  <c r="Q123" i="1" s="1"/>
  <c r="R123" i="1" s="1"/>
  <c r="T123" i="1" s="1"/>
  <c r="U123" i="1" s="1"/>
  <c r="V123" i="1" s="1"/>
  <c r="X123" i="1" s="1"/>
  <c r="Y123" i="1" s="1"/>
  <c r="Z123" i="1" s="1"/>
  <c r="AB123" i="1" s="1"/>
  <c r="AC123" i="1" s="1"/>
  <c r="AD123" i="1" s="1"/>
  <c r="AF123" i="1" s="1"/>
  <c r="AG123" i="1" s="1"/>
  <c r="AH123" i="1" s="1"/>
  <c r="AJ123" i="1" s="1"/>
  <c r="AK123" i="1" s="1"/>
  <c r="AL123" i="1" s="1"/>
  <c r="AN123" i="1" s="1"/>
  <c r="AO123" i="1" s="1"/>
  <c r="AP123" i="1" s="1"/>
  <c r="AR123" i="1" s="1"/>
  <c r="AS123" i="1" s="1"/>
  <c r="AT123" i="1" s="1"/>
  <c r="AV123" i="1" s="1"/>
  <c r="AW123" i="1" s="1"/>
  <c r="AX123" i="1" s="1"/>
  <c r="AZ123" i="1" s="1"/>
  <c r="BA123" i="1" s="1"/>
  <c r="BB123" i="1" s="1"/>
  <c r="M125" i="1"/>
  <c r="N125" i="1" s="1"/>
  <c r="M119" i="1"/>
  <c r="N119" i="1" s="1"/>
  <c r="P119" i="1" s="1"/>
  <c r="Q119" i="1" s="1"/>
  <c r="R119" i="1" s="1"/>
  <c r="T119" i="1" s="1"/>
  <c r="U119" i="1" s="1"/>
  <c r="V119" i="1" s="1"/>
  <c r="X119" i="1" s="1"/>
  <c r="Y119" i="1" s="1"/>
  <c r="Z119" i="1" s="1"/>
  <c r="AB119" i="1" s="1"/>
  <c r="AC119" i="1" s="1"/>
  <c r="AD119" i="1" s="1"/>
  <c r="AF119" i="1" s="1"/>
  <c r="AG119" i="1" s="1"/>
  <c r="AH119" i="1" s="1"/>
  <c r="AJ119" i="1" s="1"/>
  <c r="AK119" i="1" s="1"/>
  <c r="AL119" i="1" s="1"/>
  <c r="AN119" i="1" s="1"/>
  <c r="AO119" i="1" s="1"/>
  <c r="AP119" i="1" s="1"/>
  <c r="AR119" i="1" s="1"/>
  <c r="AS119" i="1" s="1"/>
  <c r="AT119" i="1" s="1"/>
  <c r="AV119" i="1" s="1"/>
  <c r="AW119" i="1" s="1"/>
  <c r="AX119" i="1" s="1"/>
  <c r="DX117" i="1"/>
  <c r="DY117" i="1" s="1"/>
  <c r="DZ117" i="1" s="1"/>
  <c r="EA117" i="1" s="1"/>
  <c r="EB117" i="1" s="1"/>
  <c r="EC117" i="1" s="1"/>
  <c r="DV117" i="1"/>
  <c r="DW117" i="1" s="1"/>
  <c r="DU117" i="1"/>
  <c r="M117" i="1"/>
  <c r="N117" i="1" s="1"/>
  <c r="P117" i="1" s="1"/>
  <c r="Q117" i="1" s="1"/>
  <c r="R117" i="1" s="1"/>
  <c r="T117" i="1" s="1"/>
  <c r="U117" i="1" s="1"/>
  <c r="V117" i="1" s="1"/>
  <c r="X117" i="1" s="1"/>
  <c r="Y117" i="1" s="1"/>
  <c r="Z117" i="1" s="1"/>
  <c r="AB117" i="1" s="1"/>
  <c r="AC117" i="1" s="1"/>
  <c r="AD117" i="1" s="1"/>
  <c r="AF117" i="1" s="1"/>
  <c r="AG117" i="1" s="1"/>
  <c r="AH117" i="1" s="1"/>
  <c r="AJ117" i="1" s="1"/>
  <c r="AK117" i="1" s="1"/>
  <c r="AL117" i="1" s="1"/>
  <c r="AN117" i="1" s="1"/>
  <c r="AO117" i="1" s="1"/>
  <c r="AP117" i="1" s="1"/>
  <c r="AR117" i="1" s="1"/>
  <c r="AS117" i="1" s="1"/>
  <c r="AT117" i="1" s="1"/>
  <c r="AV117" i="1" s="1"/>
  <c r="AW117" i="1" s="1"/>
  <c r="AX117" i="1" s="1"/>
  <c r="M115" i="1"/>
  <c r="N115" i="1" s="1"/>
  <c r="P115" i="1" s="1"/>
  <c r="Q115" i="1" s="1"/>
  <c r="R115" i="1" s="1"/>
  <c r="T115" i="1" s="1"/>
  <c r="U115" i="1" s="1"/>
  <c r="V115" i="1" s="1"/>
  <c r="X115" i="1" s="1"/>
  <c r="Y115" i="1" s="1"/>
  <c r="Z115" i="1" s="1"/>
  <c r="AB115" i="1" s="1"/>
  <c r="AC115" i="1" s="1"/>
  <c r="AD115" i="1" s="1"/>
  <c r="AF115" i="1" s="1"/>
  <c r="AG115" i="1" s="1"/>
  <c r="AH115" i="1" s="1"/>
  <c r="AJ115" i="1" s="1"/>
  <c r="AK115" i="1" s="1"/>
  <c r="AL115" i="1" s="1"/>
  <c r="AN115" i="1" s="1"/>
  <c r="AO115" i="1" s="1"/>
  <c r="AP115" i="1" s="1"/>
  <c r="AR115" i="1" s="1"/>
  <c r="AS115" i="1" s="1"/>
  <c r="AT115" i="1" s="1"/>
  <c r="AV115" i="1" s="1"/>
  <c r="AW115" i="1" s="1"/>
  <c r="AX115" i="1" s="1"/>
  <c r="AZ115" i="1" s="1"/>
  <c r="BA115" i="1" s="1"/>
  <c r="BB115" i="1" s="1"/>
  <c r="BD115" i="1" s="1"/>
  <c r="BE115" i="1" s="1"/>
  <c r="BF115" i="1" s="1"/>
  <c r="BH115" i="1" s="1"/>
  <c r="BI115" i="1" s="1"/>
  <c r="BJ115" i="1" s="1"/>
  <c r="BL115" i="1" s="1"/>
  <c r="BM115" i="1" s="1"/>
  <c r="BN115" i="1" s="1"/>
  <c r="BP115" i="1" s="1"/>
  <c r="BQ115" i="1" s="1"/>
  <c r="BR115" i="1" s="1"/>
  <c r="BT115" i="1" s="1"/>
  <c r="BU115" i="1" s="1"/>
  <c r="BV115" i="1" s="1"/>
  <c r="BX115" i="1" s="1"/>
  <c r="BY115" i="1" s="1"/>
  <c r="BZ115" i="1" s="1"/>
  <c r="M113" i="1"/>
  <c r="N113" i="1" s="1"/>
  <c r="P113" i="1" s="1"/>
  <c r="Q113" i="1" s="1"/>
  <c r="R113" i="1" s="1"/>
  <c r="T113" i="1" s="1"/>
  <c r="U113" i="1" s="1"/>
  <c r="V113" i="1" s="1"/>
  <c r="X113" i="1" s="1"/>
  <c r="Y113" i="1" s="1"/>
  <c r="Z113" i="1" s="1"/>
  <c r="AB113" i="1" s="1"/>
  <c r="AC113" i="1" s="1"/>
  <c r="AD113" i="1" s="1"/>
  <c r="AF113" i="1" s="1"/>
  <c r="AG113" i="1" s="1"/>
  <c r="AH113" i="1" s="1"/>
  <c r="AJ113" i="1" s="1"/>
  <c r="AK113" i="1" s="1"/>
  <c r="AL113" i="1" s="1"/>
  <c r="AN113" i="1" s="1"/>
  <c r="AO113" i="1" s="1"/>
  <c r="AP113" i="1" s="1"/>
  <c r="AR113" i="1" s="1"/>
  <c r="AS113" i="1" s="1"/>
  <c r="AT113" i="1" s="1"/>
  <c r="AV113" i="1" s="1"/>
  <c r="AW113" i="1" s="1"/>
  <c r="AX113" i="1" s="1"/>
  <c r="AZ113" i="1" s="1"/>
  <c r="BA113" i="1" s="1"/>
  <c r="BB113" i="1" s="1"/>
  <c r="BD113" i="1" s="1"/>
  <c r="BE113" i="1" s="1"/>
  <c r="BF113" i="1" s="1"/>
  <c r="BH113" i="1" s="1"/>
  <c r="BI113" i="1" s="1"/>
  <c r="BJ113" i="1" s="1"/>
  <c r="BL113" i="1" s="1"/>
  <c r="BM113" i="1" s="1"/>
  <c r="BN113" i="1" s="1"/>
  <c r="BP113" i="1" s="1"/>
  <c r="BQ113" i="1" s="1"/>
  <c r="BR113" i="1" s="1"/>
  <c r="BT113" i="1" s="1"/>
  <c r="BU113" i="1" s="1"/>
  <c r="BV113" i="1" s="1"/>
  <c r="BX113" i="1" s="1"/>
  <c r="BY113" i="1" s="1"/>
  <c r="BZ113" i="1" s="1"/>
  <c r="DU43" i="1"/>
  <c r="DT43" i="1"/>
  <c r="M111" i="1"/>
  <c r="N111" i="1" s="1"/>
  <c r="P111" i="1" s="1"/>
  <c r="Q111" i="1" s="1"/>
  <c r="R111" i="1" s="1"/>
  <c r="T111" i="1" s="1"/>
  <c r="U111" i="1" s="1"/>
  <c r="V111" i="1" s="1"/>
  <c r="X111" i="1" s="1"/>
  <c r="Y111" i="1" s="1"/>
  <c r="Z111" i="1" s="1"/>
  <c r="AB111" i="1" s="1"/>
  <c r="AC111" i="1" s="1"/>
  <c r="AD111" i="1" s="1"/>
  <c r="AF111" i="1" s="1"/>
  <c r="AG111" i="1" s="1"/>
  <c r="AH111" i="1" s="1"/>
  <c r="AJ111" i="1" s="1"/>
  <c r="AK111" i="1" s="1"/>
  <c r="AL111" i="1" s="1"/>
  <c r="AN111" i="1" s="1"/>
  <c r="AO111" i="1" s="1"/>
  <c r="AP111" i="1" s="1"/>
  <c r="AR111" i="1" s="1"/>
  <c r="AS111" i="1" s="1"/>
  <c r="AT111" i="1" s="1"/>
  <c r="AV111" i="1" s="1"/>
  <c r="AW111" i="1" s="1"/>
  <c r="AX111" i="1" s="1"/>
  <c r="AZ111" i="1" s="1"/>
  <c r="BA111" i="1" s="1"/>
  <c r="BB111" i="1" s="1"/>
  <c r="BD111" i="1" s="1"/>
  <c r="BE111" i="1" s="1"/>
  <c r="BF111" i="1" s="1"/>
  <c r="BH111" i="1" s="1"/>
  <c r="BI111" i="1" s="1"/>
  <c r="BJ111" i="1" s="1"/>
  <c r="BL111" i="1" s="1"/>
  <c r="BM111" i="1" s="1"/>
  <c r="BN111" i="1" s="1"/>
  <c r="BP111" i="1" s="1"/>
  <c r="BQ111" i="1" s="1"/>
  <c r="BR111" i="1" s="1"/>
  <c r="BT111" i="1" s="1"/>
  <c r="BU111" i="1" s="1"/>
  <c r="BV111" i="1" s="1"/>
  <c r="BX111" i="1" s="1"/>
  <c r="BY111" i="1" s="1"/>
  <c r="BZ111" i="1" s="1"/>
  <c r="M109" i="1"/>
  <c r="N109" i="1" s="1"/>
  <c r="P109" i="1" s="1"/>
  <c r="Q109" i="1" s="1"/>
  <c r="R109" i="1" s="1"/>
  <c r="T109" i="1" s="1"/>
  <c r="U109" i="1" s="1"/>
  <c r="V109" i="1" s="1"/>
  <c r="X109" i="1" s="1"/>
  <c r="Y109" i="1" s="1"/>
  <c r="Z109" i="1" s="1"/>
  <c r="AB109" i="1" s="1"/>
  <c r="AC109" i="1" s="1"/>
  <c r="AD109" i="1" s="1"/>
  <c r="AF109" i="1" s="1"/>
  <c r="AG109" i="1" s="1"/>
  <c r="AH109" i="1" s="1"/>
  <c r="AJ109" i="1" s="1"/>
  <c r="AK109" i="1" s="1"/>
  <c r="AL109" i="1" s="1"/>
  <c r="AN109" i="1" s="1"/>
  <c r="AO109" i="1" s="1"/>
  <c r="AP109" i="1" s="1"/>
  <c r="AR109" i="1" s="1"/>
  <c r="AS109" i="1" s="1"/>
  <c r="AT109" i="1" s="1"/>
  <c r="AV109" i="1" s="1"/>
  <c r="AW109" i="1" s="1"/>
  <c r="AX109" i="1" s="1"/>
  <c r="AZ109" i="1" s="1"/>
  <c r="BA109" i="1" s="1"/>
  <c r="BB109" i="1" s="1"/>
  <c r="BD109" i="1" s="1"/>
  <c r="BE109" i="1" s="1"/>
  <c r="BF109" i="1" s="1"/>
  <c r="BH109" i="1" s="1"/>
  <c r="BI109" i="1" s="1"/>
  <c r="BJ109" i="1" s="1"/>
  <c r="BL109" i="1" s="1"/>
  <c r="BM109" i="1" s="1"/>
  <c r="BN109" i="1" s="1"/>
  <c r="BP109" i="1" s="1"/>
  <c r="BQ109" i="1" s="1"/>
  <c r="BR109" i="1" s="1"/>
  <c r="BT109" i="1" s="1"/>
  <c r="BU109" i="1" s="1"/>
  <c r="BV109" i="1" s="1"/>
  <c r="BX109" i="1" s="1"/>
  <c r="BY109" i="1" s="1"/>
  <c r="BZ109" i="1" s="1"/>
  <c r="M107" i="1"/>
  <c r="N107" i="1" s="1"/>
  <c r="P107" i="1" s="1"/>
  <c r="Q107" i="1" s="1"/>
  <c r="R107" i="1" s="1"/>
  <c r="T107" i="1" s="1"/>
  <c r="U107" i="1" s="1"/>
  <c r="V107" i="1" s="1"/>
  <c r="X107" i="1" s="1"/>
  <c r="Y107" i="1" s="1"/>
  <c r="Z107" i="1" s="1"/>
  <c r="AB107" i="1" s="1"/>
  <c r="AC107" i="1" s="1"/>
  <c r="AD107" i="1" s="1"/>
  <c r="AF107" i="1" s="1"/>
  <c r="AG107" i="1" s="1"/>
  <c r="AH107" i="1" s="1"/>
  <c r="AJ107" i="1" s="1"/>
  <c r="AK107" i="1" s="1"/>
  <c r="AL107" i="1" s="1"/>
  <c r="AN107" i="1" s="1"/>
  <c r="AO107" i="1" s="1"/>
  <c r="AP107" i="1" s="1"/>
  <c r="AR107" i="1" s="1"/>
  <c r="AS107" i="1" s="1"/>
  <c r="AT107" i="1" s="1"/>
  <c r="AV107" i="1" s="1"/>
  <c r="AW107" i="1" s="1"/>
  <c r="AX107" i="1" s="1"/>
  <c r="AZ107" i="1" s="1"/>
  <c r="BA107" i="1" s="1"/>
  <c r="BB107" i="1" s="1"/>
  <c r="BD107" i="1" s="1"/>
  <c r="BE107" i="1" s="1"/>
  <c r="BF107" i="1" s="1"/>
  <c r="BH107" i="1" s="1"/>
  <c r="BI107" i="1" s="1"/>
  <c r="BJ107" i="1" s="1"/>
  <c r="BL107" i="1" s="1"/>
  <c r="BM107" i="1" s="1"/>
  <c r="BN107" i="1" s="1"/>
  <c r="BP107" i="1" s="1"/>
  <c r="BQ107" i="1" s="1"/>
  <c r="BR107" i="1" s="1"/>
  <c r="BT107" i="1" s="1"/>
  <c r="BU107" i="1" s="1"/>
  <c r="BV107" i="1" s="1"/>
  <c r="BX107" i="1" s="1"/>
  <c r="BY107" i="1" s="1"/>
  <c r="BZ107" i="1" s="1"/>
  <c r="CB107" i="1" s="1"/>
  <c r="CC107" i="1" s="1"/>
  <c r="CD107" i="1" s="1"/>
  <c r="CF107" i="1" s="1"/>
  <c r="CG107" i="1" s="1"/>
  <c r="CH107" i="1" s="1"/>
  <c r="CJ107" i="1" s="1"/>
  <c r="CK107" i="1" s="1"/>
  <c r="CL107" i="1" s="1"/>
  <c r="CN107" i="1" s="1"/>
  <c r="CO107" i="1" s="1"/>
  <c r="CP107" i="1" s="1"/>
  <c r="CR107" i="1" s="1"/>
  <c r="CS107" i="1" s="1"/>
  <c r="CT107" i="1" s="1"/>
  <c r="CV107" i="1" s="1"/>
  <c r="CW107" i="1" s="1"/>
  <c r="CX107" i="1" s="1"/>
  <c r="CZ107" i="1" s="1"/>
  <c r="DA107" i="1" s="1"/>
  <c r="DB107" i="1" s="1"/>
  <c r="DD107" i="1" s="1"/>
  <c r="DE107" i="1" s="1"/>
  <c r="DF107" i="1" s="1"/>
  <c r="Q105" i="1"/>
  <c r="R105" i="1" s="1"/>
  <c r="T105" i="1" s="1"/>
  <c r="U105" i="1" s="1"/>
  <c r="V105" i="1" s="1"/>
  <c r="X105" i="1" s="1"/>
  <c r="Y105" i="1" s="1"/>
  <c r="Z105" i="1" s="1"/>
  <c r="AB105" i="1" s="1"/>
  <c r="AC105" i="1" s="1"/>
  <c r="AD105" i="1" s="1"/>
  <c r="AF105" i="1" s="1"/>
  <c r="AG105" i="1" s="1"/>
  <c r="AH105" i="1" s="1"/>
  <c r="AJ105" i="1" s="1"/>
  <c r="AK105" i="1" s="1"/>
  <c r="AL105" i="1" s="1"/>
  <c r="AN105" i="1" s="1"/>
  <c r="AO105" i="1" s="1"/>
  <c r="AP105" i="1" s="1"/>
  <c r="AR105" i="1" s="1"/>
  <c r="AS105" i="1" s="1"/>
  <c r="AT105" i="1" s="1"/>
  <c r="M105" i="1"/>
  <c r="N105" i="1" s="1"/>
  <c r="N99" i="1"/>
  <c r="M103" i="1"/>
  <c r="N103" i="1" s="1"/>
  <c r="P103" i="1" s="1"/>
  <c r="Q103" i="1" s="1"/>
  <c r="R103" i="1" s="1"/>
  <c r="T103" i="1" s="1"/>
  <c r="U103" i="1" s="1"/>
  <c r="V103" i="1" s="1"/>
  <c r="X103" i="1" s="1"/>
  <c r="Y103" i="1" s="1"/>
  <c r="Z103" i="1" s="1"/>
  <c r="AB103" i="1" s="1"/>
  <c r="AC103" i="1" s="1"/>
  <c r="AD103" i="1" s="1"/>
  <c r="AF103" i="1" s="1"/>
  <c r="AG103" i="1" s="1"/>
  <c r="AH103" i="1" s="1"/>
  <c r="AJ103" i="1" s="1"/>
  <c r="AK103" i="1" s="1"/>
  <c r="AL103" i="1" s="1"/>
  <c r="AN103" i="1" s="1"/>
  <c r="AO103" i="1" s="1"/>
  <c r="AP103" i="1" s="1"/>
  <c r="AR103" i="1" s="1"/>
  <c r="AS103" i="1" s="1"/>
  <c r="AT103" i="1" s="1"/>
  <c r="AV103" i="1" s="1"/>
  <c r="AW103" i="1" s="1"/>
  <c r="AX103" i="1" s="1"/>
  <c r="AZ103" i="1" s="1"/>
  <c r="BA103" i="1" s="1"/>
  <c r="BB103" i="1" s="1"/>
  <c r="BD103" i="1" s="1"/>
  <c r="BE103" i="1" s="1"/>
  <c r="BF103" i="1" s="1"/>
  <c r="BH103" i="1" s="1"/>
  <c r="BI103" i="1" s="1"/>
  <c r="BJ103" i="1" s="1"/>
  <c r="BL103" i="1" s="1"/>
  <c r="BM103" i="1" s="1"/>
  <c r="BN103" i="1" s="1"/>
  <c r="BP103" i="1" s="1"/>
  <c r="BQ103" i="1" s="1"/>
  <c r="BR103" i="1" s="1"/>
  <c r="BT103" i="1" s="1"/>
  <c r="BU103" i="1" s="1"/>
  <c r="BV103" i="1" s="1"/>
  <c r="BX103" i="1" s="1"/>
  <c r="BY103" i="1" s="1"/>
  <c r="BZ103" i="1" s="1"/>
  <c r="Q97" i="1"/>
  <c r="R97" i="1" s="1"/>
  <c r="T97" i="1" s="1"/>
  <c r="U97" i="1" s="1"/>
  <c r="V97" i="1" s="1"/>
  <c r="X97" i="1" s="1"/>
  <c r="Y97" i="1" s="1"/>
  <c r="Z97" i="1" s="1"/>
  <c r="AB97" i="1" s="1"/>
  <c r="AC97" i="1" s="1"/>
  <c r="AD97" i="1" s="1"/>
  <c r="AF97" i="1" s="1"/>
  <c r="AG97" i="1" s="1"/>
  <c r="AH97" i="1" s="1"/>
  <c r="AJ97" i="1" s="1"/>
  <c r="AK97" i="1" s="1"/>
  <c r="AL97" i="1" s="1"/>
  <c r="AN97" i="1" s="1"/>
  <c r="AO97" i="1" s="1"/>
  <c r="AP97" i="1" s="1"/>
  <c r="AR97" i="1" s="1"/>
  <c r="AS97" i="1" s="1"/>
  <c r="AT97" i="1" s="1"/>
  <c r="M97" i="1"/>
  <c r="N97" i="1" s="1"/>
  <c r="Q95" i="1"/>
  <c r="R95" i="1" s="1"/>
  <c r="T95" i="1" s="1"/>
  <c r="U95" i="1" s="1"/>
  <c r="V95" i="1" s="1"/>
  <c r="X95" i="1" s="1"/>
  <c r="Y95" i="1" s="1"/>
  <c r="Z95" i="1" s="1"/>
  <c r="AB95" i="1" s="1"/>
  <c r="AC95" i="1" s="1"/>
  <c r="AD95" i="1" s="1"/>
  <c r="AF95" i="1" s="1"/>
  <c r="AG95" i="1" s="1"/>
  <c r="AH95" i="1" s="1"/>
  <c r="AJ95" i="1" s="1"/>
  <c r="AK95" i="1" s="1"/>
  <c r="AL95" i="1" s="1"/>
  <c r="AN95" i="1" s="1"/>
  <c r="AO95" i="1" s="1"/>
  <c r="AP95" i="1" s="1"/>
  <c r="AR95" i="1" s="1"/>
  <c r="AS95" i="1" s="1"/>
  <c r="AT95" i="1" s="1"/>
  <c r="M95" i="1"/>
  <c r="N95" i="1" s="1"/>
  <c r="M93" i="1"/>
  <c r="N93" i="1" s="1"/>
  <c r="Q93" i="1" s="1"/>
  <c r="R93" i="1" s="1"/>
  <c r="T93" i="1" s="1"/>
  <c r="U93" i="1" s="1"/>
  <c r="V93" i="1" s="1"/>
  <c r="X93" i="1" s="1"/>
  <c r="Y93" i="1" s="1"/>
  <c r="Z93" i="1" s="1"/>
  <c r="AB93" i="1" s="1"/>
  <c r="AC93" i="1" s="1"/>
  <c r="AD93" i="1" s="1"/>
  <c r="AF93" i="1" s="1"/>
  <c r="AG93" i="1" s="1"/>
  <c r="AH93" i="1" s="1"/>
  <c r="AJ93" i="1" s="1"/>
  <c r="AK93" i="1" s="1"/>
  <c r="AL93" i="1" s="1"/>
  <c r="AN93" i="1" s="1"/>
  <c r="AO93" i="1" s="1"/>
  <c r="AP93" i="1" s="1"/>
  <c r="AR93" i="1" s="1"/>
  <c r="AS93" i="1" s="1"/>
  <c r="AT93" i="1" s="1"/>
  <c r="AZ213" i="1" l="1"/>
  <c r="BA213" i="1" s="1"/>
  <c r="BB213" i="1" s="1"/>
  <c r="BD213" i="1" s="1"/>
  <c r="BE213" i="1" s="1"/>
  <c r="BF213" i="1" s="1"/>
  <c r="BH213" i="1" s="1"/>
  <c r="BI213" i="1" s="1"/>
  <c r="BJ213" i="1" s="1"/>
  <c r="BL213" i="1" s="1"/>
  <c r="BM213" i="1" s="1"/>
  <c r="BN213" i="1" s="1"/>
  <c r="BP213" i="1" s="1"/>
  <c r="BQ213" i="1" s="1"/>
  <c r="BR213" i="1" s="1"/>
  <c r="BT213" i="1" s="1"/>
  <c r="BU213" i="1" s="1"/>
  <c r="BV213" i="1" s="1"/>
  <c r="BX213" i="1" s="1"/>
  <c r="BY213" i="1" s="1"/>
  <c r="BZ213" i="1" s="1"/>
  <c r="AY213" i="1"/>
  <c r="AZ211" i="1"/>
  <c r="BA211" i="1" s="1"/>
  <c r="BB211" i="1" s="1"/>
  <c r="BD211" i="1" s="1"/>
  <c r="BE211" i="1" s="1"/>
  <c r="BF211" i="1" s="1"/>
  <c r="BH211" i="1" s="1"/>
  <c r="BI211" i="1" s="1"/>
  <c r="BJ211" i="1" s="1"/>
  <c r="BL211" i="1" s="1"/>
  <c r="BM211" i="1" s="1"/>
  <c r="BN211" i="1" s="1"/>
  <c r="BP211" i="1" s="1"/>
  <c r="BQ211" i="1" s="1"/>
  <c r="BR211" i="1" s="1"/>
  <c r="BT211" i="1" s="1"/>
  <c r="BU211" i="1" s="1"/>
  <c r="BV211" i="1" s="1"/>
  <c r="BX211" i="1" s="1"/>
  <c r="BY211" i="1" s="1"/>
  <c r="BZ211" i="1" s="1"/>
  <c r="AY211" i="1"/>
  <c r="AZ195" i="1"/>
  <c r="BA195" i="1" s="1"/>
  <c r="BB195" i="1" s="1"/>
  <c r="BD195" i="1" s="1"/>
  <c r="BE195" i="1" s="1"/>
  <c r="BF195" i="1" s="1"/>
  <c r="BH195" i="1" s="1"/>
  <c r="BI195" i="1" s="1"/>
  <c r="BJ195" i="1" s="1"/>
  <c r="AY195" i="1"/>
  <c r="Y169" i="1"/>
  <c r="Z169" i="1" s="1"/>
  <c r="AB169" i="1" s="1"/>
  <c r="AC169" i="1" s="1"/>
  <c r="AD169" i="1" s="1"/>
  <c r="AF169" i="1" s="1"/>
  <c r="AG169" i="1" s="1"/>
  <c r="AH169" i="1" s="1"/>
  <c r="AJ169" i="1" s="1"/>
  <c r="AK169" i="1" s="1"/>
  <c r="AL169" i="1" s="1"/>
  <c r="AN169" i="1" s="1"/>
  <c r="AO169" i="1" s="1"/>
  <c r="AP169" i="1" s="1"/>
  <c r="AR169" i="1" s="1"/>
  <c r="AS169" i="1" s="1"/>
  <c r="AT169" i="1" s="1"/>
  <c r="AV169" i="1" s="1"/>
  <c r="AW169" i="1" s="1"/>
  <c r="AX169" i="1" s="1"/>
  <c r="AZ169" i="1" s="1"/>
  <c r="BA169" i="1" s="1"/>
  <c r="BB169" i="1" s="1"/>
  <c r="BD169" i="1" s="1"/>
  <c r="BE169" i="1" s="1"/>
  <c r="BF169" i="1" s="1"/>
  <c r="BH169" i="1" s="1"/>
  <c r="BI169" i="1" s="1"/>
  <c r="BJ169" i="1" s="1"/>
  <c r="BL169" i="1" s="1"/>
  <c r="BM169" i="1" s="1"/>
  <c r="BN169" i="1" s="1"/>
  <c r="BP169" i="1" s="1"/>
  <c r="BQ169" i="1" s="1"/>
  <c r="BR169" i="1" s="1"/>
  <c r="BT169" i="1" s="1"/>
  <c r="BU169" i="1" s="1"/>
  <c r="BV169" i="1" s="1"/>
  <c r="BX169" i="1" s="1"/>
  <c r="BY169" i="1" s="1"/>
  <c r="BZ169" i="1" s="1"/>
  <c r="AZ175" i="1"/>
  <c r="BA175" i="1" s="1"/>
  <c r="BB175" i="1" s="1"/>
  <c r="BD175" i="1" s="1"/>
  <c r="BE175" i="1" s="1"/>
  <c r="BF175" i="1" s="1"/>
  <c r="BH175" i="1" s="1"/>
  <c r="BI175" i="1" s="1"/>
  <c r="BJ175" i="1" s="1"/>
  <c r="BL175" i="1" s="1"/>
  <c r="BM175" i="1" s="1"/>
  <c r="BN175" i="1" s="1"/>
  <c r="BP175" i="1" s="1"/>
  <c r="BQ175" i="1" s="1"/>
  <c r="BR175" i="1" s="1"/>
  <c r="BT175" i="1" s="1"/>
  <c r="BU175" i="1" s="1"/>
  <c r="BV175" i="1" s="1"/>
  <c r="BX175" i="1" s="1"/>
  <c r="BY175" i="1" s="1"/>
  <c r="BZ175" i="1" s="1"/>
  <c r="AY175" i="1"/>
  <c r="AZ167" i="1"/>
  <c r="BA167" i="1" s="1"/>
  <c r="BB167" i="1" s="1"/>
  <c r="BD167" i="1" s="1"/>
  <c r="BE167" i="1" s="1"/>
  <c r="BF167" i="1" s="1"/>
  <c r="BH167" i="1" s="1"/>
  <c r="BI167" i="1" s="1"/>
  <c r="BJ167" i="1" s="1"/>
  <c r="BL167" i="1" s="1"/>
  <c r="BM167" i="1" s="1"/>
  <c r="BN167" i="1" s="1"/>
  <c r="BP167" i="1" s="1"/>
  <c r="BQ167" i="1" s="1"/>
  <c r="BR167" i="1" s="1"/>
  <c r="BT167" i="1" s="1"/>
  <c r="BU167" i="1" s="1"/>
  <c r="BV167" i="1" s="1"/>
  <c r="BX167" i="1" s="1"/>
  <c r="BY167" i="1" s="1"/>
  <c r="BZ167" i="1" s="1"/>
  <c r="AY167" i="1"/>
  <c r="AY151" i="1"/>
  <c r="AZ151" i="1"/>
  <c r="BA151" i="1" s="1"/>
  <c r="BB151" i="1" s="1"/>
  <c r="BD151" i="1" s="1"/>
  <c r="BE151" i="1" s="1"/>
  <c r="BF151" i="1" s="1"/>
  <c r="BH151" i="1" s="1"/>
  <c r="BI151" i="1" s="1"/>
  <c r="BJ151" i="1" s="1"/>
  <c r="AU143" i="1"/>
  <c r="AV143" i="1"/>
  <c r="AW143" i="1" s="1"/>
  <c r="AX143" i="1" s="1"/>
  <c r="AU141" i="1"/>
  <c r="AV141" i="1"/>
  <c r="AW141" i="1" s="1"/>
  <c r="AX141" i="1" s="1"/>
  <c r="AV139" i="1"/>
  <c r="AW139" i="1" s="1"/>
  <c r="AX139" i="1" s="1"/>
  <c r="AU139" i="1"/>
  <c r="P125" i="1"/>
  <c r="Q125" i="1" s="1"/>
  <c r="R125" i="1" s="1"/>
  <c r="T125" i="1" s="1"/>
  <c r="U125" i="1" s="1"/>
  <c r="V125" i="1" s="1"/>
  <c r="X125" i="1" s="1"/>
  <c r="Y125" i="1" s="1"/>
  <c r="Z125" i="1" s="1"/>
  <c r="AB125" i="1" s="1"/>
  <c r="AC125" i="1" s="1"/>
  <c r="AD125" i="1" s="1"/>
  <c r="AF125" i="1" s="1"/>
  <c r="AG125" i="1" s="1"/>
  <c r="AH125" i="1" s="1"/>
  <c r="AJ125" i="1" s="1"/>
  <c r="AK125" i="1" s="1"/>
  <c r="AL125" i="1" s="1"/>
  <c r="AN125" i="1" s="1"/>
  <c r="AO125" i="1" s="1"/>
  <c r="AP125" i="1" s="1"/>
  <c r="AR125" i="1" s="1"/>
  <c r="AS125" i="1" s="1"/>
  <c r="AT125" i="1" s="1"/>
  <c r="AV125" i="1" s="1"/>
  <c r="AW125" i="1" s="1"/>
  <c r="AX125" i="1" s="1"/>
  <c r="AZ125" i="1" s="1"/>
  <c r="BA125" i="1" s="1"/>
  <c r="BB125" i="1" s="1"/>
  <c r="AU127" i="1"/>
  <c r="AV127" i="1"/>
  <c r="AW127" i="1" s="1"/>
  <c r="AX127" i="1" s="1"/>
  <c r="AZ119" i="1"/>
  <c r="BA119" i="1" s="1"/>
  <c r="BB119" i="1" s="1"/>
  <c r="DT117" i="1"/>
  <c r="AZ117" i="1"/>
  <c r="BA117" i="1" s="1"/>
  <c r="BB117" i="1" s="1"/>
  <c r="AV105" i="1"/>
  <c r="AW105" i="1" s="1"/>
  <c r="AX105" i="1" s="1"/>
  <c r="AU105" i="1"/>
  <c r="AU97" i="1"/>
  <c r="AV97" i="1"/>
  <c r="AW97" i="1" s="1"/>
  <c r="AX97" i="1" s="1"/>
  <c r="AV95" i="1"/>
  <c r="AW95" i="1" s="1"/>
  <c r="AX95" i="1" s="1"/>
  <c r="AU95" i="1"/>
  <c r="AU93" i="1"/>
  <c r="AV93" i="1"/>
  <c r="AW93" i="1" s="1"/>
  <c r="AX93" i="1" s="1"/>
  <c r="M91" i="1"/>
  <c r="N91" i="1" s="1"/>
  <c r="P91" i="1" s="1"/>
  <c r="Q91" i="1" s="1"/>
  <c r="R91" i="1" s="1"/>
  <c r="T91" i="1" s="1"/>
  <c r="U91" i="1" s="1"/>
  <c r="V91" i="1" s="1"/>
  <c r="X91" i="1" s="1"/>
  <c r="Y91" i="1" s="1"/>
  <c r="Z91" i="1" s="1"/>
  <c r="AB91" i="1" s="1"/>
  <c r="AC91" i="1" s="1"/>
  <c r="AD91" i="1" s="1"/>
  <c r="AF91" i="1" s="1"/>
  <c r="AG91" i="1" s="1"/>
  <c r="AH91" i="1" s="1"/>
  <c r="AJ91" i="1" s="1"/>
  <c r="AK91" i="1" s="1"/>
  <c r="AL91" i="1" s="1"/>
  <c r="AN91" i="1" s="1"/>
  <c r="AO91" i="1" s="1"/>
  <c r="AP91" i="1" s="1"/>
  <c r="AR91" i="1" s="1"/>
  <c r="AS91" i="1" s="1"/>
  <c r="AT91" i="1" s="1"/>
  <c r="DV63" i="1"/>
  <c r="DW63" i="1" s="1"/>
  <c r="DV55" i="1"/>
  <c r="DW55" i="1" s="1"/>
  <c r="DX55" i="1" s="1"/>
  <c r="DY55" i="1" s="1"/>
  <c r="DZ55" i="1" s="1"/>
  <c r="EA55" i="1" s="1"/>
  <c r="EB55" i="1" s="1"/>
  <c r="DV33" i="1"/>
  <c r="DW33" i="1" s="1"/>
  <c r="DX33" i="1" s="1"/>
  <c r="DY33" i="1" s="1"/>
  <c r="DZ33" i="1" s="1"/>
  <c r="EA33" i="1" s="1"/>
  <c r="EB33" i="1" s="1"/>
  <c r="EC33" i="1" s="1"/>
  <c r="DV9" i="1"/>
  <c r="DW9" i="1" s="1"/>
  <c r="DX9" i="1" s="1"/>
  <c r="DY9" i="1" s="1"/>
  <c r="DZ9" i="1" s="1"/>
  <c r="EA9" i="1" s="1"/>
  <c r="EB9" i="1" s="1"/>
  <c r="EC9" i="1" s="1"/>
  <c r="DW3" i="1"/>
  <c r="DX3" i="1" s="1"/>
  <c r="DY3" i="1" s="1"/>
  <c r="DZ3" i="1" s="1"/>
  <c r="EA3" i="1" s="1"/>
  <c r="EB3" i="1" s="1"/>
  <c r="EC3" i="1" s="1"/>
  <c r="DV3" i="1"/>
  <c r="M89" i="1"/>
  <c r="N89" i="1" s="1"/>
  <c r="P89" i="1" s="1"/>
  <c r="Q89" i="1" s="1"/>
  <c r="R89" i="1" s="1"/>
  <c r="T89" i="1" s="1"/>
  <c r="U89" i="1" s="1"/>
  <c r="V89" i="1" s="1"/>
  <c r="X89" i="1" s="1"/>
  <c r="Y89" i="1" s="1"/>
  <c r="Z89" i="1" s="1"/>
  <c r="AB89" i="1" s="1"/>
  <c r="AC89" i="1" s="1"/>
  <c r="AD89" i="1" s="1"/>
  <c r="AF89" i="1" s="1"/>
  <c r="AG89" i="1" s="1"/>
  <c r="AH89" i="1" s="1"/>
  <c r="AJ89" i="1" s="1"/>
  <c r="M87" i="1"/>
  <c r="N87" i="1" s="1"/>
  <c r="P87" i="1" s="1"/>
  <c r="Q87" i="1" s="1"/>
  <c r="R87" i="1" s="1"/>
  <c r="T87" i="1" s="1"/>
  <c r="U87" i="1" s="1"/>
  <c r="V87" i="1" s="1"/>
  <c r="X87" i="1" s="1"/>
  <c r="Y87" i="1" s="1"/>
  <c r="Z87" i="1" s="1"/>
  <c r="AB87" i="1" s="1"/>
  <c r="AC87" i="1" s="1"/>
  <c r="AD87" i="1" s="1"/>
  <c r="AF87" i="1" s="1"/>
  <c r="AG87" i="1" s="1"/>
  <c r="AH87" i="1" s="1"/>
  <c r="AJ87" i="1" s="1"/>
  <c r="AK87" i="1" s="1"/>
  <c r="AL87" i="1" s="1"/>
  <c r="AN87" i="1" s="1"/>
  <c r="AO87" i="1" s="1"/>
  <c r="AP87" i="1" s="1"/>
  <c r="AR87" i="1" s="1"/>
  <c r="AS87" i="1" s="1"/>
  <c r="AT87" i="1" s="1"/>
  <c r="AV87" i="1" s="1"/>
  <c r="AW87" i="1" s="1"/>
  <c r="AX87" i="1" s="1"/>
  <c r="AZ87" i="1" s="1"/>
  <c r="BA87" i="1" s="1"/>
  <c r="BB87" i="1" s="1"/>
  <c r="BD87" i="1" s="1"/>
  <c r="BE87" i="1" s="1"/>
  <c r="BF87" i="1" s="1"/>
  <c r="BH87" i="1" s="1"/>
  <c r="BI87" i="1" s="1"/>
  <c r="BJ87" i="1" s="1"/>
  <c r="BL87" i="1" s="1"/>
  <c r="BM87" i="1" s="1"/>
  <c r="BN87" i="1" s="1"/>
  <c r="BP87" i="1" s="1"/>
  <c r="BQ87" i="1" s="1"/>
  <c r="BR87" i="1" s="1"/>
  <c r="BT87" i="1" s="1"/>
  <c r="BU87" i="1" s="1"/>
  <c r="BV87" i="1" s="1"/>
  <c r="BX87" i="1" s="1"/>
  <c r="BY87" i="1" s="1"/>
  <c r="BZ87" i="1" s="1"/>
  <c r="DV73" i="1"/>
  <c r="DW73" i="1" s="1"/>
  <c r="DX73" i="1" s="1"/>
  <c r="DY73" i="1" s="1"/>
  <c r="DZ73" i="1" s="1"/>
  <c r="EA73" i="1" s="1"/>
  <c r="EB73" i="1" s="1"/>
  <c r="EC73" i="1" s="1"/>
  <c r="DW37" i="1"/>
  <c r="DX37" i="1" s="1"/>
  <c r="DY37" i="1" s="1"/>
  <c r="DZ37" i="1" s="1"/>
  <c r="EA37" i="1" s="1"/>
  <c r="EB37" i="1" s="1"/>
  <c r="EC37" i="1" s="1"/>
  <c r="DV37" i="1"/>
  <c r="DV29" i="1"/>
  <c r="DW29" i="1" s="1"/>
  <c r="DX29" i="1" s="1"/>
  <c r="DY29" i="1" s="1"/>
  <c r="DZ29" i="1" s="1"/>
  <c r="EA29" i="1" s="1"/>
  <c r="EB29" i="1" s="1"/>
  <c r="EC29" i="1" s="1"/>
  <c r="DV75" i="1"/>
  <c r="DW75" i="1" s="1"/>
  <c r="DU75" i="1"/>
  <c r="DV71" i="1"/>
  <c r="DW71" i="1" s="1"/>
  <c r="DU71" i="1"/>
  <c r="DV69" i="1"/>
  <c r="DW69" i="1" s="1"/>
  <c r="DU69" i="1"/>
  <c r="DV67" i="1"/>
  <c r="DW67" i="1" s="1"/>
  <c r="DU67" i="1"/>
  <c r="DV65" i="1"/>
  <c r="DW65" i="1" s="1"/>
  <c r="DU65" i="1"/>
  <c r="DV61" i="1"/>
  <c r="DW61" i="1" s="1"/>
  <c r="DU61" i="1"/>
  <c r="DV59" i="1"/>
  <c r="DW59" i="1" s="1"/>
  <c r="DU59" i="1"/>
  <c r="DV57" i="1"/>
  <c r="DW57" i="1" s="1"/>
  <c r="DU57" i="1"/>
  <c r="DV53" i="1"/>
  <c r="DW53" i="1" s="1"/>
  <c r="DU53" i="1"/>
  <c r="DV51" i="1"/>
  <c r="DW51" i="1" s="1"/>
  <c r="DX51" i="1" s="1"/>
  <c r="DU51" i="1"/>
  <c r="DV49" i="1"/>
  <c r="DW49" i="1" s="1"/>
  <c r="DU49" i="1"/>
  <c r="DV45" i="1"/>
  <c r="DW45" i="1" s="1"/>
  <c r="DX45" i="1" s="1"/>
  <c r="DY45" i="1" s="1"/>
  <c r="DZ45" i="1" s="1"/>
  <c r="EA45" i="1" s="1"/>
  <c r="EB45" i="1" s="1"/>
  <c r="EC45" i="1" s="1"/>
  <c r="DU29" i="1"/>
  <c r="DV11" i="1"/>
  <c r="DW11" i="1" s="1"/>
  <c r="DT11" i="1"/>
  <c r="DU5" i="1"/>
  <c r="AZ143" i="1" l="1"/>
  <c r="BA143" i="1" s="1"/>
  <c r="BB143" i="1" s="1"/>
  <c r="BD143" i="1" s="1"/>
  <c r="BE143" i="1" s="1"/>
  <c r="BF143" i="1" s="1"/>
  <c r="BH143" i="1" s="1"/>
  <c r="BI143" i="1" s="1"/>
  <c r="BJ143" i="1" s="1"/>
  <c r="AY143" i="1"/>
  <c r="AZ141" i="1"/>
  <c r="BA141" i="1" s="1"/>
  <c r="BB141" i="1" s="1"/>
  <c r="BD141" i="1" s="1"/>
  <c r="BE141" i="1" s="1"/>
  <c r="BF141" i="1" s="1"/>
  <c r="BH141" i="1" s="1"/>
  <c r="BI141" i="1" s="1"/>
  <c r="BJ141" i="1" s="1"/>
  <c r="AY141" i="1"/>
  <c r="AZ139" i="1"/>
  <c r="BA139" i="1" s="1"/>
  <c r="BB139" i="1" s="1"/>
  <c r="BD139" i="1" s="1"/>
  <c r="BE139" i="1" s="1"/>
  <c r="BF139" i="1" s="1"/>
  <c r="BH139" i="1" s="1"/>
  <c r="BI139" i="1" s="1"/>
  <c r="BJ139" i="1" s="1"/>
  <c r="AY139" i="1"/>
  <c r="AY127" i="1"/>
  <c r="AZ127" i="1"/>
  <c r="BA127" i="1" s="1"/>
  <c r="BB127" i="1" s="1"/>
  <c r="BD127" i="1" s="1"/>
  <c r="BE127" i="1" s="1"/>
  <c r="BF127" i="1" s="1"/>
  <c r="BH127" i="1" s="1"/>
  <c r="BI127" i="1" s="1"/>
  <c r="BJ127" i="1" s="1"/>
  <c r="BL127" i="1" s="1"/>
  <c r="BM127" i="1" s="1"/>
  <c r="BN127" i="1" s="1"/>
  <c r="BP127" i="1" s="1"/>
  <c r="BQ127" i="1" s="1"/>
  <c r="BR127" i="1" s="1"/>
  <c r="BT127" i="1" s="1"/>
  <c r="BU127" i="1" s="1"/>
  <c r="BV127" i="1" s="1"/>
  <c r="BX127" i="1" s="1"/>
  <c r="BY127" i="1" s="1"/>
  <c r="BZ127" i="1" s="1"/>
  <c r="AK89" i="1"/>
  <c r="AL89" i="1" s="1"/>
  <c r="AN89" i="1" s="1"/>
  <c r="AO89" i="1" s="1"/>
  <c r="AP89" i="1" s="1"/>
  <c r="AR89" i="1" s="1"/>
  <c r="AS89" i="1" s="1"/>
  <c r="AT89" i="1" s="1"/>
  <c r="AV89" i="1" s="1"/>
  <c r="AW89" i="1" s="1"/>
  <c r="AX89" i="1" s="1"/>
  <c r="AZ89" i="1" s="1"/>
  <c r="BA89" i="1" s="1"/>
  <c r="BB89" i="1" s="1"/>
  <c r="BD89" i="1" s="1"/>
  <c r="BE89" i="1" s="1"/>
  <c r="BF89" i="1" s="1"/>
  <c r="BH89" i="1" s="1"/>
  <c r="BI89" i="1" s="1"/>
  <c r="BJ89" i="1" s="1"/>
  <c r="BL89" i="1" s="1"/>
  <c r="BM89" i="1" s="1"/>
  <c r="BN89" i="1" s="1"/>
  <c r="BP89" i="1" s="1"/>
  <c r="BQ89" i="1" s="1"/>
  <c r="BR89" i="1" s="1"/>
  <c r="BT89" i="1" s="1"/>
  <c r="BU89" i="1" s="1"/>
  <c r="BV89" i="1" s="1"/>
  <c r="BX89" i="1" s="1"/>
  <c r="BY89" i="1" s="1"/>
  <c r="BZ89" i="1" s="1"/>
  <c r="AZ105" i="1"/>
  <c r="BA105" i="1" s="1"/>
  <c r="BB105" i="1" s="1"/>
  <c r="BD105" i="1" s="1"/>
  <c r="BE105" i="1" s="1"/>
  <c r="BF105" i="1" s="1"/>
  <c r="BH105" i="1" s="1"/>
  <c r="BI105" i="1" s="1"/>
  <c r="BJ105" i="1" s="1"/>
  <c r="BL105" i="1" s="1"/>
  <c r="BM105" i="1" s="1"/>
  <c r="BN105" i="1" s="1"/>
  <c r="BP105" i="1" s="1"/>
  <c r="BQ105" i="1" s="1"/>
  <c r="BR105" i="1" s="1"/>
  <c r="BT105" i="1" s="1"/>
  <c r="BU105" i="1" s="1"/>
  <c r="BV105" i="1" s="1"/>
  <c r="BX105" i="1" s="1"/>
  <c r="BY105" i="1" s="1"/>
  <c r="BZ105" i="1" s="1"/>
  <c r="AY105" i="1"/>
  <c r="AZ97" i="1"/>
  <c r="BA97" i="1" s="1"/>
  <c r="BB97" i="1" s="1"/>
  <c r="BD97" i="1" s="1"/>
  <c r="BE97" i="1" s="1"/>
  <c r="BF97" i="1" s="1"/>
  <c r="BH97" i="1" s="1"/>
  <c r="BI97" i="1" s="1"/>
  <c r="BJ97" i="1" s="1"/>
  <c r="BL97" i="1" s="1"/>
  <c r="BM97" i="1" s="1"/>
  <c r="BN97" i="1" s="1"/>
  <c r="BP97" i="1" s="1"/>
  <c r="BQ97" i="1" s="1"/>
  <c r="BR97" i="1" s="1"/>
  <c r="BT97" i="1" s="1"/>
  <c r="BU97" i="1" s="1"/>
  <c r="BV97" i="1" s="1"/>
  <c r="BX97" i="1" s="1"/>
  <c r="BY97" i="1" s="1"/>
  <c r="BZ97" i="1" s="1"/>
  <c r="AY97" i="1"/>
  <c r="AZ95" i="1"/>
  <c r="BA95" i="1" s="1"/>
  <c r="BB95" i="1" s="1"/>
  <c r="BD95" i="1" s="1"/>
  <c r="BE95" i="1" s="1"/>
  <c r="BF95" i="1" s="1"/>
  <c r="BH95" i="1" s="1"/>
  <c r="BI95" i="1" s="1"/>
  <c r="BJ95" i="1" s="1"/>
  <c r="BL95" i="1" s="1"/>
  <c r="BM95" i="1" s="1"/>
  <c r="BN95" i="1" s="1"/>
  <c r="BP95" i="1" s="1"/>
  <c r="BQ95" i="1" s="1"/>
  <c r="BR95" i="1" s="1"/>
  <c r="AY95" i="1"/>
  <c r="AZ93" i="1"/>
  <c r="BA93" i="1" s="1"/>
  <c r="BB93" i="1" s="1"/>
  <c r="BD93" i="1" s="1"/>
  <c r="BE93" i="1" s="1"/>
  <c r="BF93" i="1" s="1"/>
  <c r="BH93" i="1" s="1"/>
  <c r="BI93" i="1" s="1"/>
  <c r="BJ93" i="1" s="1"/>
  <c r="BL93" i="1" s="1"/>
  <c r="BM93" i="1" s="1"/>
  <c r="BN93" i="1" s="1"/>
  <c r="BP93" i="1" s="1"/>
  <c r="BQ93" i="1" s="1"/>
  <c r="BR93" i="1" s="1"/>
  <c r="BT93" i="1" s="1"/>
  <c r="BU93" i="1" s="1"/>
  <c r="BV93" i="1" s="1"/>
  <c r="BX93" i="1" s="1"/>
  <c r="BY93" i="1" s="1"/>
  <c r="BZ93" i="1" s="1"/>
  <c r="AY93" i="1"/>
  <c r="AV91" i="1"/>
  <c r="AW91" i="1" s="1"/>
  <c r="AX91" i="1" s="1"/>
  <c r="AU91" i="1"/>
  <c r="M77" i="1"/>
  <c r="N77" i="1" s="1"/>
  <c r="P77" i="1" s="1"/>
  <c r="Q77" i="1" s="1"/>
  <c r="R77" i="1" s="1"/>
  <c r="T77" i="1" s="1"/>
  <c r="U77" i="1" s="1"/>
  <c r="V77" i="1" s="1"/>
  <c r="X77" i="1" s="1"/>
  <c r="Y77" i="1" s="1"/>
  <c r="Z77" i="1" s="1"/>
  <c r="AB77" i="1" s="1"/>
  <c r="AC77" i="1" s="1"/>
  <c r="AD77" i="1" s="1"/>
  <c r="AF77" i="1" s="1"/>
  <c r="AG77" i="1" s="1"/>
  <c r="AH77" i="1" s="1"/>
  <c r="AJ77" i="1" s="1"/>
  <c r="AK77" i="1" s="1"/>
  <c r="AL77" i="1" s="1"/>
  <c r="AN77" i="1" s="1"/>
  <c r="AO77" i="1" s="1"/>
  <c r="AP77" i="1" s="1"/>
  <c r="AR77" i="1" s="1"/>
  <c r="AS77" i="1" s="1"/>
  <c r="AT77" i="1" s="1"/>
  <c r="AV77" i="1" s="1"/>
  <c r="AW77" i="1" s="1"/>
  <c r="AX77" i="1" s="1"/>
  <c r="AZ77" i="1" s="1"/>
  <c r="BA77" i="1" s="1"/>
  <c r="BB77" i="1" s="1"/>
  <c r="BD77" i="1" s="1"/>
  <c r="BE77" i="1" s="1"/>
  <c r="BF77" i="1" s="1"/>
  <c r="BH77" i="1" s="1"/>
  <c r="BI77" i="1" s="1"/>
  <c r="BJ77" i="1" s="1"/>
  <c r="BL77" i="1" s="1"/>
  <c r="BM77" i="1" s="1"/>
  <c r="BN77" i="1" s="1"/>
  <c r="BP77" i="1" s="1"/>
  <c r="BQ77" i="1" s="1"/>
  <c r="BR77" i="1" s="1"/>
  <c r="BT77" i="1" s="1"/>
  <c r="BU77" i="1" s="1"/>
  <c r="BV77" i="1" s="1"/>
  <c r="BX77" i="1" s="1"/>
  <c r="BY77" i="1" s="1"/>
  <c r="BZ77" i="1" s="1"/>
  <c r="M85" i="1"/>
  <c r="N85" i="1" s="1"/>
  <c r="P85" i="1" s="1"/>
  <c r="Q85" i="1" s="1"/>
  <c r="R85" i="1" s="1"/>
  <c r="T85" i="1" s="1"/>
  <c r="U85" i="1" s="1"/>
  <c r="V85" i="1" s="1"/>
  <c r="X85" i="1" s="1"/>
  <c r="Y85" i="1" s="1"/>
  <c r="Z85" i="1" s="1"/>
  <c r="AB85" i="1" s="1"/>
  <c r="AC85" i="1" s="1"/>
  <c r="AD85" i="1" s="1"/>
  <c r="AF85" i="1" s="1"/>
  <c r="AG85" i="1" s="1"/>
  <c r="AH85" i="1" s="1"/>
  <c r="AJ85" i="1" s="1"/>
  <c r="AK85" i="1" s="1"/>
  <c r="AL85" i="1" s="1"/>
  <c r="AN85" i="1" s="1"/>
  <c r="AO85" i="1" s="1"/>
  <c r="AP85" i="1" s="1"/>
  <c r="AR85" i="1" s="1"/>
  <c r="AS85" i="1" s="1"/>
  <c r="AT85" i="1" s="1"/>
  <c r="AV85" i="1" s="1"/>
  <c r="AW85" i="1" s="1"/>
  <c r="AX85" i="1" s="1"/>
  <c r="AZ85" i="1" s="1"/>
  <c r="BA85" i="1" s="1"/>
  <c r="BB85" i="1" s="1"/>
  <c r="BD85" i="1" s="1"/>
  <c r="BE85" i="1" s="1"/>
  <c r="BF85" i="1" s="1"/>
  <c r="BH85" i="1" s="1"/>
  <c r="BI85" i="1" s="1"/>
  <c r="BJ85" i="1" s="1"/>
  <c r="BL85" i="1" s="1"/>
  <c r="BM85" i="1" s="1"/>
  <c r="BN85" i="1" s="1"/>
  <c r="BP85" i="1" s="1"/>
  <c r="BQ85" i="1" s="1"/>
  <c r="BR85" i="1" s="1"/>
  <c r="BT85" i="1" s="1"/>
  <c r="BU85" i="1" s="1"/>
  <c r="BV85" i="1" s="1"/>
  <c r="BX85" i="1" s="1"/>
  <c r="BY85" i="1" s="1"/>
  <c r="BZ85" i="1" s="1"/>
  <c r="M79" i="1"/>
  <c r="N79" i="1" s="1"/>
  <c r="P79" i="1" s="1"/>
  <c r="Q79" i="1" s="1"/>
  <c r="R79" i="1" s="1"/>
  <c r="T79" i="1" s="1"/>
  <c r="U79" i="1" s="1"/>
  <c r="V79" i="1" s="1"/>
  <c r="X79" i="1" s="1"/>
  <c r="Y79" i="1" s="1"/>
  <c r="Z79" i="1" s="1"/>
  <c r="AB79" i="1" s="1"/>
  <c r="AC79" i="1" s="1"/>
  <c r="AD79" i="1" s="1"/>
  <c r="AF79" i="1" s="1"/>
  <c r="AG79" i="1" s="1"/>
  <c r="AH79" i="1" s="1"/>
  <c r="AJ79" i="1" s="1"/>
  <c r="AK79" i="1" s="1"/>
  <c r="AL79" i="1" s="1"/>
  <c r="AN79" i="1" s="1"/>
  <c r="AO79" i="1" s="1"/>
  <c r="AP79" i="1" s="1"/>
  <c r="AR79" i="1" s="1"/>
  <c r="AS79" i="1" s="1"/>
  <c r="AT79" i="1" s="1"/>
  <c r="AV79" i="1" s="1"/>
  <c r="AW79" i="1" s="1"/>
  <c r="AX79" i="1" s="1"/>
  <c r="AZ79" i="1" s="1"/>
  <c r="BA79" i="1" s="1"/>
  <c r="BB79" i="1" s="1"/>
  <c r="BD79" i="1" s="1"/>
  <c r="BE79" i="1" s="1"/>
  <c r="BF79" i="1" s="1"/>
  <c r="BH79" i="1" s="1"/>
  <c r="BI79" i="1" s="1"/>
  <c r="BJ79" i="1" s="1"/>
  <c r="BL79" i="1" s="1"/>
  <c r="BM79" i="1" s="1"/>
  <c r="BN79" i="1" s="1"/>
  <c r="BP79" i="1" s="1"/>
  <c r="BQ79" i="1" s="1"/>
  <c r="BR79" i="1" s="1"/>
  <c r="BT79" i="1" s="1"/>
  <c r="BU79" i="1" s="1"/>
  <c r="BV79" i="1" s="1"/>
  <c r="BX79" i="1" s="1"/>
  <c r="BY79" i="1" s="1"/>
  <c r="BZ79" i="1" s="1"/>
  <c r="M83" i="1"/>
  <c r="N83" i="1" s="1"/>
  <c r="P83" i="1" s="1"/>
  <c r="Q83" i="1" s="1"/>
  <c r="R83" i="1" s="1"/>
  <c r="T83" i="1" s="1"/>
  <c r="U83" i="1" s="1"/>
  <c r="V83" i="1" s="1"/>
  <c r="X83" i="1" s="1"/>
  <c r="Y83" i="1" s="1"/>
  <c r="Z83" i="1" s="1"/>
  <c r="AB83" i="1" s="1"/>
  <c r="AC83" i="1" s="1"/>
  <c r="AD83" i="1" s="1"/>
  <c r="AF83" i="1" s="1"/>
  <c r="AG83" i="1" s="1"/>
  <c r="AH83" i="1" s="1"/>
  <c r="AJ83" i="1" s="1"/>
  <c r="AK83" i="1" s="1"/>
  <c r="AL83" i="1" s="1"/>
  <c r="AN83" i="1" s="1"/>
  <c r="AO83" i="1" s="1"/>
  <c r="AP83" i="1" s="1"/>
  <c r="AR83" i="1" s="1"/>
  <c r="AS83" i="1" s="1"/>
  <c r="AT83" i="1" s="1"/>
  <c r="AV83" i="1" s="1"/>
  <c r="AW83" i="1" s="1"/>
  <c r="AX83" i="1" s="1"/>
  <c r="AZ83" i="1" s="1"/>
  <c r="BA83" i="1" s="1"/>
  <c r="BB83" i="1" s="1"/>
  <c r="BD83" i="1" s="1"/>
  <c r="BE83" i="1" s="1"/>
  <c r="BF83" i="1" s="1"/>
  <c r="BH83" i="1" s="1"/>
  <c r="BI83" i="1" s="1"/>
  <c r="BJ83" i="1" s="1"/>
  <c r="BL83" i="1" s="1"/>
  <c r="BM83" i="1" s="1"/>
  <c r="BN83" i="1" s="1"/>
  <c r="BP83" i="1" s="1"/>
  <c r="BQ83" i="1" s="1"/>
  <c r="BR83" i="1" s="1"/>
  <c r="BT83" i="1" s="1"/>
  <c r="BU83" i="1" s="1"/>
  <c r="BV83" i="1" s="1"/>
  <c r="BX83" i="1" s="1"/>
  <c r="BY83" i="1" s="1"/>
  <c r="BZ83" i="1" s="1"/>
  <c r="M81" i="1"/>
  <c r="N81" i="1" s="1"/>
  <c r="P81" i="1" s="1"/>
  <c r="Q81" i="1" s="1"/>
  <c r="R81" i="1" s="1"/>
  <c r="T81" i="1" s="1"/>
  <c r="U81" i="1" s="1"/>
  <c r="V81" i="1" s="1"/>
  <c r="X81" i="1" s="1"/>
  <c r="Y81" i="1" s="1"/>
  <c r="Z81" i="1" s="1"/>
  <c r="AB81" i="1" s="1"/>
  <c r="AC81" i="1" s="1"/>
  <c r="AD81" i="1" s="1"/>
  <c r="AF81" i="1" s="1"/>
  <c r="AG81" i="1" s="1"/>
  <c r="AH81" i="1" s="1"/>
  <c r="AJ81" i="1" s="1"/>
  <c r="AK81" i="1" s="1"/>
  <c r="AL81" i="1" s="1"/>
  <c r="AN81" i="1" s="1"/>
  <c r="AO81" i="1" s="1"/>
  <c r="AP81" i="1" s="1"/>
  <c r="AR81" i="1" s="1"/>
  <c r="AS81" i="1" s="1"/>
  <c r="AT81" i="1" s="1"/>
  <c r="AV81" i="1" s="1"/>
  <c r="AW81" i="1" s="1"/>
  <c r="AX81" i="1" s="1"/>
  <c r="AZ81" i="1" s="1"/>
  <c r="BA81" i="1" s="1"/>
  <c r="BB81" i="1" s="1"/>
  <c r="BD81" i="1" s="1"/>
  <c r="BE81" i="1" s="1"/>
  <c r="BF81" i="1" s="1"/>
  <c r="BH81" i="1" s="1"/>
  <c r="BI81" i="1" s="1"/>
  <c r="BJ81" i="1" s="1"/>
  <c r="BL81" i="1" s="1"/>
  <c r="BM81" i="1" s="1"/>
  <c r="BN81" i="1" s="1"/>
  <c r="BP81" i="1" s="1"/>
  <c r="BQ81" i="1" s="1"/>
  <c r="BR81" i="1" s="1"/>
  <c r="BT81" i="1" s="1"/>
  <c r="BU81" i="1" s="1"/>
  <c r="BV81" i="1" s="1"/>
  <c r="BX81" i="1" s="1"/>
  <c r="BY81" i="1" s="1"/>
  <c r="BZ81" i="1" s="1"/>
  <c r="BP39" i="1"/>
  <c r="BQ39" i="1" s="1"/>
  <c r="BR39" i="1" s="1"/>
  <c r="BP33" i="1"/>
  <c r="BQ33" i="1" s="1"/>
  <c r="BR33" i="1" s="1"/>
  <c r="Q73" i="1"/>
  <c r="R73" i="1" s="1"/>
  <c r="T73" i="1" s="1"/>
  <c r="U73" i="1" s="1"/>
  <c r="V73" i="1" s="1"/>
  <c r="X73" i="1" s="1"/>
  <c r="Y73" i="1" s="1"/>
  <c r="Z73" i="1" s="1"/>
  <c r="AB73" i="1" s="1"/>
  <c r="AC73" i="1" s="1"/>
  <c r="AD73" i="1" s="1"/>
  <c r="AF73" i="1" s="1"/>
  <c r="AG73" i="1" s="1"/>
  <c r="AH73" i="1" s="1"/>
  <c r="AJ73" i="1" s="1"/>
  <c r="AK73" i="1" s="1"/>
  <c r="AL73" i="1" s="1"/>
  <c r="AN73" i="1" s="1"/>
  <c r="AO73" i="1" s="1"/>
  <c r="AP73" i="1" s="1"/>
  <c r="AR73" i="1" s="1"/>
  <c r="AS73" i="1" s="1"/>
  <c r="AT73" i="1" s="1"/>
  <c r="N73" i="1"/>
  <c r="M69" i="1"/>
  <c r="N69" i="1" s="1"/>
  <c r="P69" i="1" s="1"/>
  <c r="Q69" i="1" s="1"/>
  <c r="R69" i="1" s="1"/>
  <c r="T69" i="1" s="1"/>
  <c r="U69" i="1" s="1"/>
  <c r="V69" i="1" s="1"/>
  <c r="X69" i="1" s="1"/>
  <c r="Y69" i="1" s="1"/>
  <c r="Z69" i="1" s="1"/>
  <c r="AB69" i="1" s="1"/>
  <c r="AC69" i="1" s="1"/>
  <c r="AD69" i="1" s="1"/>
  <c r="AF69" i="1" s="1"/>
  <c r="AG69" i="1" s="1"/>
  <c r="AH69" i="1" s="1"/>
  <c r="AJ69" i="1" s="1"/>
  <c r="AK69" i="1" s="1"/>
  <c r="AL69" i="1" s="1"/>
  <c r="AN69" i="1" s="1"/>
  <c r="AO69" i="1" s="1"/>
  <c r="AP69" i="1" s="1"/>
  <c r="AR69" i="1" s="1"/>
  <c r="AS69" i="1" s="1"/>
  <c r="AT69" i="1" s="1"/>
  <c r="DX75" i="1"/>
  <c r="DY75" i="1" s="1"/>
  <c r="DZ75" i="1" s="1"/>
  <c r="EA75" i="1" s="1"/>
  <c r="EB75" i="1" s="1"/>
  <c r="EC75" i="1" s="1"/>
  <c r="M75" i="1"/>
  <c r="N75" i="1" s="1"/>
  <c r="P75" i="1" s="1"/>
  <c r="Q75" i="1" s="1"/>
  <c r="R75" i="1" s="1"/>
  <c r="T75" i="1" s="1"/>
  <c r="U75" i="1" s="1"/>
  <c r="V75" i="1" s="1"/>
  <c r="X75" i="1" s="1"/>
  <c r="Y75" i="1" s="1"/>
  <c r="Z75" i="1" s="1"/>
  <c r="AB75" i="1" s="1"/>
  <c r="AC75" i="1" s="1"/>
  <c r="AD75" i="1" s="1"/>
  <c r="AF75" i="1" s="1"/>
  <c r="AG75" i="1" s="1"/>
  <c r="AH75" i="1" s="1"/>
  <c r="AJ75" i="1" s="1"/>
  <c r="AK75" i="1" s="1"/>
  <c r="AL75" i="1" s="1"/>
  <c r="AN75" i="1" s="1"/>
  <c r="AO75" i="1" s="1"/>
  <c r="AP75" i="1" s="1"/>
  <c r="AR75" i="1" s="1"/>
  <c r="AS75" i="1" s="1"/>
  <c r="AT75" i="1" s="1"/>
  <c r="DX71" i="1"/>
  <c r="DY71" i="1" s="1"/>
  <c r="DZ71" i="1" s="1"/>
  <c r="EA71" i="1" s="1"/>
  <c r="EB71" i="1" s="1"/>
  <c r="EC71" i="1" s="1"/>
  <c r="M71" i="1"/>
  <c r="N71" i="1" s="1"/>
  <c r="P71" i="1" s="1"/>
  <c r="Q71" i="1" s="1"/>
  <c r="R71" i="1" s="1"/>
  <c r="T71" i="1" s="1"/>
  <c r="U71" i="1" s="1"/>
  <c r="V71" i="1" s="1"/>
  <c r="X71" i="1" s="1"/>
  <c r="Y71" i="1" s="1"/>
  <c r="Z71" i="1" s="1"/>
  <c r="AB71" i="1" s="1"/>
  <c r="AC71" i="1" s="1"/>
  <c r="AD71" i="1" s="1"/>
  <c r="AF71" i="1" s="1"/>
  <c r="AG71" i="1" s="1"/>
  <c r="AH71" i="1" s="1"/>
  <c r="AJ71" i="1" s="1"/>
  <c r="AK71" i="1" s="1"/>
  <c r="AL71" i="1" s="1"/>
  <c r="AN71" i="1" s="1"/>
  <c r="AO71" i="1" s="1"/>
  <c r="AP71" i="1" s="1"/>
  <c r="AR71" i="1" s="1"/>
  <c r="AS71" i="1" s="1"/>
  <c r="AT71" i="1" s="1"/>
  <c r="DX69" i="1"/>
  <c r="DY69" i="1" s="1"/>
  <c r="DZ69" i="1" s="1"/>
  <c r="EA69" i="1" s="1"/>
  <c r="EB69" i="1" s="1"/>
  <c r="EC69" i="1" s="1"/>
  <c r="DX67" i="1"/>
  <c r="DY67" i="1" s="1"/>
  <c r="DZ67" i="1" s="1"/>
  <c r="EA67" i="1" s="1"/>
  <c r="EB67" i="1" s="1"/>
  <c r="EC67" i="1" s="1"/>
  <c r="M67" i="1"/>
  <c r="N67" i="1" s="1"/>
  <c r="P67" i="1" s="1"/>
  <c r="Q67" i="1" s="1"/>
  <c r="R67" i="1" s="1"/>
  <c r="T67" i="1" s="1"/>
  <c r="U67" i="1" s="1"/>
  <c r="V67" i="1" s="1"/>
  <c r="X67" i="1" s="1"/>
  <c r="Y67" i="1" s="1"/>
  <c r="Z67" i="1" s="1"/>
  <c r="AB67" i="1" s="1"/>
  <c r="AC67" i="1" s="1"/>
  <c r="AD67" i="1" s="1"/>
  <c r="AF67" i="1" s="1"/>
  <c r="AG67" i="1" s="1"/>
  <c r="AH67" i="1" s="1"/>
  <c r="AJ67" i="1" s="1"/>
  <c r="AK67" i="1" s="1"/>
  <c r="AL67" i="1" s="1"/>
  <c r="AN67" i="1" s="1"/>
  <c r="AO67" i="1" s="1"/>
  <c r="AP67" i="1" s="1"/>
  <c r="AR67" i="1" s="1"/>
  <c r="AS67" i="1" s="1"/>
  <c r="AT67" i="1" s="1"/>
  <c r="DX65" i="1"/>
  <c r="DY65" i="1" s="1"/>
  <c r="DZ65" i="1" s="1"/>
  <c r="EA65" i="1" s="1"/>
  <c r="EB65" i="1" s="1"/>
  <c r="EC65" i="1" s="1"/>
  <c r="M65" i="1"/>
  <c r="N65" i="1" s="1"/>
  <c r="P65" i="1" s="1"/>
  <c r="Q65" i="1" s="1"/>
  <c r="R65" i="1" s="1"/>
  <c r="T65" i="1" s="1"/>
  <c r="U65" i="1" s="1"/>
  <c r="V65" i="1" s="1"/>
  <c r="X65" i="1" s="1"/>
  <c r="Y65" i="1" s="1"/>
  <c r="Z65" i="1" s="1"/>
  <c r="AB65" i="1" s="1"/>
  <c r="AC65" i="1" s="1"/>
  <c r="AD65" i="1" s="1"/>
  <c r="AF65" i="1" s="1"/>
  <c r="AG65" i="1" s="1"/>
  <c r="AH65" i="1" s="1"/>
  <c r="AJ65" i="1" s="1"/>
  <c r="AK65" i="1" s="1"/>
  <c r="AL65" i="1" s="1"/>
  <c r="AN65" i="1" s="1"/>
  <c r="AO65" i="1" s="1"/>
  <c r="AP65" i="1" s="1"/>
  <c r="AR65" i="1" s="1"/>
  <c r="AS65" i="1" s="1"/>
  <c r="AT65" i="1" s="1"/>
  <c r="DX59" i="1"/>
  <c r="DY59" i="1" s="1"/>
  <c r="DZ59" i="1" s="1"/>
  <c r="EA59" i="1" s="1"/>
  <c r="EB59" i="1" s="1"/>
  <c r="EC59" i="1" s="1"/>
  <c r="DX61" i="1"/>
  <c r="DY61" i="1" s="1"/>
  <c r="DZ61" i="1" s="1"/>
  <c r="EA61" i="1" s="1"/>
  <c r="EB61" i="1" s="1"/>
  <c r="EC61" i="1" s="1"/>
  <c r="DX63" i="1"/>
  <c r="DY63" i="1" s="1"/>
  <c r="DZ63" i="1" s="1"/>
  <c r="EA63" i="1" s="1"/>
  <c r="EB63" i="1" s="1"/>
  <c r="EC63" i="1" s="1"/>
  <c r="M63" i="1"/>
  <c r="N63" i="1" s="1"/>
  <c r="P63" i="1" s="1"/>
  <c r="Q63" i="1" s="1"/>
  <c r="R63" i="1" s="1"/>
  <c r="T63" i="1" s="1"/>
  <c r="U63" i="1" s="1"/>
  <c r="V63" i="1" s="1"/>
  <c r="X63" i="1" s="1"/>
  <c r="Y63" i="1" s="1"/>
  <c r="Z63" i="1" s="1"/>
  <c r="AB63" i="1" s="1"/>
  <c r="AC63" i="1" s="1"/>
  <c r="AD63" i="1" s="1"/>
  <c r="AF63" i="1" s="1"/>
  <c r="AG63" i="1" s="1"/>
  <c r="AH63" i="1" s="1"/>
  <c r="AJ63" i="1" s="1"/>
  <c r="AK63" i="1" s="1"/>
  <c r="AL63" i="1" s="1"/>
  <c r="AN63" i="1" s="1"/>
  <c r="AO63" i="1" s="1"/>
  <c r="AP63" i="1" s="1"/>
  <c r="AR63" i="1" s="1"/>
  <c r="AS63" i="1" s="1"/>
  <c r="AT63" i="1" s="1"/>
  <c r="M61" i="1"/>
  <c r="N61" i="1" s="1"/>
  <c r="P61" i="1" s="1"/>
  <c r="Q61" i="1" s="1"/>
  <c r="R61" i="1" s="1"/>
  <c r="T61" i="1" s="1"/>
  <c r="U61" i="1" s="1"/>
  <c r="V61" i="1" s="1"/>
  <c r="X61" i="1" s="1"/>
  <c r="Y61" i="1" s="1"/>
  <c r="Z61" i="1" s="1"/>
  <c r="AB61" i="1" s="1"/>
  <c r="AC61" i="1" s="1"/>
  <c r="AD61" i="1" s="1"/>
  <c r="AF61" i="1" s="1"/>
  <c r="AG61" i="1" s="1"/>
  <c r="AH61" i="1" s="1"/>
  <c r="AJ61" i="1" s="1"/>
  <c r="AK61" i="1" s="1"/>
  <c r="AL61" i="1" s="1"/>
  <c r="AN61" i="1" s="1"/>
  <c r="AO61" i="1" s="1"/>
  <c r="AP61" i="1" s="1"/>
  <c r="AR61" i="1" s="1"/>
  <c r="AS61" i="1" s="1"/>
  <c r="AT61" i="1" s="1"/>
  <c r="M59" i="1"/>
  <c r="N59" i="1" s="1"/>
  <c r="P59" i="1" s="1"/>
  <c r="Q59" i="1" s="1"/>
  <c r="R59" i="1" s="1"/>
  <c r="T59" i="1" s="1"/>
  <c r="U59" i="1" s="1"/>
  <c r="V59" i="1" s="1"/>
  <c r="X59" i="1" s="1"/>
  <c r="Y59" i="1" s="1"/>
  <c r="Z59" i="1" s="1"/>
  <c r="AB59" i="1" s="1"/>
  <c r="AC59" i="1" s="1"/>
  <c r="AD59" i="1" s="1"/>
  <c r="AF59" i="1" s="1"/>
  <c r="AG59" i="1" s="1"/>
  <c r="AH59" i="1" s="1"/>
  <c r="AJ59" i="1" s="1"/>
  <c r="AK59" i="1" s="1"/>
  <c r="AL59" i="1" s="1"/>
  <c r="AN59" i="1" s="1"/>
  <c r="AO59" i="1" s="1"/>
  <c r="AP59" i="1" s="1"/>
  <c r="AR59" i="1" s="1"/>
  <c r="AS59" i="1" s="1"/>
  <c r="AT59" i="1" s="1"/>
  <c r="BT95" i="1" l="1"/>
  <c r="BU95" i="1" s="1"/>
  <c r="BV95" i="1" s="1"/>
  <c r="BX95" i="1" s="1"/>
  <c r="BY95" i="1" s="1"/>
  <c r="BZ95" i="1" s="1"/>
  <c r="AZ91" i="1"/>
  <c r="BA91" i="1" s="1"/>
  <c r="BB91" i="1" s="1"/>
  <c r="BD91" i="1" s="1"/>
  <c r="BE91" i="1" s="1"/>
  <c r="BF91" i="1" s="1"/>
  <c r="BH91" i="1" s="1"/>
  <c r="BI91" i="1" s="1"/>
  <c r="BJ91" i="1" s="1"/>
  <c r="BL91" i="1" s="1"/>
  <c r="BM91" i="1" s="1"/>
  <c r="BN91" i="1" s="1"/>
  <c r="BP91" i="1" s="1"/>
  <c r="BQ91" i="1" s="1"/>
  <c r="BR91" i="1" s="1"/>
  <c r="BT91" i="1" s="1"/>
  <c r="BU91" i="1" s="1"/>
  <c r="BV91" i="1" s="1"/>
  <c r="BX91" i="1" s="1"/>
  <c r="BY91" i="1" s="1"/>
  <c r="BZ91" i="1" s="1"/>
  <c r="AY91" i="1"/>
  <c r="AV73" i="1"/>
  <c r="AW73" i="1" s="1"/>
  <c r="AX73" i="1" s="1"/>
  <c r="AV75" i="1"/>
  <c r="AW75" i="1" s="1"/>
  <c r="AX75" i="1" s="1"/>
  <c r="AV71" i="1"/>
  <c r="AW71" i="1" s="1"/>
  <c r="AX71" i="1" s="1"/>
  <c r="AV69" i="1"/>
  <c r="AW69" i="1" s="1"/>
  <c r="AX69" i="1" s="1"/>
  <c r="AV67" i="1"/>
  <c r="AW67" i="1" s="1"/>
  <c r="AX67" i="1" s="1"/>
  <c r="AV65" i="1"/>
  <c r="AW65" i="1" s="1"/>
  <c r="AX65" i="1" s="1"/>
  <c r="AV63" i="1"/>
  <c r="AW63" i="1" s="1"/>
  <c r="AX63" i="1" s="1"/>
  <c r="AV61" i="1"/>
  <c r="AW61" i="1" s="1"/>
  <c r="AX61" i="1" s="1"/>
  <c r="AV59" i="1"/>
  <c r="AW59" i="1" s="1"/>
  <c r="AX59" i="1" s="1"/>
  <c r="M57" i="1"/>
  <c r="M47" i="1"/>
  <c r="N47" i="1" s="1"/>
  <c r="P47" i="1" s="1"/>
  <c r="Q47" i="1" s="1"/>
  <c r="R47" i="1" s="1"/>
  <c r="T47" i="1" s="1"/>
  <c r="U47" i="1" s="1"/>
  <c r="V47" i="1" s="1"/>
  <c r="X47" i="1" s="1"/>
  <c r="Y47" i="1" s="1"/>
  <c r="Z47" i="1" s="1"/>
  <c r="AB47" i="1" s="1"/>
  <c r="AC47" i="1" s="1"/>
  <c r="AD47" i="1" s="1"/>
  <c r="AF47" i="1" s="1"/>
  <c r="AG47" i="1" s="1"/>
  <c r="AH47" i="1" s="1"/>
  <c r="AJ47" i="1" s="1"/>
  <c r="AK47" i="1" s="1"/>
  <c r="AL47" i="1" s="1"/>
  <c r="AN47" i="1" s="1"/>
  <c r="AO47" i="1" s="1"/>
  <c r="AP47" i="1" s="1"/>
  <c r="AR47" i="1" s="1"/>
  <c r="AS47" i="1" s="1"/>
  <c r="AT47" i="1" s="1"/>
  <c r="AV47" i="1" s="1"/>
  <c r="AW47" i="1" s="1"/>
  <c r="AX47" i="1" s="1"/>
  <c r="AZ47" i="1" s="1"/>
  <c r="BA47" i="1" s="1"/>
  <c r="BB47" i="1" s="1"/>
  <c r="BD47" i="1" s="1"/>
  <c r="BE47" i="1" s="1"/>
  <c r="BF47" i="1" s="1"/>
  <c r="BH47" i="1" s="1"/>
  <c r="BI47" i="1" s="1"/>
  <c r="BJ47" i="1" s="1"/>
  <c r="BL47" i="1" s="1"/>
  <c r="BM47" i="1" s="1"/>
  <c r="BN47" i="1" s="1"/>
  <c r="BP47" i="1" s="1"/>
  <c r="BQ47" i="1" s="1"/>
  <c r="BR47" i="1" s="1"/>
  <c r="BT47" i="1" s="1"/>
  <c r="BU47" i="1" s="1"/>
  <c r="BV47" i="1" s="1"/>
  <c r="BX47" i="1" s="1"/>
  <c r="BY47" i="1" s="1"/>
  <c r="BZ47" i="1" s="1"/>
  <c r="M45" i="1"/>
  <c r="N45" i="1" s="1"/>
  <c r="P45" i="1" s="1"/>
  <c r="AZ63" i="1" l="1"/>
  <c r="BA63" i="1" s="1"/>
  <c r="BB63" i="1" s="1"/>
  <c r="AZ67" i="1"/>
  <c r="BA67" i="1" s="1"/>
  <c r="BB67" i="1" s="1"/>
  <c r="DT67" i="1"/>
  <c r="AZ61" i="1"/>
  <c r="BA61" i="1" s="1"/>
  <c r="BB61" i="1" s="1"/>
  <c r="DT61" i="1"/>
  <c r="AZ69" i="1"/>
  <c r="BA69" i="1" s="1"/>
  <c r="BB69" i="1" s="1"/>
  <c r="DT69" i="1"/>
  <c r="AZ71" i="1"/>
  <c r="BA71" i="1" s="1"/>
  <c r="BB71" i="1" s="1"/>
  <c r="DT71" i="1"/>
  <c r="AZ65" i="1"/>
  <c r="BA65" i="1" s="1"/>
  <c r="BB65" i="1" s="1"/>
  <c r="DT65" i="1"/>
  <c r="AZ75" i="1"/>
  <c r="BA75" i="1" s="1"/>
  <c r="BB75" i="1" s="1"/>
  <c r="DT75" i="1"/>
  <c r="AZ59" i="1"/>
  <c r="BA59" i="1" s="1"/>
  <c r="BB59" i="1" s="1"/>
  <c r="DT59" i="1"/>
  <c r="AZ73" i="1"/>
  <c r="BA73" i="1" s="1"/>
  <c r="BB73" i="1" s="1"/>
  <c r="Q45" i="1"/>
  <c r="R45" i="1" s="1"/>
  <c r="T45" i="1" s="1"/>
  <c r="U45" i="1" s="1"/>
  <c r="V45" i="1" s="1"/>
  <c r="X45" i="1" s="1"/>
  <c r="Y45" i="1" s="1"/>
  <c r="Z45" i="1" s="1"/>
  <c r="AB45" i="1" s="1"/>
  <c r="AC45" i="1" s="1"/>
  <c r="AD45" i="1" s="1"/>
  <c r="AF45" i="1" s="1"/>
  <c r="AG45" i="1" s="1"/>
  <c r="AH45" i="1" s="1"/>
  <c r="AJ45" i="1" s="1"/>
  <c r="AK45" i="1" s="1"/>
  <c r="AL45" i="1" s="1"/>
  <c r="AN45" i="1" s="1"/>
  <c r="AO45" i="1" s="1"/>
  <c r="AP45" i="1" s="1"/>
  <c r="AR45" i="1" s="1"/>
  <c r="AS45" i="1" s="1"/>
  <c r="AT45" i="1" s="1"/>
  <c r="AV45" i="1" s="1"/>
  <c r="AW45" i="1" s="1"/>
  <c r="AX45" i="1" s="1"/>
  <c r="AZ45" i="1" s="1"/>
  <c r="BA45" i="1" s="1"/>
  <c r="BB45" i="1" s="1"/>
  <c r="BD45" i="1" s="1"/>
  <c r="BE45" i="1" s="1"/>
  <c r="BF45" i="1" s="1"/>
  <c r="BH45" i="1" s="1"/>
  <c r="BI45" i="1" s="1"/>
  <c r="BJ45" i="1" s="1"/>
  <c r="BL45" i="1" s="1"/>
  <c r="BM45" i="1" s="1"/>
  <c r="BN45" i="1" s="1"/>
  <c r="BP45" i="1" s="1"/>
  <c r="BQ45" i="1" s="1"/>
  <c r="BR45" i="1" s="1"/>
  <c r="BT45" i="1" l="1"/>
  <c r="BU45" i="1" s="1"/>
  <c r="BV45" i="1" s="1"/>
  <c r="BX45" i="1" s="1"/>
  <c r="BY45" i="1" s="1"/>
  <c r="BZ45" i="1" s="1"/>
  <c r="M41" i="1"/>
  <c r="N41" i="1" s="1"/>
  <c r="P41" i="1" s="1"/>
  <c r="Q41" i="1" s="1"/>
  <c r="R41" i="1" s="1"/>
  <c r="T41" i="1" s="1"/>
  <c r="U41" i="1" s="1"/>
  <c r="V41" i="1" s="1"/>
  <c r="X41" i="1" s="1"/>
  <c r="Y41" i="1" s="1"/>
  <c r="Z41" i="1" s="1"/>
  <c r="AB41" i="1" s="1"/>
  <c r="AC41" i="1" s="1"/>
  <c r="AD41" i="1" s="1"/>
  <c r="AF41" i="1" s="1"/>
  <c r="AG41" i="1" s="1"/>
  <c r="AH41" i="1" s="1"/>
  <c r="AJ41" i="1" s="1"/>
  <c r="AK41" i="1" s="1"/>
  <c r="AL41" i="1" s="1"/>
  <c r="AN41" i="1" s="1"/>
  <c r="AO41" i="1" s="1"/>
  <c r="AP41" i="1" s="1"/>
  <c r="AR41" i="1" s="1"/>
  <c r="AS41" i="1" s="1"/>
  <c r="AT41" i="1" s="1"/>
  <c r="DX57" i="1"/>
  <c r="DY57" i="1" s="1"/>
  <c r="DZ57" i="1" s="1"/>
  <c r="EA57" i="1" s="1"/>
  <c r="EB57" i="1" s="1"/>
  <c r="EC57" i="1" s="1"/>
  <c r="N57" i="1"/>
  <c r="P57" i="1" s="1"/>
  <c r="Q57" i="1" s="1"/>
  <c r="R57" i="1" s="1"/>
  <c r="T57" i="1" s="1"/>
  <c r="U57" i="1" s="1"/>
  <c r="V57" i="1" s="1"/>
  <c r="X57" i="1" s="1"/>
  <c r="Y57" i="1" s="1"/>
  <c r="Z57" i="1" s="1"/>
  <c r="AB57" i="1" s="1"/>
  <c r="AC57" i="1" s="1"/>
  <c r="AD57" i="1" s="1"/>
  <c r="AF57" i="1" s="1"/>
  <c r="AG57" i="1" s="1"/>
  <c r="AH57" i="1" s="1"/>
  <c r="AJ57" i="1" s="1"/>
  <c r="AK57" i="1" s="1"/>
  <c r="AL57" i="1" s="1"/>
  <c r="AN57" i="1" s="1"/>
  <c r="AO57" i="1" s="1"/>
  <c r="AP57" i="1" s="1"/>
  <c r="AR57" i="1" s="1"/>
  <c r="AS57" i="1" s="1"/>
  <c r="AT57" i="1" s="1"/>
  <c r="EC55" i="1"/>
  <c r="M55" i="1"/>
  <c r="N55" i="1" s="1"/>
  <c r="P55" i="1" s="1"/>
  <c r="Q55" i="1" s="1"/>
  <c r="R55" i="1" s="1"/>
  <c r="T55" i="1" s="1"/>
  <c r="U55" i="1" s="1"/>
  <c r="V55" i="1" s="1"/>
  <c r="X55" i="1" s="1"/>
  <c r="Y55" i="1" s="1"/>
  <c r="Z55" i="1" s="1"/>
  <c r="AB55" i="1" s="1"/>
  <c r="AC55" i="1" s="1"/>
  <c r="AD55" i="1" s="1"/>
  <c r="AF55" i="1" s="1"/>
  <c r="AG55" i="1" s="1"/>
  <c r="AH55" i="1" s="1"/>
  <c r="AJ55" i="1" s="1"/>
  <c r="AK55" i="1" s="1"/>
  <c r="AL55" i="1" s="1"/>
  <c r="AN55" i="1" s="1"/>
  <c r="AO55" i="1" s="1"/>
  <c r="AP55" i="1" s="1"/>
  <c r="AR55" i="1" s="1"/>
  <c r="AS55" i="1" s="1"/>
  <c r="AT55" i="1" s="1"/>
  <c r="DX49" i="1"/>
  <c r="DY49" i="1" s="1"/>
  <c r="DZ49" i="1" s="1"/>
  <c r="EA49" i="1" s="1"/>
  <c r="EB49" i="1" s="1"/>
  <c r="EC49" i="1" s="1"/>
  <c r="M49" i="1"/>
  <c r="N49" i="1" s="1"/>
  <c r="P49" i="1" s="1"/>
  <c r="Q49" i="1" s="1"/>
  <c r="R49" i="1" s="1"/>
  <c r="DY51" i="1"/>
  <c r="DZ51" i="1" s="1"/>
  <c r="EA51" i="1" s="1"/>
  <c r="EB51" i="1" s="1"/>
  <c r="EC51" i="1" s="1"/>
  <c r="M51" i="1"/>
  <c r="N51" i="1" s="1"/>
  <c r="Q51" i="1" s="1"/>
  <c r="R51" i="1" s="1"/>
  <c r="T51" i="1" s="1"/>
  <c r="U51" i="1" s="1"/>
  <c r="V51" i="1" s="1"/>
  <c r="X51" i="1" s="1"/>
  <c r="Y51" i="1" s="1"/>
  <c r="Z51" i="1" s="1"/>
  <c r="AB51" i="1" s="1"/>
  <c r="AC51" i="1" s="1"/>
  <c r="AD51" i="1" s="1"/>
  <c r="AF51" i="1" s="1"/>
  <c r="AG51" i="1" s="1"/>
  <c r="AH51" i="1" s="1"/>
  <c r="AJ51" i="1" s="1"/>
  <c r="AK51" i="1" s="1"/>
  <c r="AL51" i="1" s="1"/>
  <c r="AN51" i="1" s="1"/>
  <c r="AO51" i="1" s="1"/>
  <c r="AP51" i="1" s="1"/>
  <c r="AR51" i="1" s="1"/>
  <c r="AS51" i="1" s="1"/>
  <c r="AT51" i="1" s="1"/>
  <c r="M43" i="1"/>
  <c r="N43" i="1" s="1"/>
  <c r="P43" i="1" s="1"/>
  <c r="Q43" i="1" s="1"/>
  <c r="R43" i="1" s="1"/>
  <c r="T43" i="1" s="1"/>
  <c r="U43" i="1" s="1"/>
  <c r="V43" i="1" s="1"/>
  <c r="X43" i="1" s="1"/>
  <c r="Y43" i="1" s="1"/>
  <c r="Z43" i="1" s="1"/>
  <c r="AB43" i="1" s="1"/>
  <c r="AC43" i="1" s="1"/>
  <c r="AD43" i="1" s="1"/>
  <c r="AF43" i="1" s="1"/>
  <c r="AG43" i="1" s="1"/>
  <c r="AH43" i="1" s="1"/>
  <c r="AJ43" i="1" s="1"/>
  <c r="AK43" i="1" s="1"/>
  <c r="AL43" i="1" s="1"/>
  <c r="AN43" i="1" s="1"/>
  <c r="AO43" i="1" s="1"/>
  <c r="AP43" i="1" s="1"/>
  <c r="AR43" i="1" s="1"/>
  <c r="AS43" i="1" s="1"/>
  <c r="AT43" i="1" s="1"/>
  <c r="DX53" i="1"/>
  <c r="DY53" i="1" s="1"/>
  <c r="DZ53" i="1" s="1"/>
  <c r="EA53" i="1" s="1"/>
  <c r="EB53" i="1" s="1"/>
  <c r="EC53" i="1" s="1"/>
  <c r="M53" i="1"/>
  <c r="N53" i="1" s="1"/>
  <c r="P53" i="1" s="1"/>
  <c r="Q53" i="1" s="1"/>
  <c r="R53" i="1" s="1"/>
  <c r="T53" i="1" s="1"/>
  <c r="U53" i="1" s="1"/>
  <c r="V53" i="1" s="1"/>
  <c r="X53" i="1" s="1"/>
  <c r="Y53" i="1" s="1"/>
  <c r="Z53" i="1" s="1"/>
  <c r="AB53" i="1" s="1"/>
  <c r="AC53" i="1" s="1"/>
  <c r="AD53" i="1" s="1"/>
  <c r="AF53" i="1" s="1"/>
  <c r="AG53" i="1" s="1"/>
  <c r="AH53" i="1" s="1"/>
  <c r="AJ53" i="1" s="1"/>
  <c r="AK53" i="1" s="1"/>
  <c r="AL53" i="1" s="1"/>
  <c r="AN53" i="1" s="1"/>
  <c r="AO53" i="1" s="1"/>
  <c r="AP53" i="1" s="1"/>
  <c r="AR53" i="1" s="1"/>
  <c r="AS53" i="1" s="1"/>
  <c r="AT53" i="1" s="1"/>
  <c r="T49" i="1" l="1"/>
  <c r="U49" i="1" s="1"/>
  <c r="V49" i="1" s="1"/>
  <c r="X49" i="1" s="1"/>
  <c r="Y49" i="1" s="1"/>
  <c r="Z49" i="1" s="1"/>
  <c r="AB49" i="1" s="1"/>
  <c r="AC49" i="1" s="1"/>
  <c r="AD49" i="1" s="1"/>
  <c r="AF49" i="1" s="1"/>
  <c r="AG49" i="1" s="1"/>
  <c r="AH49" i="1" s="1"/>
  <c r="AJ49" i="1" s="1"/>
  <c r="AK49" i="1" s="1"/>
  <c r="AL49" i="1" s="1"/>
  <c r="AN49" i="1" s="1"/>
  <c r="AO49" i="1" s="1"/>
  <c r="AP49" i="1" s="1"/>
  <c r="AR49" i="1" s="1"/>
  <c r="AS49" i="1" s="1"/>
  <c r="AT49" i="1" s="1"/>
  <c r="AV43" i="1"/>
  <c r="AW43" i="1" s="1"/>
  <c r="AX43" i="1" s="1"/>
  <c r="AV55" i="1"/>
  <c r="AW55" i="1" s="1"/>
  <c r="AX55" i="1" s="1"/>
  <c r="AV51" i="1"/>
  <c r="AW51" i="1" s="1"/>
  <c r="AX51" i="1" s="1"/>
  <c r="AV57" i="1"/>
  <c r="AW57" i="1" s="1"/>
  <c r="AX57" i="1" s="1"/>
  <c r="AV53" i="1"/>
  <c r="AW53" i="1" s="1"/>
  <c r="AX53" i="1" s="1"/>
  <c r="AV41" i="1"/>
  <c r="AW41" i="1" s="1"/>
  <c r="AX41" i="1" s="1"/>
  <c r="AZ41" i="1" s="1"/>
  <c r="BA41" i="1" s="1"/>
  <c r="BB41" i="1" s="1"/>
  <c r="BD41" i="1" s="1"/>
  <c r="BE41" i="1" s="1"/>
  <c r="BF41" i="1" s="1"/>
  <c r="BH41" i="1" s="1"/>
  <c r="BI41" i="1" s="1"/>
  <c r="BJ41" i="1" s="1"/>
  <c r="BL41" i="1" s="1"/>
  <c r="BM41" i="1" s="1"/>
  <c r="BN41" i="1" s="1"/>
  <c r="BP41" i="1" s="1"/>
  <c r="BQ41" i="1" s="1"/>
  <c r="BR41" i="1" s="1"/>
  <c r="BT41" i="1" s="1"/>
  <c r="BU41" i="1" s="1"/>
  <c r="BV41" i="1" s="1"/>
  <c r="BX41" i="1" s="1"/>
  <c r="BY41" i="1" s="1"/>
  <c r="BZ41" i="1" s="1"/>
  <c r="M39" i="1"/>
  <c r="N39" i="1" s="1"/>
  <c r="P39" i="1" s="1"/>
  <c r="Q39" i="1" s="1"/>
  <c r="R39" i="1" s="1"/>
  <c r="T39" i="1" s="1"/>
  <c r="U39" i="1" s="1"/>
  <c r="V39" i="1" s="1"/>
  <c r="X39" i="1" s="1"/>
  <c r="Y39" i="1" s="1"/>
  <c r="Z39" i="1" s="1"/>
  <c r="AB39" i="1" s="1"/>
  <c r="AC39" i="1" s="1"/>
  <c r="AD39" i="1" s="1"/>
  <c r="AF39" i="1" s="1"/>
  <c r="AG39" i="1" s="1"/>
  <c r="AH39" i="1" s="1"/>
  <c r="AJ39" i="1" s="1"/>
  <c r="AK39" i="1" s="1"/>
  <c r="AL39" i="1" s="1"/>
  <c r="AN39" i="1" s="1"/>
  <c r="AO39" i="1" s="1"/>
  <c r="AP39" i="1" s="1"/>
  <c r="AR39" i="1" s="1"/>
  <c r="AS39" i="1" s="1"/>
  <c r="AT39" i="1" s="1"/>
  <c r="M37" i="1"/>
  <c r="N37" i="1" s="1"/>
  <c r="P37" i="1" s="1"/>
  <c r="Q37" i="1" s="1"/>
  <c r="R37" i="1" s="1"/>
  <c r="T37" i="1" s="1"/>
  <c r="U37" i="1" s="1"/>
  <c r="V37" i="1" s="1"/>
  <c r="X37" i="1" s="1"/>
  <c r="Y37" i="1" s="1"/>
  <c r="Z37" i="1" s="1"/>
  <c r="AB37" i="1" s="1"/>
  <c r="AC37" i="1" s="1"/>
  <c r="AD37" i="1" s="1"/>
  <c r="AF37" i="1" s="1"/>
  <c r="AG37" i="1" s="1"/>
  <c r="AH37" i="1" s="1"/>
  <c r="AJ37" i="1" s="1"/>
  <c r="AK37" i="1" s="1"/>
  <c r="AL37" i="1" s="1"/>
  <c r="AN37" i="1" s="1"/>
  <c r="AO37" i="1" s="1"/>
  <c r="AP37" i="1" s="1"/>
  <c r="AR37" i="1" s="1"/>
  <c r="AS37" i="1" s="1"/>
  <c r="AT37" i="1" s="1"/>
  <c r="M35" i="1"/>
  <c r="N35" i="1" s="1"/>
  <c r="P35" i="1" s="1"/>
  <c r="Q35" i="1" s="1"/>
  <c r="R35" i="1" s="1"/>
  <c r="T35" i="1" s="1"/>
  <c r="U35" i="1" s="1"/>
  <c r="M33" i="1"/>
  <c r="N33" i="1" s="1"/>
  <c r="P33" i="1" s="1"/>
  <c r="Q33" i="1" s="1"/>
  <c r="R33" i="1" s="1"/>
  <c r="T33" i="1" s="1"/>
  <c r="U33" i="1" s="1"/>
  <c r="V33" i="1" s="1"/>
  <c r="X33" i="1" s="1"/>
  <c r="Y33" i="1" s="1"/>
  <c r="Z33" i="1" s="1"/>
  <c r="AB33" i="1" s="1"/>
  <c r="AC33" i="1" s="1"/>
  <c r="AD33" i="1" s="1"/>
  <c r="AF33" i="1" s="1"/>
  <c r="AG33" i="1" s="1"/>
  <c r="AH33" i="1" s="1"/>
  <c r="AJ33" i="1" s="1"/>
  <c r="AK33" i="1" s="1"/>
  <c r="AL33" i="1" s="1"/>
  <c r="AN33" i="1" s="1"/>
  <c r="AO33" i="1" s="1"/>
  <c r="AP33" i="1" s="1"/>
  <c r="AR33" i="1" s="1"/>
  <c r="AS33" i="1" s="1"/>
  <c r="AT33" i="1" s="1"/>
  <c r="DX11" i="1"/>
  <c r="DY11" i="1" s="1"/>
  <c r="DZ11" i="1" s="1"/>
  <c r="EA11" i="1" s="1"/>
  <c r="EB11" i="1" s="1"/>
  <c r="EC11" i="1" s="1"/>
  <c r="AZ51" i="1" l="1"/>
  <c r="BA51" i="1" s="1"/>
  <c r="BB51" i="1" s="1"/>
  <c r="DT51" i="1"/>
  <c r="AZ57" i="1"/>
  <c r="BA57" i="1" s="1"/>
  <c r="BB57" i="1" s="1"/>
  <c r="DT57" i="1"/>
  <c r="AZ55" i="1"/>
  <c r="BA55" i="1" s="1"/>
  <c r="BB55" i="1" s="1"/>
  <c r="AZ53" i="1"/>
  <c r="BA53" i="1" s="1"/>
  <c r="BB53" i="1" s="1"/>
  <c r="DT53" i="1"/>
  <c r="AZ43" i="1"/>
  <c r="BA43" i="1" s="1"/>
  <c r="BB43" i="1" s="1"/>
  <c r="BD43" i="1" s="1"/>
  <c r="BE43" i="1" s="1"/>
  <c r="BF43" i="1" s="1"/>
  <c r="BH43" i="1" s="1"/>
  <c r="BI43" i="1" s="1"/>
  <c r="BJ43" i="1" s="1"/>
  <c r="BL43" i="1" s="1"/>
  <c r="BM43" i="1" s="1"/>
  <c r="BN43" i="1" s="1"/>
  <c r="BP43" i="1" s="1"/>
  <c r="BQ43" i="1" s="1"/>
  <c r="BR43" i="1" s="1"/>
  <c r="BT43" i="1" s="1"/>
  <c r="BU43" i="1" s="1"/>
  <c r="BV43" i="1" s="1"/>
  <c r="BX43" i="1" s="1"/>
  <c r="BY43" i="1" s="1"/>
  <c r="BZ43" i="1" s="1"/>
  <c r="AV49" i="1"/>
  <c r="AW49" i="1" s="1"/>
  <c r="AX49" i="1" s="1"/>
  <c r="V35" i="1"/>
  <c r="X35" i="1" s="1"/>
  <c r="Y35" i="1" s="1"/>
  <c r="Z35" i="1" s="1"/>
  <c r="AB35" i="1" s="1"/>
  <c r="AC35" i="1" s="1"/>
  <c r="AD35" i="1" s="1"/>
  <c r="AF35" i="1" s="1"/>
  <c r="AG35" i="1" s="1"/>
  <c r="AH35" i="1" s="1"/>
  <c r="AJ35" i="1" s="1"/>
  <c r="AK35" i="1" s="1"/>
  <c r="AL35" i="1" s="1"/>
  <c r="AN35" i="1" s="1"/>
  <c r="AO35" i="1" s="1"/>
  <c r="AP35" i="1" s="1"/>
  <c r="AR35" i="1" s="1"/>
  <c r="AS35" i="1" s="1"/>
  <c r="AT35" i="1" s="1"/>
  <c r="AU39" i="1"/>
  <c r="AV39" i="1"/>
  <c r="AW39" i="1" s="1"/>
  <c r="AX39" i="1" s="1"/>
  <c r="AU33" i="1"/>
  <c r="AV33" i="1"/>
  <c r="AW33" i="1" s="1"/>
  <c r="AX33" i="1" s="1"/>
  <c r="AU37" i="1"/>
  <c r="AV37" i="1"/>
  <c r="AW37" i="1" s="1"/>
  <c r="AX37" i="1" s="1"/>
  <c r="M29" i="1"/>
  <c r="AZ49" i="1" l="1"/>
  <c r="BA49" i="1" s="1"/>
  <c r="BB49" i="1" s="1"/>
  <c r="DT49" i="1"/>
  <c r="AV35" i="1"/>
  <c r="AW35" i="1" s="1"/>
  <c r="AX35" i="1" s="1"/>
  <c r="AY35" i="1" s="1"/>
  <c r="AY37" i="1"/>
  <c r="AZ37" i="1"/>
  <c r="BA37" i="1" s="1"/>
  <c r="BB37" i="1" s="1"/>
  <c r="BD37" i="1" s="1"/>
  <c r="BE37" i="1" s="1"/>
  <c r="BF37" i="1" s="1"/>
  <c r="BH37" i="1" s="1"/>
  <c r="BI37" i="1" s="1"/>
  <c r="BJ37" i="1" s="1"/>
  <c r="BL37" i="1" s="1"/>
  <c r="BM37" i="1" s="1"/>
  <c r="BN37" i="1" s="1"/>
  <c r="BP37" i="1" s="1"/>
  <c r="BQ37" i="1" s="1"/>
  <c r="BR37" i="1" s="1"/>
  <c r="BT37" i="1" s="1"/>
  <c r="BU37" i="1" s="1"/>
  <c r="BV37" i="1" s="1"/>
  <c r="BX37" i="1" s="1"/>
  <c r="BY37" i="1" s="1"/>
  <c r="BZ37" i="1" s="1"/>
  <c r="AY33" i="1"/>
  <c r="AZ33" i="1"/>
  <c r="BA33" i="1" s="1"/>
  <c r="BB33" i="1" s="1"/>
  <c r="BD33" i="1" s="1"/>
  <c r="BE33" i="1" s="1"/>
  <c r="BF33" i="1" s="1"/>
  <c r="BH33" i="1" s="1"/>
  <c r="BI33" i="1" s="1"/>
  <c r="BJ33" i="1" s="1"/>
  <c r="AY39" i="1"/>
  <c r="AZ39" i="1"/>
  <c r="BA39" i="1" s="1"/>
  <c r="BB39" i="1" s="1"/>
  <c r="BD39" i="1" s="1"/>
  <c r="BE39" i="1" s="1"/>
  <c r="BF39" i="1" s="1"/>
  <c r="BH39" i="1" s="1"/>
  <c r="BI39" i="1" s="1"/>
  <c r="BJ39" i="1" s="1"/>
  <c r="N31" i="1"/>
  <c r="P31" i="1" s="1"/>
  <c r="Q31" i="1" s="1"/>
  <c r="R31" i="1" s="1"/>
  <c r="T31" i="1" s="1"/>
  <c r="U31" i="1" s="1"/>
  <c r="V31" i="1" s="1"/>
  <c r="X31" i="1" s="1"/>
  <c r="Y31" i="1" s="1"/>
  <c r="Z31" i="1" s="1"/>
  <c r="AB31" i="1" s="1"/>
  <c r="AC31" i="1" s="1"/>
  <c r="AD31" i="1" s="1"/>
  <c r="AF31" i="1" s="1"/>
  <c r="AG31" i="1" s="1"/>
  <c r="AH31" i="1" s="1"/>
  <c r="M15" i="1"/>
  <c r="N15" i="1" s="1"/>
  <c r="AZ35" i="1" l="1"/>
  <c r="BA35" i="1" s="1"/>
  <c r="BB35" i="1" s="1"/>
  <c r="BD35" i="1" s="1"/>
  <c r="BE35" i="1" s="1"/>
  <c r="BF35" i="1" s="1"/>
  <c r="BH35" i="1" s="1"/>
  <c r="BI35" i="1" s="1"/>
  <c r="BJ35" i="1" s="1"/>
  <c r="BL35" i="1" s="1"/>
  <c r="BM35" i="1" s="1"/>
  <c r="BN35" i="1" s="1"/>
  <c r="BP35" i="1" s="1"/>
  <c r="BQ35" i="1" s="1"/>
  <c r="BR35" i="1" s="1"/>
  <c r="BT35" i="1" s="1"/>
  <c r="BU35" i="1" s="1"/>
  <c r="BV35" i="1" s="1"/>
  <c r="BX35" i="1" s="1"/>
  <c r="BY35" i="1" s="1"/>
  <c r="BZ35" i="1" s="1"/>
  <c r="AJ31" i="1"/>
  <c r="AK31" i="1" s="1"/>
  <c r="AL31" i="1" s="1"/>
  <c r="AN31" i="1" s="1"/>
  <c r="AO31" i="1" s="1"/>
  <c r="AP31" i="1" s="1"/>
  <c r="AR31" i="1" s="1"/>
  <c r="AS31" i="1" s="1"/>
  <c r="AT31" i="1" s="1"/>
  <c r="N29" i="1"/>
  <c r="P29" i="1" s="1"/>
  <c r="Q29" i="1" s="1"/>
  <c r="R29" i="1" s="1"/>
  <c r="M27" i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M23" i="1"/>
  <c r="N23" i="1" s="1"/>
  <c r="P23" i="1" s="1"/>
  <c r="Q23" i="1" s="1"/>
  <c r="R23" i="1" s="1"/>
  <c r="T23" i="1" s="1"/>
  <c r="U23" i="1" s="1"/>
  <c r="V23" i="1" s="1"/>
  <c r="X23" i="1" s="1"/>
  <c r="Y23" i="1" s="1"/>
  <c r="Z23" i="1" s="1"/>
  <c r="AB23" i="1" s="1"/>
  <c r="AC23" i="1" s="1"/>
  <c r="AD23" i="1" s="1"/>
  <c r="AF23" i="1" s="1"/>
  <c r="AG23" i="1" s="1"/>
  <c r="AH23" i="1" s="1"/>
  <c r="AJ23" i="1" s="1"/>
  <c r="AK23" i="1" s="1"/>
  <c r="AL23" i="1" s="1"/>
  <c r="AN23" i="1" s="1"/>
  <c r="AO23" i="1" s="1"/>
  <c r="AP23" i="1" s="1"/>
  <c r="AR23" i="1" s="1"/>
  <c r="AS23" i="1" s="1"/>
  <c r="AT23" i="1" s="1"/>
  <c r="AV23" i="1" s="1"/>
  <c r="AW23" i="1" s="1"/>
  <c r="AX23" i="1" s="1"/>
  <c r="AZ23" i="1" s="1"/>
  <c r="BA23" i="1" s="1"/>
  <c r="BB23" i="1" s="1"/>
  <c r="M17" i="1"/>
  <c r="N17" i="1" s="1"/>
  <c r="P17" i="1" s="1"/>
  <c r="Q17" i="1" s="1"/>
  <c r="R17" i="1" s="1"/>
  <c r="T17" i="1" s="1"/>
  <c r="U17" i="1" s="1"/>
  <c r="V17" i="1" s="1"/>
  <c r="X17" i="1" s="1"/>
  <c r="Y17" i="1" s="1"/>
  <c r="Z17" i="1" s="1"/>
  <c r="AB17" i="1" s="1"/>
  <c r="AC17" i="1" s="1"/>
  <c r="AD17" i="1" s="1"/>
  <c r="AF17" i="1" s="1"/>
  <c r="AG17" i="1" s="1"/>
  <c r="AH17" i="1" s="1"/>
  <c r="AJ17" i="1" s="1"/>
  <c r="AK17" i="1" s="1"/>
  <c r="AL17" i="1" s="1"/>
  <c r="AN17" i="1" s="1"/>
  <c r="AO17" i="1" s="1"/>
  <c r="AP17" i="1" s="1"/>
  <c r="AR17" i="1" s="1"/>
  <c r="AS17" i="1" s="1"/>
  <c r="AT17" i="1" s="1"/>
  <c r="AV17" i="1" s="1"/>
  <c r="AW17" i="1" s="1"/>
  <c r="AX17" i="1" s="1"/>
  <c r="AZ17" i="1" s="1"/>
  <c r="BA17" i="1" s="1"/>
  <c r="BB17" i="1" s="1"/>
  <c r="BD17" i="1" s="1"/>
  <c r="BE17" i="1" s="1"/>
  <c r="BF17" i="1" s="1"/>
  <c r="BH17" i="1" s="1"/>
  <c r="BI17" i="1" s="1"/>
  <c r="BJ17" i="1" s="1"/>
  <c r="BL17" i="1" s="1"/>
  <c r="BM17" i="1" s="1"/>
  <c r="BN17" i="1" s="1"/>
  <c r="BP17" i="1" s="1"/>
  <c r="BQ17" i="1" s="1"/>
  <c r="BR17" i="1" s="1"/>
  <c r="BT17" i="1" s="1"/>
  <c r="BU17" i="1" s="1"/>
  <c r="BV17" i="1" s="1"/>
  <c r="BX17" i="1" s="1"/>
  <c r="BY17" i="1" s="1"/>
  <c r="BZ17" i="1" s="1"/>
  <c r="M21" i="1"/>
  <c r="N21" i="1" s="1"/>
  <c r="P21" i="1" s="1"/>
  <c r="Q21" i="1" s="1"/>
  <c r="R21" i="1" s="1"/>
  <c r="T21" i="1" s="1"/>
  <c r="U21" i="1" s="1"/>
  <c r="V21" i="1" s="1"/>
  <c r="X21" i="1" s="1"/>
  <c r="Y21" i="1" s="1"/>
  <c r="Z21" i="1" s="1"/>
  <c r="AB21" i="1" s="1"/>
  <c r="AC21" i="1" s="1"/>
  <c r="AD21" i="1" s="1"/>
  <c r="AF21" i="1" s="1"/>
  <c r="AG21" i="1" s="1"/>
  <c r="AH21" i="1" s="1"/>
  <c r="AJ21" i="1" s="1"/>
  <c r="AK21" i="1" s="1"/>
  <c r="AL21" i="1" s="1"/>
  <c r="AN21" i="1" s="1"/>
  <c r="AO21" i="1" s="1"/>
  <c r="AP21" i="1" s="1"/>
  <c r="AR21" i="1" s="1"/>
  <c r="AS21" i="1" s="1"/>
  <c r="AT21" i="1" s="1"/>
  <c r="AV21" i="1" s="1"/>
  <c r="AW21" i="1" s="1"/>
  <c r="AX21" i="1" s="1"/>
  <c r="AZ21" i="1" s="1"/>
  <c r="BA21" i="1" s="1"/>
  <c r="BB21" i="1" s="1"/>
  <c r="M19" i="1"/>
  <c r="N19" i="1" s="1"/>
  <c r="M13" i="1"/>
  <c r="N13" i="1" s="1"/>
  <c r="P13" i="1" s="1"/>
  <c r="Q13" i="1" s="1"/>
  <c r="R13" i="1" s="1"/>
  <c r="T13" i="1" s="1"/>
  <c r="U13" i="1" s="1"/>
  <c r="V13" i="1" s="1"/>
  <c r="X13" i="1" s="1"/>
  <c r="Y13" i="1" s="1"/>
  <c r="Z13" i="1" s="1"/>
  <c r="AB13" i="1" s="1"/>
  <c r="AC13" i="1" s="1"/>
  <c r="AD13" i="1" s="1"/>
  <c r="AF13" i="1" s="1"/>
  <c r="AG13" i="1" s="1"/>
  <c r="AH13" i="1" s="1"/>
  <c r="AJ13" i="1" s="1"/>
  <c r="AK13" i="1" s="1"/>
  <c r="AL13" i="1" s="1"/>
  <c r="AN13" i="1" s="1"/>
  <c r="AO13" i="1" s="1"/>
  <c r="AP13" i="1" s="1"/>
  <c r="AR13" i="1" s="1"/>
  <c r="AS13" i="1" s="1"/>
  <c r="AT13" i="1" s="1"/>
  <c r="AV13" i="1" s="1"/>
  <c r="AW13" i="1" s="1"/>
  <c r="AX13" i="1" s="1"/>
  <c r="AZ13" i="1" s="1"/>
  <c r="BA13" i="1" s="1"/>
  <c r="BB13" i="1" s="1"/>
  <c r="BD13" i="1" s="1"/>
  <c r="BE13" i="1" s="1"/>
  <c r="BF13" i="1" s="1"/>
  <c r="BH13" i="1" s="1"/>
  <c r="BI13" i="1" s="1"/>
  <c r="BJ13" i="1" s="1"/>
  <c r="BL13" i="1" s="1"/>
  <c r="BM13" i="1" s="1"/>
  <c r="BN13" i="1" s="1"/>
  <c r="BP13" i="1" s="1"/>
  <c r="BQ13" i="1" s="1"/>
  <c r="BR13" i="1" s="1"/>
  <c r="BT13" i="1" s="1"/>
  <c r="BU13" i="1" s="1"/>
  <c r="BV13" i="1" s="1"/>
  <c r="BX13" i="1" s="1"/>
  <c r="BY13" i="1" s="1"/>
  <c r="BZ13" i="1" s="1"/>
  <c r="CB13" i="1" s="1"/>
  <c r="CC13" i="1" s="1"/>
  <c r="CD13" i="1" s="1"/>
  <c r="CF13" i="1" s="1"/>
  <c r="AA15" i="1"/>
  <c r="P15" i="1"/>
  <c r="Q15" i="1" s="1"/>
  <c r="M11" i="1"/>
  <c r="N11" i="1" s="1"/>
  <c r="P11" i="1" s="1"/>
  <c r="Q11" i="1" s="1"/>
  <c r="R11" i="1" s="1"/>
  <c r="T11" i="1" s="1"/>
  <c r="U11" i="1" s="1"/>
  <c r="V11" i="1" s="1"/>
  <c r="X11" i="1" s="1"/>
  <c r="Y11" i="1" s="1"/>
  <c r="Z11" i="1" s="1"/>
  <c r="AB11" i="1" s="1"/>
  <c r="AC11" i="1" s="1"/>
  <c r="AD11" i="1" s="1"/>
  <c r="AF11" i="1" s="1"/>
  <c r="AG11" i="1" s="1"/>
  <c r="AH11" i="1" s="1"/>
  <c r="AJ11" i="1" s="1"/>
  <c r="AK11" i="1" s="1"/>
  <c r="AL11" i="1" s="1"/>
  <c r="AN11" i="1" s="1"/>
  <c r="AO11" i="1" s="1"/>
  <c r="AP11" i="1" s="1"/>
  <c r="AR11" i="1" s="1"/>
  <c r="AS11" i="1" s="1"/>
  <c r="AT11" i="1" s="1"/>
  <c r="AV11" i="1" s="1"/>
  <c r="AW11" i="1" s="1"/>
  <c r="AX11" i="1" s="1"/>
  <c r="AZ11" i="1" s="1"/>
  <c r="BA11" i="1" s="1"/>
  <c r="BB11" i="1" s="1"/>
  <c r="M9" i="1"/>
  <c r="N9" i="1" s="1"/>
  <c r="P9" i="1" s="1"/>
  <c r="Q9" i="1" s="1"/>
  <c r="R9" i="1" s="1"/>
  <c r="T9" i="1" s="1"/>
  <c r="U9" i="1" s="1"/>
  <c r="V9" i="1" s="1"/>
  <c r="X9" i="1" s="1"/>
  <c r="Y9" i="1" s="1"/>
  <c r="Z9" i="1" s="1"/>
  <c r="AB9" i="1" s="1"/>
  <c r="AC9" i="1" s="1"/>
  <c r="AD9" i="1" s="1"/>
  <c r="AF9" i="1" s="1"/>
  <c r="AG9" i="1" s="1"/>
  <c r="AH9" i="1" s="1"/>
  <c r="AJ9" i="1" s="1"/>
  <c r="AK9" i="1" s="1"/>
  <c r="AL9" i="1" s="1"/>
  <c r="AN9" i="1" s="1"/>
  <c r="AO9" i="1" s="1"/>
  <c r="AP9" i="1" s="1"/>
  <c r="AR9" i="1" s="1"/>
  <c r="AS9" i="1" s="1"/>
  <c r="AT9" i="1" s="1"/>
  <c r="AV9" i="1" s="1"/>
  <c r="AW9" i="1" s="1"/>
  <c r="AX9" i="1" s="1"/>
  <c r="AZ9" i="1" s="1"/>
  <c r="BA9" i="1" s="1"/>
  <c r="BB9" i="1" s="1"/>
  <c r="M5" i="1"/>
  <c r="M3" i="1"/>
  <c r="N3" i="1" s="1"/>
  <c r="P3" i="1" s="1"/>
  <c r="Q3" i="1" s="1"/>
  <c r="R3" i="1" s="1"/>
  <c r="T3" i="1" s="1"/>
  <c r="U3" i="1" s="1"/>
  <c r="V3" i="1" s="1"/>
  <c r="X3" i="1" s="1"/>
  <c r="Y3" i="1" s="1"/>
  <c r="Z3" i="1" s="1"/>
  <c r="AB3" i="1" s="1"/>
  <c r="AC3" i="1" s="1"/>
  <c r="AD3" i="1" s="1"/>
  <c r="AF3" i="1" s="1"/>
  <c r="AG3" i="1" s="1"/>
  <c r="AH3" i="1" s="1"/>
  <c r="AJ3" i="1" s="1"/>
  <c r="AK3" i="1" s="1"/>
  <c r="AL3" i="1" s="1"/>
  <c r="AN3" i="1" s="1"/>
  <c r="AO3" i="1" s="1"/>
  <c r="AP3" i="1" s="1"/>
  <c r="AR3" i="1" s="1"/>
  <c r="AS3" i="1" s="1"/>
  <c r="AT3" i="1" s="1"/>
  <c r="N5" i="1" l="1"/>
  <c r="P5" i="1" s="1"/>
  <c r="Q5" i="1" s="1"/>
  <c r="AV31" i="1"/>
  <c r="AW31" i="1" s="1"/>
  <c r="AX31" i="1" s="1"/>
  <c r="AY31" i="1" s="1"/>
  <c r="AV3" i="1"/>
  <c r="AW3" i="1" s="1"/>
  <c r="AX3" i="1" s="1"/>
  <c r="T29" i="1"/>
  <c r="U29" i="1" s="1"/>
  <c r="V29" i="1" s="1"/>
  <c r="X29" i="1" s="1"/>
  <c r="Y29" i="1" s="1"/>
  <c r="Z29" i="1" s="1"/>
  <c r="AB29" i="1" s="1"/>
  <c r="AC29" i="1" s="1"/>
  <c r="AD29" i="1" s="1"/>
  <c r="AF29" i="1" s="1"/>
  <c r="AG29" i="1" s="1"/>
  <c r="AH29" i="1" s="1"/>
  <c r="AJ29" i="1" s="1"/>
  <c r="AK29" i="1" s="1"/>
  <c r="AL29" i="1" s="1"/>
  <c r="AN29" i="1" s="1"/>
  <c r="AO29" i="1" s="1"/>
  <c r="AP29" i="1" s="1"/>
  <c r="AR29" i="1" s="1"/>
  <c r="AS29" i="1" s="1"/>
  <c r="AT29" i="1" s="1"/>
  <c r="AN27" i="1"/>
  <c r="AO27" i="1" s="1"/>
  <c r="AP27" i="1" s="1"/>
  <c r="AQ27" i="1" s="1"/>
  <c r="AJ27" i="1"/>
  <c r="AK27" i="1" s="1"/>
  <c r="AL27" i="1" s="1"/>
  <c r="AM27" i="1" s="1"/>
  <c r="AB27" i="1"/>
  <c r="AC27" i="1" s="1"/>
  <c r="AD27" i="1" s="1"/>
  <c r="AE27" i="1" s="1"/>
  <c r="AV27" i="1" s="1"/>
  <c r="AW27" i="1" s="1"/>
  <c r="AX27" i="1" s="1"/>
  <c r="AY27" i="1" s="1"/>
  <c r="X27" i="1"/>
  <c r="Y27" i="1" s="1"/>
  <c r="Z27" i="1" s="1"/>
  <c r="AA27" i="1" s="1"/>
  <c r="AR27" i="1" s="1"/>
  <c r="AS27" i="1" s="1"/>
  <c r="AT27" i="1" s="1"/>
  <c r="AU27" i="1" s="1"/>
  <c r="AF27" i="1"/>
  <c r="AG27" i="1" s="1"/>
  <c r="AH27" i="1" s="1"/>
  <c r="AI27" i="1" s="1"/>
  <c r="AZ27" i="1" s="1"/>
  <c r="BA27" i="1" s="1"/>
  <c r="BB27" i="1" s="1"/>
  <c r="BC27" i="1" s="1"/>
  <c r="O19" i="1"/>
  <c r="P19" i="1"/>
  <c r="Q19" i="1" s="1"/>
  <c r="R19" i="1" s="1"/>
  <c r="S19" i="1" s="1"/>
  <c r="T19" i="1" s="1"/>
  <c r="U19" i="1" s="1"/>
  <c r="V19" i="1" s="1"/>
  <c r="W19" i="1" s="1"/>
  <c r="AJ19" i="1" s="1"/>
  <c r="R15" i="1"/>
  <c r="T15" i="1" s="1"/>
  <c r="U15" i="1" s="1"/>
  <c r="R5" i="1" l="1"/>
  <c r="T5" i="1" s="1"/>
  <c r="U5" i="1" s="1"/>
  <c r="V5" i="1" s="1"/>
  <c r="X5" i="1" s="1"/>
  <c r="Y5" i="1" s="1"/>
  <c r="Z5" i="1" s="1"/>
  <c r="AB5" i="1" s="1"/>
  <c r="AC5" i="1" s="1"/>
  <c r="AD5" i="1" s="1"/>
  <c r="AF5" i="1" s="1"/>
  <c r="AG5" i="1" s="1"/>
  <c r="AH5" i="1" s="1"/>
  <c r="AJ5" i="1" s="1"/>
  <c r="AK5" i="1" s="1"/>
  <c r="AL5" i="1" s="1"/>
  <c r="AN5" i="1" s="1"/>
  <c r="AO5" i="1" s="1"/>
  <c r="AP5" i="1" s="1"/>
  <c r="AR5" i="1" s="1"/>
  <c r="AS5" i="1" s="1"/>
  <c r="AT5" i="1" s="1"/>
  <c r="AV5" i="1" s="1"/>
  <c r="AW5" i="1" s="1"/>
  <c r="AX5" i="1" s="1"/>
  <c r="AZ5" i="1" s="1"/>
  <c r="BA5" i="1" s="1"/>
  <c r="BB5" i="1" s="1"/>
  <c r="DT5" i="1"/>
  <c r="V15" i="1"/>
  <c r="DT15" i="1"/>
  <c r="AZ3" i="1"/>
  <c r="BA3" i="1" s="1"/>
  <c r="BB3" i="1" s="1"/>
  <c r="DT3" i="1"/>
  <c r="AZ31" i="1"/>
  <c r="BA31" i="1" s="1"/>
  <c r="BB31" i="1" s="1"/>
  <c r="BD31" i="1" s="1"/>
  <c r="BE31" i="1" s="1"/>
  <c r="BF31" i="1" s="1"/>
  <c r="BH31" i="1" s="1"/>
  <c r="BI31" i="1" s="1"/>
  <c r="BJ31" i="1" s="1"/>
  <c r="BL31" i="1" s="1"/>
  <c r="BM31" i="1" s="1"/>
  <c r="BN31" i="1" s="1"/>
  <c r="BP31" i="1" s="1"/>
  <c r="BQ31" i="1" s="1"/>
  <c r="BR31" i="1" s="1"/>
  <c r="BT31" i="1" s="1"/>
  <c r="BU31" i="1" s="1"/>
  <c r="BV31" i="1" s="1"/>
  <c r="BX31" i="1" s="1"/>
  <c r="BY31" i="1" s="1"/>
  <c r="BZ31" i="1" s="1"/>
  <c r="AU29" i="1"/>
  <c r="AV29" i="1"/>
  <c r="AW29" i="1" s="1"/>
  <c r="AX29" i="1" s="1"/>
  <c r="AN19" i="1"/>
  <c r="AO19" i="1" s="1"/>
  <c r="AP19" i="1" s="1"/>
  <c r="AQ19" i="1" s="1"/>
  <c r="X19" i="1"/>
  <c r="Y19" i="1" s="1"/>
  <c r="Z19" i="1" s="1"/>
  <c r="AA19" i="1" s="1"/>
  <c r="AR19" i="1" s="1"/>
  <c r="AS19" i="1" s="1"/>
  <c r="AT19" i="1" s="1"/>
  <c r="AU19" i="1" s="1"/>
  <c r="AK19" i="1"/>
  <c r="AL19" i="1" s="1"/>
  <c r="AM19" i="1" s="1"/>
  <c r="AB19" i="1"/>
  <c r="AC19" i="1" s="1"/>
  <c r="AD19" i="1" s="1"/>
  <c r="AE19" i="1" s="1"/>
  <c r="AV19" i="1" s="1"/>
  <c r="AW19" i="1" s="1"/>
  <c r="AX19" i="1" s="1"/>
  <c r="AY19" i="1" s="1"/>
  <c r="AF19" i="1"/>
  <c r="AG19" i="1" s="1"/>
  <c r="AH19" i="1" s="1"/>
  <c r="AI19" i="1" s="1"/>
  <c r="AZ19" i="1" s="1"/>
  <c r="BA19" i="1" s="1"/>
  <c r="BB19" i="1" s="1"/>
  <c r="BC19" i="1" s="1"/>
  <c r="AY29" i="1" l="1"/>
  <c r="AZ29" i="1"/>
  <c r="BA29" i="1" s="1"/>
  <c r="BB29" i="1" s="1"/>
  <c r="BC2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JaneS</author>
    <author>sysong</author>
    <author>jisong</author>
    <author>Stella (Seung-yeon) Song</author>
  </authors>
  <commentList>
    <comment ref="AS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DV6" authorId="0" shapeId="0" xr:uid="{D4F9877C-ED9D-417D-B573-30FF6AB3D9DA}">
      <text>
        <r>
          <rPr>
            <b/>
            <sz val="9"/>
            <color indexed="81"/>
            <rFont val="Tahoma"/>
            <family val="2"/>
          </rPr>
          <t xml:space="preserve">JaneS:
</t>
        </r>
        <r>
          <rPr>
            <sz val="9"/>
            <color indexed="81"/>
            <rFont val="Tahoma"/>
            <family val="2"/>
          </rPr>
          <t>last dose date was 2023-03-30 and long term f/u is 2023-6-16~7/14</t>
        </r>
        <r>
          <rPr>
            <b/>
            <sz val="9"/>
            <color indexed="81"/>
            <rFont val="Tahoma"/>
            <family val="2"/>
          </rPr>
          <t xml:space="preserve">
DAN :
(Syneos)'Long-term follow-up updates may be made more often than every 3 months ' regarding PRT
=&gt;JS :
next FU2 be based on  Last dose date and will be on 2023-12-30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W6" authorId="0" shapeId="0" xr:uid="{72F457BD-4BDD-404E-90BE-E2384BD02DAC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(Syneos)'Long-term follow-up updates may be made more often than every 3 months ' regarding PRT
</t>
        </r>
        <r>
          <rPr>
            <b/>
            <sz val="9"/>
            <color indexed="81"/>
            <rFont val="Tahoma"/>
            <family val="2"/>
          </rPr>
          <t>StellaS:</t>
        </r>
        <r>
          <rPr>
            <sz val="9"/>
            <color indexed="81"/>
            <rFont val="Tahoma"/>
            <family val="2"/>
          </rPr>
          <t xml:space="preserve">
Death registry</t>
        </r>
      </text>
    </comment>
    <comment ref="F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2023-4-26</t>
        </r>
      </text>
    </comment>
    <comment ref="AS1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</t>
        </r>
      </text>
    </comment>
    <comment ref="DU10" authorId="0" shapeId="0" xr:uid="{63F36708-6CEE-4233-83D6-BBEA9F62F76F}">
      <text>
        <r>
          <rPr>
            <b/>
            <sz val="9"/>
            <color indexed="81"/>
            <rFont val="Tahoma"/>
            <family val="2"/>
          </rPr>
          <t xml:space="preserve">JaneS
Please check if window is </t>
        </r>
        <r>
          <rPr>
            <sz val="9"/>
            <color indexed="81"/>
            <rFont val="Tahoma"/>
            <family val="2"/>
          </rPr>
          <t xml:space="preserve"> 11/27~12/3</t>
        </r>
      </text>
    </comment>
    <comment ref="DV10" authorId="0" shapeId="0" xr:uid="{F7F48768-A7AA-4C1B-B4C9-A9FF48496ADF}">
      <text>
        <r>
          <rPr>
            <b/>
            <sz val="10"/>
            <color indexed="81"/>
            <rFont val="Tahoma"/>
            <family val="2"/>
          </rPr>
          <t>JaneS:</t>
        </r>
        <r>
          <rPr>
            <sz val="10"/>
            <color indexed="81"/>
            <rFont val="Tahoma"/>
            <family val="2"/>
          </rPr>
          <t xml:space="preserve">
1/19~2/16 early follow up
</t>
        </r>
      </text>
    </comment>
    <comment ref="DV12" authorId="1" shapeId="0" xr:uid="{D6539F47-44D9-4E11-9852-13BA6EC2AE80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Death: 30Aug2024 (confirmed on 26Oct2023 by phone)</t>
        </r>
      </text>
    </comment>
    <comment ref="AH14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within 3 days window.</t>
        </r>
      </text>
    </comment>
    <comment ref="AJ14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within 3 days window</t>
        </r>
      </text>
    </comment>
    <comment ref="AK14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within 3 days window</t>
        </r>
      </text>
    </comment>
    <comment ref="AL14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within 3 days window</t>
        </r>
      </text>
    </comment>
    <comment ref="AN14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within 3 days window
</t>
        </r>
      </text>
    </comment>
    <comment ref="AZ14" authorId="0" shapeId="0" xr:uid="{00000000-0006-0000-0000-000011000000}">
      <text>
        <r>
          <rPr>
            <b/>
            <sz val="10"/>
            <color indexed="81"/>
            <rFont val="Tahoma"/>
            <family val="2"/>
          </rPr>
          <t>JaneS:</t>
        </r>
        <r>
          <rPr>
            <sz val="10"/>
            <color indexed="81"/>
            <rFont val="Tahoma"/>
            <family val="2"/>
          </rPr>
          <t xml:space="preserve">
Visit window 2024-2-12~2-18
</t>
        </r>
      </text>
    </comment>
    <comment ref="BA14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Visit window 
2/19~2/25</t>
        </r>
      </text>
    </comment>
    <comment ref="BB14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visit window 
2/26~3/3</t>
        </r>
      </text>
    </comment>
    <comment ref="BY14" authorId="2" shapeId="0" xr:uid="{328B065A-550A-4DC4-81D5-8DBDB0856DB3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Visit delay(Deviation)</t>
        </r>
      </text>
    </comment>
    <comment ref="DU16" authorId="0" shapeId="0" xr:uid="{0F75FE60-2AF7-4919-9DA8-FAFA13E4AB35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EDC-&gt;site confirmed it was not done and subject was on hospitalization on 9/5~9/13(after PRT safety fu period)
==&gt; </t>
        </r>
        <r>
          <rPr>
            <b/>
            <sz val="11"/>
            <color indexed="81"/>
            <rFont val="Tahoma"/>
            <family val="2"/>
          </rPr>
          <t>Minor Deviation</t>
        </r>
        <r>
          <rPr>
            <b/>
            <sz val="9"/>
            <color indexed="81"/>
            <rFont val="Tahoma"/>
            <family val="2"/>
          </rPr>
          <t>(+PD log added)
=&gt; 12/14 Safety FU(28days SFU) date was entered
=&gt;12/26 : Safety fu was not done in EDC</t>
        </r>
      </text>
    </comment>
    <comment ref="DV16" authorId="0" shapeId="0" xr:uid="{495596F2-EA8F-4DD2-B311-1A573241CFDC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is 2023-8-17, Long term f/u is 11/3~12/1. 
</t>
        </r>
        <r>
          <rPr>
            <b/>
            <sz val="10"/>
            <color indexed="81"/>
            <rFont val="Tahoma"/>
            <family val="2"/>
          </rPr>
          <t>DAN :</t>
        </r>
        <r>
          <rPr>
            <sz val="9"/>
            <color indexed="81"/>
            <rFont val="Tahoma"/>
            <family val="2"/>
          </rPr>
          <t xml:space="preserve">
(Syneos)'Long-term follow-up updates may be made more often than every 3 months ' regarding PRT
</t>
        </r>
        <r>
          <rPr>
            <b/>
            <sz val="10"/>
            <color indexed="81"/>
            <rFont val="Tahoma"/>
            <family val="2"/>
          </rPr>
          <t xml:space="preserve">=&gt;Death 
</t>
        </r>
      </text>
    </comment>
    <comment ref="S18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What is Day22? There is day 1~21 on Schedule table
Jane, I will check with the site.
=&gt; JS :
</t>
        </r>
        <r>
          <rPr>
            <b/>
            <sz val="9"/>
            <color indexed="81"/>
            <rFont val="Tahoma"/>
            <family val="2"/>
          </rPr>
          <t xml:space="preserve">if there was any assessments in site, please enter EDC, only visit date was entered.
-&gt; JS :
if there was not any assessment regarding Study, visit should be removed from edc
-&gt;JS :
date has been deleted.
</t>
        </r>
      </text>
    </comment>
    <comment ref="BJ18" authorId="2" shapeId="0" xr:uid="{9BE3A65B-6C13-4906-9CFA-E47269C84FD0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Subject rejection</t>
        </r>
      </text>
    </comment>
    <comment ref="BN18" authorId="2" shapeId="0" xr:uid="{C86EAD75-A1EB-4AB9-93CB-9476AC8D6BD3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Subject's rejection</t>
        </r>
      </text>
    </comment>
    <comment ref="BR18" authorId="2" shapeId="0" xr:uid="{5CFBF250-28CA-4144-8B39-CC3F68B06AAE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Planned PRT deviation(each D15 skip)</t>
        </r>
      </text>
    </comment>
    <comment ref="BV18" authorId="1" shapeId="0" xr:uid="{D92B4265-8737-435D-A009-4160AC4AA71B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Planned PRT deviation(each D15 skip)</t>
        </r>
      </text>
    </comment>
    <comment ref="BZ18" authorId="1" shapeId="0" xr:uid="{AC1203D3-6827-4EE5-A3E3-90BF527F0790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Planned PRT deviation(each D15 skip)</t>
        </r>
      </text>
    </comment>
    <comment ref="CD18" authorId="1" shapeId="0" xr:uid="{2F03E74E-91E9-42ED-90A0-D99AB96BD796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Planned PRT deviation(each D15 skip)</t>
        </r>
      </text>
    </comment>
    <comment ref="CH18" authorId="1" shapeId="0" xr:uid="{A5BDD636-4532-4345-B140-67AF541D79A9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Subject's rejection</t>
        </r>
      </text>
    </comment>
    <comment ref="CL18" authorId="1" shapeId="0" xr:uid="{F1BDCCCF-BC2B-4FDF-AB90-4DEB332822F5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Subject's rejection</t>
        </r>
      </text>
    </comment>
    <comment ref="CP18" authorId="1" shapeId="0" xr:uid="{C4A99894-D69D-4A74-A38A-908AE0493FAA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Subject's rejection</t>
        </r>
      </text>
    </comment>
    <comment ref="CT18" authorId="1" shapeId="0" xr:uid="{C2ED3478-1283-4EB9-8177-AB3895E1FB56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Subject's rejection</t>
        </r>
      </text>
    </comment>
    <comment ref="CX18" authorId="1" shapeId="0" xr:uid="{755C8154-FBF0-4FBA-AE64-E7180FBE8CF2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Subject's rejection</t>
        </r>
      </text>
    </comment>
    <comment ref="DB18" authorId="1" shapeId="0" xr:uid="{51C18A6C-E7DC-4B5A-A801-AC209F2208B0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Subject's rejection</t>
        </r>
      </text>
    </comment>
    <comment ref="DU18" authorId="1" shapeId="0" xr:uid="{324CCC0B-0C22-4E4D-BAA4-99E280177DA2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subject's rejection</t>
        </r>
      </text>
    </comment>
    <comment ref="DX18" authorId="3" shapeId="0" xr:uid="{64060AAF-FA09-4742-980D-33D78DE4DC2A}">
      <text>
        <r>
          <rPr>
            <sz val="11"/>
            <color theme="1"/>
            <rFont val="맑은 고딕"/>
            <family val="2"/>
            <charset val="129"/>
            <scheme val="minor"/>
          </rPr>
          <t>Stella (Seung-yeon) Song:
Death</t>
        </r>
      </text>
    </comment>
    <comment ref="T30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Window deviation-&gt; PD
Subject travel(Thanksgiving)</t>
        </r>
      </text>
    </comment>
    <comment ref="U30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 xml:space="preserve">JaneS: last dose date
</t>
        </r>
        <r>
          <rPr>
            <sz val="9"/>
            <color indexed="81"/>
            <rFont val="Tahoma"/>
            <family val="2"/>
          </rPr>
          <t xml:space="preserve">
Window Deviation -&gt; PD
Subject travel(Thanksgiving)</t>
        </r>
      </text>
    </comment>
    <comment ref="DV30" authorId="0" shapeId="0" xr:uid="{C51F08ED-9030-4330-84A2-E350774B00CA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Window period 2/23~3/22
</t>
        </r>
      </text>
    </comment>
    <comment ref="DX30" authorId="1" shapeId="0" xr:uid="{33E41AC7-AA38-4032-B29C-D55271FE450D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Unable to establish contact via telephone. Last record shows admission to hospital and discussion of hospice care.</t>
        </r>
      </text>
    </comment>
    <comment ref="AL32" authorId="2" shapeId="0" xr:uid="{1FCE2499-16E7-4BF6-A17D-82CCD2386E77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Bus company strike(transportation issue)</t>
        </r>
      </text>
    </comment>
    <comment ref="AP32" authorId="2" shapeId="0" xr:uid="{13F06D3A-FF13-4DDE-95E1-FA59688CE054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subject had schedule conflict issue</t>
        </r>
      </text>
    </comment>
    <comment ref="AT32" authorId="2" shapeId="0" xr:uid="{E966FA77-5032-451F-8ADB-1D0CA5D2D867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D15 skip in every cycle</t>
        </r>
      </text>
    </comment>
    <comment ref="AZ32" authorId="2" shapeId="0" xr:uid="{42069DE6-4D9E-462B-8ED0-929D48B45596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Visit window deviation
2024/6/3~2024/6/9</t>
        </r>
      </text>
    </comment>
    <comment ref="BB32" authorId="2" shapeId="0" xr:uid="{BEA025D1-7E1A-4536-8D3C-580F85A7DB30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D15 skip on every cycle - confirmed</t>
        </r>
      </text>
    </comment>
    <comment ref="BD32" authorId="2" shapeId="0" xr:uid="{497D66A9-1C83-4C39-ADB1-38340FC34519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Residence problem-&gt; Planned deviation</t>
        </r>
      </text>
    </comment>
    <comment ref="DU32" authorId="1" shapeId="0" xr:uid="{8E2F2F38-ACFB-43A9-9331-A4BD3BD5C81D}">
      <text>
        <r>
          <rPr>
            <b/>
            <sz val="10"/>
            <color indexed="81"/>
            <rFont val="Tahoma"/>
            <family val="2"/>
          </rPr>
          <t>sysong:</t>
        </r>
        <r>
          <rPr>
            <sz val="10"/>
            <color indexed="81"/>
            <rFont val="Tahoma"/>
            <family val="2"/>
          </rPr>
          <t xml:space="preserve">
refused</t>
        </r>
      </text>
    </comment>
    <comment ref="U34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</t>
        </r>
      </text>
    </comment>
    <comment ref="DU34" authorId="0" shapeId="0" xr:uid="{8D88131F-96C6-4BCD-9B86-EB3788CFAA64}">
      <text>
        <r>
          <rPr>
            <sz val="10"/>
            <color indexed="81"/>
            <rFont val="Tahoma"/>
            <family val="2"/>
          </rPr>
          <t>StellaS:
Patient did not attend their scheduled appointment.</t>
        </r>
      </text>
    </comment>
    <comment ref="DV34" authorId="1" shapeId="0" xr:uid="{5717A02B-F0E6-4E0A-BDF6-58DA40C8DA40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visit delay</t>
        </r>
      </text>
    </comment>
    <comment ref="AS36" authorId="2" shapeId="0" xr:uid="{E4AB8189-2D1F-4466-B335-2542EE8892D2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Last dose date
</t>
        </r>
      </text>
    </comment>
    <comment ref="DU36" authorId="1" shapeId="0" xr:uid="{217068EE-6820-4014-BD1C-32FB7314B690}">
      <text>
        <r>
          <rPr>
            <b/>
            <sz val="10"/>
            <color indexed="81"/>
            <rFont val="Tahoma"/>
            <family val="2"/>
          </rPr>
          <t>sysong:</t>
        </r>
        <r>
          <rPr>
            <sz val="10"/>
            <color indexed="81"/>
            <rFont val="Tahoma"/>
            <family val="2"/>
          </rPr>
          <t xml:space="preserve">
refused
</t>
        </r>
      </text>
    </comment>
    <comment ref="DW36" authorId="1" shapeId="0" xr:uid="{9F981F01-FB44-41EE-964B-26BBCBDB44F3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 registry</t>
        </r>
      </text>
    </comment>
    <comment ref="U38" authorId="2" shapeId="0" xr:uid="{B5E696D4-85B6-481F-954A-85B8CEF32D2D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last dose date</t>
        </r>
      </text>
    </comment>
    <comment ref="DU38" authorId="2" shapeId="0" xr:uid="{40970AD2-9BE4-451C-9D6A-F21146739C67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Out of window due to other standard of care procedure
</t>
        </r>
      </text>
    </comment>
    <comment ref="U40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Skipped for nausea grade 2 and fatigue grade 2.</t>
        </r>
      </text>
    </comment>
    <comment ref="Y40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
</t>
        </r>
      </text>
    </comment>
    <comment ref="DT40" authorId="0" shapeId="0" xr:uid="{99D04BCE-D5FC-4526-BD1E-3E87102CAED8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Withdrawal of consent</t>
        </r>
      </text>
    </comment>
    <comment ref="P42" authorId="2" shapeId="0" xr:uid="{7019A263-B87B-4483-BA45-85835FFE4752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Last dose date</t>
        </r>
      </text>
    </comment>
    <comment ref="Q42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Delayed  for General weakness G2, Dyspnea</t>
        </r>
      </text>
    </comment>
    <comment ref="DT42" authorId="1" shapeId="0" xr:uid="{037B0B3E-ED05-482B-B933-2632F53DE653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Death: 15Mar2024</t>
        </r>
      </text>
    </comment>
    <comment ref="AP44" authorId="1" shapeId="0" xr:uid="{7084E8C7-7694-4816-A732-E2E90BE1F5ED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Patient travelling, planned and discussed with MM</t>
        </r>
      </text>
    </comment>
    <comment ref="DV44" authorId="1" shapeId="0" xr:uid="{8633DE81-6289-43C3-862F-384CAD12633F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</t>
        </r>
      </text>
    </comment>
    <comment ref="P45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Originally 3/7=&gt; Delay to 3/14 due to ANC decrease</t>
        </r>
      </text>
    </comment>
    <comment ref="M46" authorId="2" shapeId="0" xr:uid="{1EC77951-6D18-4FE9-A2BE-F95C9B74703E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Last dose date</t>
        </r>
      </text>
    </comment>
    <comment ref="DU46" authorId="2" shapeId="0" xr:uid="{80F17E63-CD4D-4026-A706-DFDC6D67E0FF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Reject</t>
        </r>
      </text>
    </comment>
    <comment ref="DV46" authorId="2" shapeId="0" xr:uid="{A296673F-B150-4058-BAF2-892933335947}">
      <text>
        <r>
          <rPr>
            <b/>
            <sz val="10"/>
            <color indexed="81"/>
            <rFont val="Tahoma"/>
            <family val="2"/>
          </rPr>
          <t xml:space="preserve">jisong:
early fu
</t>
        </r>
      </text>
    </comment>
    <comment ref="DY46" authorId="1" shapeId="0" xr:uid="{4A1E8A7F-CD25-4A54-BA80-51B92B74C560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Dead(18Jan2025)</t>
        </r>
      </text>
    </comment>
    <comment ref="AK47" authorId="2" shapeId="0" xr:uid="{C350EF7F-848D-4841-BEE9-241A05DAA9A2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Planned 1July</t>
        </r>
      </text>
    </comment>
    <comment ref="V48" authorId="2" shapeId="0" xr:uid="{F9E7F17A-A2B2-49D1-BAC9-07B3F896AAD1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EDC no entry, not done?</t>
        </r>
      </text>
    </comment>
    <comment ref="AG48" authorId="2" shapeId="0" xr:uid="{FA8FD1AF-6355-4A60-8CFC-C4008E4E29CF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visit window deviation
</t>
        </r>
      </text>
    </comment>
    <comment ref="AK48" authorId="2" shapeId="0" xr:uid="{B38C6B8A-D2B9-4754-88D7-20DAA279E264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delaying due to Suspected PD</t>
        </r>
      </text>
    </comment>
    <comment ref="DT48" authorId="1" shapeId="0" xr:uid="{1293E848-C0BF-4784-A2A5-B584DCE99F9E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Due to "Progressive disease - clinical progression"</t>
        </r>
      </text>
    </comment>
    <comment ref="DU48" authorId="1" shapeId="0" xr:uid="{467C4382-1064-48C0-9FA4-ED016BF9B4B2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no entry
</t>
        </r>
      </text>
    </comment>
    <comment ref="DW48" authorId="1" shapeId="0" xr:uid="{57165FB9-9EA0-4DCB-8C50-DB3417E19108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Death: 2025-03-22</t>
        </r>
      </text>
    </comment>
    <comment ref="P52" authorId="2" shapeId="0" xr:uid="{D11717E3-B41A-447C-BA3F-77FB1F0A3BF4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ANC decrease(G3, 0.57)</t>
        </r>
      </text>
    </comment>
    <comment ref="Z52" authorId="2" shapeId="0" xr:uid="{05C06FDB-ED2E-49C4-8929-851EBA41429F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EDC no entry
</t>
        </r>
      </text>
    </comment>
    <comment ref="AD52" authorId="2" shapeId="0" xr:uid="{DEE77F38-99EC-4E55-B287-A010F7641047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Business trip
</t>
        </r>
      </text>
    </comment>
    <comment ref="BD52" authorId="1" shapeId="0" xr:uid="{E00C8C68-83EB-4747-B330-2511813F2FC3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delay</t>
        </r>
      </text>
    </comment>
    <comment ref="DU52" authorId="1" shapeId="0" xr:uid="{8C12EA20-CD26-4755-9646-F8D6BD2D2CEC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subject refuse</t>
        </r>
      </text>
    </comment>
    <comment ref="DY52" authorId="1" shapeId="0" xr:uid="{239218F0-3D22-460E-961A-7BEBAAA3D285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Death: 26Sep2025</t>
        </r>
      </text>
    </comment>
    <comment ref="AS54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AW54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BA54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N56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Skipped for ANC decrease </t>
        </r>
      </text>
    </comment>
    <comment ref="X56" authorId="2" shapeId="0" xr:uid="{25CA9C5E-8C30-41B3-BB89-A88BF1687F3F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AE, ANC decrease</t>
        </r>
      </text>
    </comment>
    <comment ref="AC56" authorId="2" shapeId="0" xr:uid="{9689FCA4-7229-4882-9943-926F0222ED8E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last dose date</t>
        </r>
      </text>
    </comment>
    <comment ref="AG56" authorId="2" shapeId="0" xr:uid="{7F5D0C8F-7DEC-4AF5-ABCC-A5ED3AEDDEC6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Nephrology consulting from 12Jun</t>
        </r>
      </text>
    </comment>
    <comment ref="AS56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AW56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BA56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DU56" authorId="1" shapeId="0" xr:uid="{26A899AA-9C37-4CE0-A49F-8FA5F33F6962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This visit was covered by the EOT visit due to the overlapping visit period.</t>
        </r>
      </text>
    </comment>
    <comment ref="DV56" authorId="1" shapeId="0" xr:uid="{D17816BC-9399-4004-ADF8-CA14858F632E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 registry</t>
        </r>
      </text>
    </comment>
    <comment ref="AS58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AW58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BA58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AS60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AW60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BA60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AS62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AW62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BA62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T64" authorId="2" shapeId="0" xr:uid="{BBA742F2-FA31-4527-8E01-E942F863CC5E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Last dose date</t>
        </r>
      </text>
    </comment>
    <comment ref="U64" authorId="2" shapeId="0" xr:uid="{4920EE85-0803-48D0-B618-E00ED15B336E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Rejection
</t>
        </r>
      </text>
    </comment>
    <comment ref="AS64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AW64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BA64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DU64" authorId="1" shapeId="0" xr:uid="{2059FC27-FA2C-4B14-8D0C-617D1395E353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Death:2024-06-15</t>
        </r>
      </text>
    </comment>
    <comment ref="K65" authorId="2" shapeId="0" xr:uid="{03B253CF-5124-4EE8-965E-C4FAD196CCAA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bowl movement issue.
GI treatment on 19Apr2024</t>
        </r>
      </text>
    </comment>
    <comment ref="AS66" authorId="0" shapeId="0" xr:uid="{4155C195-21FC-4BA5-B80D-1DE7E8BDE4BD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AW66" authorId="0" shapeId="0" xr:uid="{19171FB4-074C-4DD0-8219-DB3427E0962B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BA66" authorId="0" shapeId="0" xr:uid="{5E2C8E5B-BF6E-4BC5-B4B3-FC4716F28391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AS68" authorId="0" shapeId="0" xr:uid="{9373BDA7-5BC9-4E60-9039-F8210947D098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AW68" authorId="0" shapeId="0" xr:uid="{EC1B240E-B160-4650-972B-F56CB6F7011D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BA68" authorId="0" shapeId="0" xr:uid="{09BFAF90-239F-4483-B3C1-73B60FEA1F93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C69" authorId="1" shapeId="0" xr:uid="{906AF763-0352-4616-9375-C0EA4CD20EA8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Purpose to duplicates?</t>
        </r>
      </text>
    </comment>
    <comment ref="AS70" authorId="0" shapeId="0" xr:uid="{58156FDB-1098-4A13-AAA6-1CE2BD8A8009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AW70" authorId="0" shapeId="0" xr:uid="{5F4F7922-8CFD-4548-B92F-CC159F4FFD4F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BA70" authorId="0" shapeId="0" xr:uid="{93CBB5FA-A668-4847-82F3-1490EAA0E2FB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P72" authorId="2" shapeId="0" xr:uid="{99BE3C38-0C0D-4DEA-92E2-8F46C81050B6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Does reduction</t>
        </r>
      </text>
    </comment>
    <comment ref="R72" authorId="1" shapeId="0" xr:uid="{9AA80529-5BA5-428F-A4FD-0AE39A0A825C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early visit</t>
        </r>
      </text>
    </comment>
    <comment ref="AP72" authorId="1" shapeId="0" xr:uid="{20C9AC17-E3A6-4BC0-AA53-CCB9B0CA7302}">
      <text>
        <r>
          <rPr>
            <b/>
            <sz val="10"/>
            <color indexed="81"/>
            <rFont val="Tahoma"/>
            <family val="2"/>
          </rPr>
          <t>sysong:</t>
        </r>
        <r>
          <rPr>
            <sz val="10"/>
            <color indexed="81"/>
            <rFont val="Tahoma"/>
            <family val="2"/>
          </rPr>
          <t xml:space="preserve">
no entry</t>
        </r>
      </text>
    </comment>
    <comment ref="AT72" authorId="1" shapeId="0" xr:uid="{0D08D3E4-FC61-45B6-8BF4-41B8BD805AD2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no entry</t>
        </r>
      </text>
    </comment>
    <comment ref="AW72" authorId="1" shapeId="0" xr:uid="{1950E056-6F3E-403A-824C-51B55AA4E6A8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no entry
</t>
        </r>
      </text>
    </comment>
    <comment ref="AX72" authorId="1" shapeId="0" xr:uid="{58B8FF5C-7D27-422E-A893-4663643072CE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no entry
</t>
        </r>
      </text>
    </comment>
    <comment ref="BB72" authorId="1" shapeId="0" xr:uid="{56D68721-66FF-4DDC-A192-1092626E30D4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no entry
</t>
        </r>
      </text>
    </comment>
    <comment ref="DX72" authorId="1" shapeId="0" xr:uid="{F8E65D4B-1901-4167-BE4C-2B07B0D10B7E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Dead (31May2025)
</t>
        </r>
      </text>
    </comment>
    <comment ref="U74" authorId="2" shapeId="0" xr:uid="{27F8C467-3A09-4BD1-AD7E-7C0161F25E70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Last dose date</t>
        </r>
      </text>
    </comment>
    <comment ref="AS74" authorId="0" shapeId="0" xr:uid="{C15E5F1F-CEB1-4DC6-994A-1A998C1BF2F4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AW74" authorId="0" shapeId="0" xr:uid="{DFD0869D-5227-4DCF-8C47-0D8B966365B9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BA74" authorId="0" shapeId="0" xr:uid="{8EA6F613-109B-4CAA-B408-C0EAFF0E8530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DW74" authorId="1" shapeId="0" xr:uid="{E3C1E5D4-0DFF-4BEA-B3DB-ECB995799BFC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 registry</t>
        </r>
      </text>
    </comment>
    <comment ref="AS76" authorId="0" shapeId="0" xr:uid="{45DA8DA5-A581-4E7C-A476-7C263456C594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AW76" authorId="0" shapeId="0" xr:uid="{91709FE8-8D2C-47DD-B9C3-69CE60574DF8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BA76" authorId="0" shapeId="0" xr:uid="{043EDB8B-4654-48D4-BB47-1803DB3263D5}">
      <text>
        <r>
          <rPr>
            <b/>
            <sz val="9"/>
            <color indexed="81"/>
            <rFont val="Tahoma"/>
            <family val="2"/>
          </rPr>
          <t>JaneS:</t>
        </r>
        <r>
          <rPr>
            <sz val="9"/>
            <color indexed="81"/>
            <rFont val="Tahoma"/>
            <family val="2"/>
          </rPr>
          <t xml:space="preserve">
Last dose date </t>
        </r>
      </text>
    </comment>
    <comment ref="M78" authorId="2" shapeId="0" xr:uid="{76A1EC4D-FCF5-45C7-B8F1-B0CB90BBC9CE}">
      <text>
        <r>
          <rPr>
            <b/>
            <sz val="10"/>
            <color indexed="81"/>
            <rFont val="Tahoma"/>
            <family val="2"/>
          </rPr>
          <t>jisong:
G3 Neutropenia</t>
        </r>
      </text>
    </comment>
    <comment ref="DX78" authorId="1" shapeId="0" xr:uid="{7D0BE5B2-E3C4-4982-B6C5-9A72F712E1D3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Dead (12Jan2025)
</t>
        </r>
      </text>
    </comment>
    <comment ref="B79" authorId="1" shapeId="0" xr:uid="{BBA99860-1A18-40ED-AB42-F4FAB370ED6F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DL1.6 (Backfill)으로 기재되어있었음</t>
        </r>
      </text>
    </comment>
    <comment ref="DX82" authorId="1" shapeId="0" xr:uid="{71D37B4A-C71F-422E-9C03-F42318F6AC82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deleted in EDC
</t>
        </r>
      </text>
    </comment>
    <comment ref="Q84" authorId="2" shapeId="0" xr:uid="{13964FF3-B3AE-4C59-8AAB-E1DE0E40C4EA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visit window deviation</t>
        </r>
      </text>
    </comment>
    <comment ref="DU84" authorId="1" shapeId="0" xr:uid="{6728208F-BCFE-4D25-84D3-3A03FDA147D2}">
      <text>
        <r>
          <rPr>
            <b/>
            <sz val="10"/>
            <color indexed="81"/>
            <rFont val="Tahoma"/>
            <family val="2"/>
          </rPr>
          <t>sysong:</t>
        </r>
        <r>
          <rPr>
            <sz val="10"/>
            <color indexed="81"/>
            <rFont val="Tahoma"/>
            <family val="2"/>
          </rPr>
          <t xml:space="preserve">
refused</t>
        </r>
      </text>
    </comment>
    <comment ref="DV84" authorId="1" shapeId="0" xr:uid="{0D614286-B5B4-4B45-8F2E-970807E8CFD2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</t>
        </r>
      </text>
    </comment>
    <comment ref="M88" authorId="2" shapeId="0" xr:uid="{9AEADDD0-35F6-44DE-9B68-611D83C0F2F7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ANC G3</t>
        </r>
      </text>
    </comment>
    <comment ref="AG88" authorId="1" shapeId="0" xr:uid="{9DBBA4B1-5CF1-46C3-A1E5-82C81C4A8AF0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delayed</t>
        </r>
      </text>
    </comment>
    <comment ref="AL88" authorId="1" shapeId="0" xr:uid="{EE7C69CB-3C66-4B65-949A-77AC6ED510F9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no entry</t>
        </r>
      </text>
    </comment>
    <comment ref="AP88" authorId="1" shapeId="0" xr:uid="{F281FF0F-49D7-4662-B8DD-F42FC3CFD67E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no entry</t>
        </r>
      </text>
    </comment>
    <comment ref="AT88" authorId="1" shapeId="0" xr:uid="{FDAF2B55-4D9C-4FE6-9B2E-EE9A2CAA12D7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no entry</t>
        </r>
      </text>
    </comment>
    <comment ref="DU88" authorId="1" shapeId="0" xr:uid="{C7E6E9A9-38CD-418A-920C-32A549CC0710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refuse
</t>
        </r>
      </text>
    </comment>
    <comment ref="R90" authorId="2" shapeId="0" xr:uid="{E36FC2EC-3FA1-48E0-BF8B-211460A6887A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Hospital admitted</t>
        </r>
      </text>
    </comment>
    <comment ref="AG90" authorId="1" shapeId="0" xr:uid="{1FCE8569-6F97-46BF-ADA8-FAB07328A0C7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delayed</t>
        </r>
      </text>
    </comment>
    <comment ref="P92" authorId="2" shapeId="0" xr:uid="{238917ED-2B3A-4A52-879B-FDEF5062C3DB}">
      <text>
        <r>
          <rPr>
            <b/>
            <sz val="10"/>
            <color indexed="81"/>
            <rFont val="Tahoma"/>
            <family val="2"/>
          </rPr>
          <t>jisong:</t>
        </r>
        <r>
          <rPr>
            <sz val="10"/>
            <color indexed="81"/>
            <rFont val="Tahoma"/>
            <family val="2"/>
          </rPr>
          <t xml:space="preserve">
Delay for ANC decrease.</t>
        </r>
      </text>
    </comment>
    <comment ref="DU92" authorId="1" shapeId="0" xr:uid="{98E03194-3667-4617-B2C9-108249C0930C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refuse</t>
        </r>
      </text>
    </comment>
    <comment ref="DV92" authorId="1" shapeId="0" xr:uid="{54B9AE88-C1BE-481E-9A34-6431547E4A5A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</t>
        </r>
      </text>
    </comment>
    <comment ref="P94" authorId="1" shapeId="0" xr:uid="{A1396687-D89E-4EE0-8E31-5ECE75E00A03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rescheduled due to a COVID infection.</t>
        </r>
      </text>
    </comment>
    <comment ref="DU94" authorId="3" shapeId="0" xr:uid="{58EFA2EB-6038-415D-B062-43E2988D3BD4}">
      <text>
        <r>
          <rPr>
            <sz val="11"/>
            <color theme="1"/>
            <rFont val="맑은 고딕"/>
            <family val="2"/>
            <charset val="129"/>
            <scheme val="minor"/>
          </rPr>
          <t>Stella (Seung-yeon) Song:
refuse</t>
        </r>
      </text>
    </comment>
    <comment ref="P96" authorId="1" shapeId="0" xr:uid="{ABFFA216-D41A-4A0A-A03D-91A89B9AD5E7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G-CSF admin completed on 26Aug2024.</t>
        </r>
      </text>
    </comment>
    <comment ref="T96" authorId="1" shapeId="0" xr:uid="{B098C7BD-BE0B-40E0-BC0D-EDF21266F68C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early visit</t>
        </r>
      </text>
    </comment>
    <comment ref="V96" authorId="1" shapeId="0" xr:uid="{83A97CEF-39CE-4D2E-9678-035101802B7A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no entry</t>
        </r>
      </text>
    </comment>
    <comment ref="Z96" authorId="1" shapeId="0" xr:uid="{6F33E67C-9B37-45DF-9B2A-9D03EE3DD2C4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no entry</t>
        </r>
      </text>
    </comment>
    <comment ref="AD96" authorId="1" shapeId="0" xr:uid="{7EEE35BA-9B3E-4325-84C2-C71D307EC859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no entry</t>
        </r>
      </text>
    </comment>
    <comment ref="DU96" authorId="1" shapeId="0" xr:uid="{1D4CD776-445F-4699-A76D-F3B77B9651DE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refuse</t>
        </r>
      </text>
    </comment>
    <comment ref="P97" authorId="1" shapeId="0" xr:uid="{25BFBCAC-A0F2-47B8-B65E-0459A279AF79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adjusted</t>
        </r>
      </text>
    </comment>
    <comment ref="M98" authorId="1" shapeId="0" xr:uid="{8A145A4C-7053-4F57-8ABD-73768DCD576A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delay visit
</t>
        </r>
      </text>
    </comment>
    <comment ref="N98" authorId="1" shapeId="0" xr:uid="{F7449EC7-6EA0-4523-A872-CE6BC19EB017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C1D15 is skipped.</t>
        </r>
      </text>
    </comment>
    <comment ref="DU98" authorId="3" shapeId="0" xr:uid="{190CB928-0763-4890-BEB5-C85B40400956}">
      <text>
        <r>
          <rPr>
            <sz val="11"/>
            <color theme="1"/>
            <rFont val="맑은 고딕"/>
            <family val="2"/>
            <charset val="129"/>
            <scheme val="minor"/>
          </rPr>
          <t>Stella (Seung-yeon) Song:
Patient removed consent</t>
        </r>
      </text>
    </comment>
    <comment ref="DV98" authorId="3" shapeId="0" xr:uid="{1C97BF21-69EA-45AD-A4EC-298285ED4FB9}">
      <text>
        <r>
          <rPr>
            <sz val="11"/>
            <color theme="1"/>
            <rFont val="맑은 고딕"/>
            <family val="2"/>
            <charset val="129"/>
            <scheme val="minor"/>
          </rPr>
          <t>Stella (Seung-yeon) Song:
Patient removed consent</t>
        </r>
      </text>
    </comment>
    <comment ref="DT100" authorId="1" shapeId="0" xr:uid="{DDCC6961-42F1-43EB-9E6A-EA234D8D09ED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Subject withrew consent</t>
        </r>
      </text>
    </comment>
    <comment ref="DU100" authorId="1" shapeId="0" xr:uid="{3C618ADD-F30A-45C0-BE88-145E38ADD56C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Withdrawal of consent including safety and survival F/U assessments</t>
        </r>
      </text>
    </comment>
    <comment ref="DW100" authorId="1" shapeId="0" xr:uid="{844D502A-13F1-4079-99D8-61FF8492BAEE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Dead</t>
        </r>
      </text>
    </comment>
    <comment ref="I102" authorId="1" shapeId="0" xr:uid="{B09F08E5-65A5-4A1D-A419-06B4EE982BD7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SF: 2024-07-22</t>
        </r>
      </text>
    </comment>
    <comment ref="P102" authorId="1" shapeId="0" xr:uid="{1B740F33-1309-4ACF-BFDF-C6D9E2D97CB9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rescheduled due to a COVID infection.</t>
        </r>
      </text>
    </comment>
    <comment ref="C103" authorId="1" shapeId="0" xr:uid="{79998BFA-4DC6-414D-BD35-01A079AA43BB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Enrolled but not dosed due to Hb results not meeting the criteria for starting the cycle</t>
        </r>
      </text>
    </comment>
    <comment ref="M108" authorId="1" shapeId="0" xr:uid="{96B310C0-3E69-4573-98BE-46B4A64CA3C1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delayed
</t>
        </r>
      </text>
    </comment>
    <comment ref="DU108" authorId="1" shapeId="0" xr:uid="{4A4AF325-60BE-430B-A9ED-4437C329AE6F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withdrew consent</t>
        </r>
      </text>
    </comment>
    <comment ref="DU110" authorId="1" shapeId="0" xr:uid="{4D9C4DEE-B569-4622-98C2-45515D3D276E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subject's rejection</t>
        </r>
      </text>
    </comment>
    <comment ref="DW110" authorId="1" shapeId="0" xr:uid="{5228B54A-7564-4086-9253-F18B1DFBE9A2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Death: 08Apr2025</t>
        </r>
      </text>
    </comment>
    <comment ref="AD112" authorId="1" shapeId="0" xr:uid="{A24F632C-B0BD-4A1E-885D-D354BF3E3D3D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Not done</t>
        </r>
      </text>
    </comment>
    <comment ref="DU112" authorId="1" shapeId="0" xr:uid="{06E437B4-4B45-419C-8B42-FEC2B9B31B4F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refused
</t>
        </r>
      </text>
    </comment>
    <comment ref="DX112" authorId="1" shapeId="0" xr:uid="{D2278E43-092D-4387-A108-ED6E64B0B165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 (28Nov2025)
</t>
        </r>
      </text>
    </comment>
    <comment ref="S114" authorId="1" shapeId="0" xr:uid="{F3E29753-0A44-4717-932B-27BE93423E38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Cycle2 Day22</t>
        </r>
      </text>
    </comment>
    <comment ref="W114" authorId="1" shapeId="0" xr:uid="{633F77A5-F22B-41C1-A795-ED3CC33F266A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C3D22</t>
        </r>
      </text>
    </comment>
    <comment ref="DT114" authorId="1" shapeId="0" xr:uid="{CA223FBE-791A-468B-B34D-30F089415D24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other treatment schedule</t>
        </r>
      </text>
    </comment>
    <comment ref="DU114" authorId="1" shapeId="0" xr:uid="{A3DC8076-31D8-4D53-B697-9629B95EDEEE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refused
</t>
        </r>
      </text>
    </comment>
    <comment ref="S116" authorId="1" shapeId="0" xr:uid="{E88F8994-3820-4158-B427-06805A62830B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C2D22</t>
        </r>
      </text>
    </comment>
    <comment ref="DU116" authorId="1" shapeId="0" xr:uid="{67636E18-3004-4FB8-8E82-B1EBACCEE3B6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refused
</t>
        </r>
      </text>
    </comment>
    <comment ref="M118" authorId="1" shapeId="0" xr:uid="{6BF37DA5-85CD-430E-84AB-53A33C6DB7D4}">
      <text>
        <r>
          <rPr>
            <b/>
            <sz val="9"/>
            <color indexed="81"/>
            <rFont val="Tahoma"/>
            <family val="2"/>
          </rPr>
          <t xml:space="preserve">sysong:
</t>
        </r>
        <r>
          <rPr>
            <sz val="9"/>
            <color indexed="81"/>
            <rFont val="Tahoma"/>
            <family val="2"/>
          </rPr>
          <t>not treated (ANC &lt;2.0)</t>
        </r>
      </text>
    </comment>
    <comment ref="S122" authorId="1" shapeId="0" xr:uid="{6872CC1E-4495-4BB3-BCAB-80CBF0D6825F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Cycle2 Day22</t>
        </r>
      </text>
    </comment>
    <comment ref="W122" authorId="1" shapeId="0" xr:uid="{F54E8F5D-9BF6-4DF1-83C9-FAB447347AFA}">
      <text>
        <r>
          <rPr>
            <b/>
            <sz val="9"/>
            <color indexed="81"/>
            <rFont val="Tahoma"/>
            <family val="2"/>
          </rPr>
          <t xml:space="preserve">sysong:
</t>
        </r>
        <r>
          <rPr>
            <sz val="9"/>
            <color indexed="81"/>
            <rFont val="Tahoma"/>
            <family val="2"/>
          </rPr>
          <t>Cycle3 Day22</t>
        </r>
      </text>
    </comment>
    <comment ref="DU122" authorId="1" shapeId="0" xr:uid="{05DE5F5F-E6D9-43CA-AF8E-22B9856A8E25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28-day FU visit was performed on the same date as EOT visit.</t>
        </r>
      </text>
    </comment>
    <comment ref="DW122" authorId="1" shapeId="0" xr:uid="{0F86FF5A-9331-4A01-B4D4-C9D5A1E2B3B9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</t>
        </r>
      </text>
    </comment>
    <comment ref="S124" authorId="1" shapeId="0" xr:uid="{BC472302-6C71-4D38-B18E-66910F7CDA84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Cycle2 Day22</t>
        </r>
      </text>
    </comment>
    <comment ref="W124" authorId="1" shapeId="0" xr:uid="{6CE2CA62-84AF-4CD4-8708-F28EE54D8B46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C3D22</t>
        </r>
      </text>
    </comment>
    <comment ref="AA124" authorId="1" shapeId="0" xr:uid="{CDFE683A-5D40-4C71-A3F0-5F6B1CE5879A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C4D22</t>
        </r>
      </text>
    </comment>
    <comment ref="DW124" authorId="3" shapeId="0" xr:uid="{5BD530F0-C1B8-4540-BA55-355E6AB7C452}">
      <text>
        <r>
          <rPr>
            <sz val="11"/>
            <color theme="1"/>
            <rFont val="맑은 고딕"/>
            <family val="2"/>
            <charset val="129"/>
            <scheme val="minor"/>
          </rPr>
          <t>Stella (Seung-yeon) Song:
Dead: 05Jun2026</t>
        </r>
      </text>
    </comment>
    <comment ref="DV126" authorId="1" shapeId="0" xr:uid="{A6E338C8-D83A-4FBA-B5D7-F86EC587CB8D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
</t>
        </r>
      </text>
    </comment>
    <comment ref="AM128" authorId="1" shapeId="0" xr:uid="{49845FC4-F80E-4F30-857E-12D884027AC3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C7D22</t>
        </r>
      </text>
    </comment>
    <comment ref="AQ128" authorId="3" shapeId="0" xr:uid="{2A133BDE-3BD5-4E3D-81C3-5F1E2FC7814D}">
      <text>
        <r>
          <rPr>
            <sz val="11"/>
            <color theme="1"/>
            <rFont val="맑은 고딕"/>
            <family val="2"/>
            <charset val="129"/>
            <scheme val="minor"/>
          </rPr>
          <t>Stella (Seung-yeon) Song:
Patient no showed.</t>
        </r>
      </text>
    </comment>
    <comment ref="AX128" authorId="3" shapeId="0" xr:uid="{23D976CB-E67D-46F1-9F1C-AACC56F3267F}">
      <text>
        <r>
          <rPr>
            <sz val="11"/>
            <color theme="1"/>
            <rFont val="맑은 고딕"/>
            <family val="2"/>
            <charset val="129"/>
            <scheme val="minor"/>
          </rPr>
          <t>Stella (Seung-yeon) Song:
patient went vacation</t>
        </r>
      </text>
    </comment>
    <comment ref="AY128" authorId="3" shapeId="0" xr:uid="{9BFCDA9E-40AC-4096-89E4-5A80DFCBDECC}">
      <text>
        <r>
          <rPr>
            <sz val="11"/>
            <color theme="1"/>
            <rFont val="맑은 고딕"/>
            <family val="2"/>
            <charset val="129"/>
            <scheme val="minor"/>
          </rPr>
          <t>Stella (Seung-yeon) Song:
patient went vacation</t>
        </r>
      </text>
    </comment>
    <comment ref="DU128" authorId="1" shapeId="0" xr:uid="{2FA410E9-4E20-4274-A007-E742EE02CD80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Patient withdrew consent</t>
        </r>
      </text>
    </comment>
    <comment ref="DV128" authorId="1" shapeId="0" xr:uid="{D5A20282-A2F3-465D-83FC-17BC857C8255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subject withdrew consent</t>
        </r>
      </text>
    </comment>
    <comment ref="W130" authorId="1" shapeId="0" xr:uid="{483FF5D1-7596-48DC-B067-476B5A4E1B9A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C3D22</t>
        </r>
      </text>
    </comment>
    <comment ref="AA130" authorId="1" shapeId="0" xr:uid="{EDECA8BF-81AD-45BE-B3F2-F4E9BEB5F40F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C4D22</t>
        </r>
      </text>
    </comment>
    <comment ref="AE130" authorId="1" shapeId="0" xr:uid="{B43BB01E-3DD7-4F14-9424-90042AA1E1C7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C5D22</t>
        </r>
      </text>
    </comment>
    <comment ref="C131" authorId="1" shapeId="0" xr:uid="{38E93308-89B6-4AA5-9FC6-0C210FA87A09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Enrolled but consent withdrawn before C1D1 dosing.</t>
        </r>
      </text>
    </comment>
    <comment ref="DT132" authorId="1" shapeId="0" xr:uid="{D1A80218-D9E6-4B02-ADEF-8DBDA1B3BDA9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Enrolled but consent withdrawn before C1D1 dosing.</t>
        </r>
      </text>
    </comment>
    <comment ref="W134" authorId="1" shapeId="0" xr:uid="{84D1B29B-DB99-430B-B47E-533F3A909A4C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New Year's holiday</t>
        </r>
      </text>
    </comment>
    <comment ref="O136" authorId="1" shapeId="0" xr:uid="{EDEA1999-9961-4B8A-A3B5-54E205D7D3C2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C1D22</t>
        </r>
      </text>
    </comment>
    <comment ref="S136" authorId="1" shapeId="0" xr:uid="{9AC617BB-D434-4513-AAF7-9EBC187EADE1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C2D22</t>
        </r>
      </text>
    </comment>
    <comment ref="BA136" authorId="3" shapeId="0" xr:uid="{59B70B27-17E7-4070-A6EB-31C778492FAA}">
      <text>
        <r>
          <rPr>
            <sz val="11"/>
            <color theme="1"/>
            <rFont val="맑은 고딕"/>
            <family val="2"/>
            <charset val="129"/>
            <scheme val="minor"/>
          </rPr>
          <t>Stella (Seung-yeon) Song:
missed appt. recorded on PD log</t>
        </r>
      </text>
    </comment>
    <comment ref="BE136" authorId="1" shapeId="0" xr:uid="{3163CE57-B937-47A6-80A9-A7F719B5EE46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Patient was not feeling well enough to travel when to ED for pain</t>
        </r>
      </text>
    </comment>
    <comment ref="BF136" authorId="1" shapeId="0" xr:uid="{C1629A81-D523-4D3F-9E74-39EF64CC92CC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PI decided to end treatment</t>
        </r>
      </text>
    </comment>
    <comment ref="N144" authorId="1" shapeId="0" xr:uid="{7127D09D-4BDA-45D2-8AED-BD1686D01793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A day 15 procedure was performed on day 14 due to subject's schedule</t>
        </r>
      </text>
    </comment>
    <comment ref="DV146" authorId="1" shapeId="0" xr:uid="{5A83D625-88E6-4085-BDFF-433917F56FC4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</t>
        </r>
      </text>
    </comment>
    <comment ref="S148" authorId="1" shapeId="0" xr:uid="{7BFE5760-33B3-46B4-84AF-ED9A8F126BCC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C2D22</t>
        </r>
      </text>
    </comment>
    <comment ref="DV148" authorId="1" shapeId="0" xr:uid="{4B7A4DA6-D5AE-4965-B7F8-A4D388BB6C2F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
</t>
        </r>
      </text>
    </comment>
    <comment ref="O150" authorId="1" shapeId="0" xr:uid="{CE5F1D20-FD9C-4306-8DBE-D3155381342B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C1D22</t>
        </r>
      </text>
    </comment>
    <comment ref="S150" authorId="1" shapeId="0" xr:uid="{01445B81-C3AC-4230-A533-D3CF2CBE84A4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C2D22</t>
        </r>
      </text>
    </comment>
    <comment ref="AK150" authorId="1" shapeId="0" xr:uid="{876D245F-DA7E-4C08-BE87-E207659E9703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holiday</t>
        </r>
      </text>
    </comment>
    <comment ref="AW150" authorId="3" shapeId="0" xr:uid="{91DFA328-B211-4754-B7C4-BCD7F0E27A10}">
      <text>
        <r>
          <rPr>
            <sz val="11"/>
            <color theme="1"/>
            <rFont val="맑은 고딕"/>
            <family val="2"/>
            <charset val="129"/>
            <scheme val="minor"/>
          </rPr>
          <t>Stella (Seung-yeon) Song:
patient schedule</t>
        </r>
      </text>
    </comment>
    <comment ref="DU150" authorId="1" shapeId="0" xr:uid="{EFC0265E-918D-4721-8F58-8AFAEEE1FD80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refuse
</t>
        </r>
      </text>
    </comment>
    <comment ref="Q152" authorId="1" shapeId="0" xr:uid="{E7B58825-5150-4450-B281-38390045E8F6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skipped because of AE</t>
        </r>
      </text>
    </comment>
    <comment ref="R152" authorId="1" shapeId="0" xr:uid="{575E59F1-E57C-4D57-BC13-3A1B41730998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skipped because of AE</t>
        </r>
      </text>
    </comment>
    <comment ref="DU152" authorId="1" shapeId="0" xr:uid="{D312CE34-9D70-4C27-AB38-59E5F5AA6357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because of subject's poor condition</t>
        </r>
      </text>
    </comment>
    <comment ref="DV152" authorId="1" shapeId="0" xr:uid="{20897CF3-06E4-47E6-8E87-DB18DB306722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</t>
        </r>
      </text>
    </comment>
    <comment ref="DU154" authorId="1" shapeId="0" xr:uid="{C047FC8D-8D53-4894-BF98-B64642F3DD15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subject refused
</t>
        </r>
      </text>
    </comment>
    <comment ref="DV154" authorId="1" shapeId="0" xr:uid="{F656D2D3-8CFA-493F-8317-1A7F42A387AE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
</t>
        </r>
      </text>
    </comment>
    <comment ref="O156" authorId="1" shapeId="0" xr:uid="{AD85490E-28C9-4475-A690-9098DDB17725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C1D22</t>
        </r>
      </text>
    </comment>
    <comment ref="DX156" authorId="1" shapeId="0" xr:uid="{BD84A7B7-634B-498E-B9A9-AD555746EDA9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Dead</t>
        </r>
      </text>
    </comment>
    <comment ref="DU158" authorId="1" shapeId="0" xr:uid="{FF98A8AE-0CF2-4927-8E8A-48B4D8E582D8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refuse</t>
        </r>
      </text>
    </comment>
    <comment ref="O160" authorId="1" shapeId="0" xr:uid="{E622FF3D-440A-4289-B478-17131A6C3951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C1D22</t>
        </r>
      </text>
    </comment>
    <comment ref="DU160" authorId="1" shapeId="0" xr:uid="{7B4FD30C-6516-4230-B962-57C674F9AB33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patient in hospice care</t>
        </r>
      </text>
    </comment>
    <comment ref="DV160" authorId="1" shapeId="0" xr:uid="{1184EBB6-2EB9-4CA0-817F-5EC0F3D14779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</t>
        </r>
      </text>
    </comment>
    <comment ref="DW162" authorId="3" shapeId="0" xr:uid="{59C70039-FD3A-4314-8351-234BA6754E2B}">
      <text>
        <r>
          <rPr>
            <sz val="11"/>
            <color theme="1"/>
            <rFont val="맑은 고딕"/>
            <family val="2"/>
            <charset val="129"/>
            <scheme val="minor"/>
          </rPr>
          <t>Stella (Seung-yeon) Song:
Dead</t>
        </r>
      </text>
    </comment>
    <comment ref="O164" authorId="1" shapeId="0" xr:uid="{7C328E8B-14F0-49F9-B36D-CA44FECB1905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C1D22</t>
        </r>
      </text>
    </comment>
    <comment ref="DU164" authorId="1" shapeId="0" xr:uid="{E321FD73-FF68-428E-820B-3B2B258574DB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patient withdraw</t>
        </r>
      </text>
    </comment>
    <comment ref="DV164" authorId="1" shapeId="0" xr:uid="{4B5022B2-C66A-4161-B693-8173C6945DAB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patient withdraw</t>
        </r>
      </text>
    </comment>
    <comment ref="DU166" authorId="3" shapeId="0" xr:uid="{87D71BF2-45E1-46E5-82A1-20AE0268C9F8}">
      <text>
        <r>
          <rPr>
            <sz val="11"/>
            <color theme="1"/>
            <rFont val="맑은 고딕"/>
            <family val="2"/>
            <charset val="129"/>
            <scheme val="minor"/>
          </rPr>
          <t>Stella (Seung-yeon) Song:
consent withdrawn</t>
        </r>
      </text>
    </comment>
    <comment ref="AE168" authorId="1" shapeId="0" xr:uid="{732C6E71-2794-42D5-A58F-8F5689CF9585}">
      <text>
        <r>
          <rPr>
            <b/>
            <sz val="9"/>
            <color indexed="81"/>
            <rFont val="Tahoma"/>
            <family val="2"/>
          </rPr>
          <t xml:space="preserve">sysong:
</t>
        </r>
        <r>
          <rPr>
            <sz val="9"/>
            <color indexed="81"/>
            <rFont val="Tahoma"/>
            <family val="2"/>
          </rPr>
          <t>C5D22</t>
        </r>
      </text>
    </comment>
    <comment ref="DU174" authorId="1" shapeId="0" xr:uid="{EFFD60F4-6750-46BC-82CE-81689F29CBC2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The visit was not performed as the site was not aware that the Safety Follow-up visit was required. This was an unintentional omission, and a protocol deviation will be reported.</t>
        </r>
      </text>
    </comment>
    <comment ref="DW174" authorId="1" shapeId="0" xr:uid="{94EDEBF2-DE93-4F1E-A22C-D234055C289C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</t>
        </r>
      </text>
    </comment>
    <comment ref="DU178" authorId="3" shapeId="0" xr:uid="{B00D5102-5598-41CA-886E-8BF73509C484}">
      <text>
        <r>
          <rPr>
            <sz val="11"/>
            <color theme="1"/>
            <rFont val="맑은 고딕"/>
            <family val="2"/>
            <charset val="129"/>
            <scheme val="minor"/>
          </rPr>
          <t>Stella (Seung-yeon) Song:
both subject and LAR withdraw consent of safety FU visit.</t>
        </r>
      </text>
    </comment>
    <comment ref="DU180" authorId="1" shapeId="0" xr:uid="{2D7FDAFB-DC44-4B51-BD21-5B06DE1354E0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Same day as EOT and Safety Follow-Up (28 days SFU)</t>
        </r>
      </text>
    </comment>
    <comment ref="DW180" authorId="1" shapeId="0" xr:uid="{257B2F56-488C-444B-A178-9FD0B1459E93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Death: 26Jan2026</t>
        </r>
      </text>
    </comment>
    <comment ref="DV182" authorId="3" shapeId="0" xr:uid="{A7444A98-0131-4D80-8EAA-A2DAEF5075FF}">
      <text>
        <r>
          <rPr>
            <sz val="11"/>
            <color theme="1"/>
            <rFont val="맑은 고딕"/>
            <family val="2"/>
            <charset val="129"/>
            <scheme val="minor"/>
          </rPr>
          <t>Stella (Seung-yeon) Song:
Death</t>
        </r>
      </text>
    </comment>
    <comment ref="DU186" authorId="3" shapeId="0" xr:uid="{DDE0A324-152D-4B56-BD62-E2E944AC1AEB}">
      <text>
        <r>
          <rPr>
            <sz val="11"/>
            <color theme="1"/>
            <rFont val="맑은 고딕"/>
            <family val="2"/>
            <charset val="129"/>
            <scheme val="minor"/>
          </rPr>
          <t>Stella (Seung-yeon) Song:
Refused</t>
        </r>
      </text>
    </comment>
    <comment ref="DT188" authorId="1" shapeId="0" xr:uid="{9011E9D4-6CCD-4F90-B44B-5738FE8C0876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 9/19/2025</t>
        </r>
      </text>
    </comment>
    <comment ref="DV190" authorId="1" shapeId="0" xr:uid="{4FEE94E0-AD1D-49EC-8798-160B38FB4306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</t>
        </r>
      </text>
    </comment>
    <comment ref="DW192" authorId="1" shapeId="0" xr:uid="{24818C15-0BB0-4F63-8379-24381F42FAF2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Death: 26Jan2026</t>
        </r>
      </text>
    </comment>
    <comment ref="O194" authorId="1" shapeId="0" xr:uid="{AE476D26-8C85-4753-B5A9-D0CE76BC0260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C1D22</t>
        </r>
      </text>
    </comment>
    <comment ref="O198" authorId="1" shapeId="0" xr:uid="{578011C0-7388-4C3E-A695-C89EA17F3874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C1D22</t>
        </r>
      </text>
    </comment>
    <comment ref="O208" authorId="1" shapeId="0" xr:uid="{3D042CAD-CB80-4BC5-9A7C-75B2A65602E0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C1D22</t>
        </r>
      </text>
    </comment>
    <comment ref="DU208" authorId="1" shapeId="0" xr:uid="{FA4CF19A-47CC-4488-B90C-DFBB0F55BB5E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subject consent withdrawn for safety follow up visit</t>
        </r>
      </text>
    </comment>
    <comment ref="AA212" authorId="3" shapeId="0" xr:uid="{C6B55CB4-2033-4E62-8259-7B3F74B2C26D}">
      <text>
        <r>
          <rPr>
            <sz val="11"/>
            <color theme="1"/>
            <rFont val="맑은 고딕"/>
            <family val="2"/>
            <charset val="129"/>
            <scheme val="minor"/>
          </rPr>
          <t>Stella (Seung-yeon) Song:
Patient was out of town</t>
        </r>
      </text>
    </comment>
    <comment ref="DV214" authorId="1" shapeId="0" xr:uid="{38E91123-4A83-4669-BD32-1C79E533EF3D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Death</t>
        </r>
      </text>
    </comment>
    <comment ref="DU228" authorId="1" shapeId="0" xr:uid="{4C47423B-C2A7-4289-9F9E-FBA2C4A20507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refuse</t>
        </r>
      </text>
    </comment>
    <comment ref="DT260" authorId="3" shapeId="0" xr:uid="{EC00E948-9787-4CEA-B2D3-C8F620326690}">
      <text>
        <r>
          <rPr>
            <sz val="11"/>
            <color theme="1"/>
            <rFont val="맑은 고딕"/>
            <family val="2"/>
            <charset val="129"/>
            <scheme val="minor"/>
          </rPr>
          <t>Stella (Seung-yeon) Song:
physician decision - patient was not responding and was advised to go back home to Boston and pursue alternative treatment</t>
        </r>
      </text>
    </comment>
    <comment ref="DU260" authorId="3" shapeId="0" xr:uid="{FEC4FB1E-3AD8-4B0D-BAB3-9381489B44D3}">
      <text>
        <r>
          <rPr>
            <sz val="11"/>
            <color theme="1"/>
            <rFont val="맑은 고딕"/>
            <family val="2"/>
            <charset val="129"/>
            <scheme val="minor"/>
          </rPr>
          <t>Stella (Seung-yeon) Song:
patient is back in boston and will not be returning for protocol follow up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sysong</author>
  </authors>
  <commentList>
    <comment ref="A6" authorId="0" shapeId="0" xr:uid="{2EC87D7B-8CF4-4878-B957-21E32CE32F5F}">
      <text>
        <r>
          <rPr>
            <b/>
            <sz val="9"/>
            <color indexed="81"/>
            <rFont val="Tahoma"/>
            <family val="2"/>
          </rPr>
          <t>sysong: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<sst xmlns="http://schemas.openxmlformats.org/spreadsheetml/2006/main" count="5263" uniqueCount="651">
  <si>
    <t>Treatment Status</t>
  </si>
  <si>
    <t>Column B: Substudy / Regimen / Dose level</t>
  </si>
  <si>
    <t>Additional Information</t>
    <phoneticPr fontId="1" type="noConversion"/>
  </si>
  <si>
    <t>(PLANNED DATE±3days)</t>
    <phoneticPr fontId="1" type="noConversion"/>
  </si>
  <si>
    <t>Last dose date+3mon(~14DAYS)</t>
    <phoneticPr fontId="1" type="noConversion"/>
  </si>
  <si>
    <t>#</t>
  </si>
  <si>
    <t>Subject No.</t>
    <phoneticPr fontId="3" type="noConversion"/>
  </si>
  <si>
    <t>Site</t>
  </si>
  <si>
    <t>Cancer type</t>
    <phoneticPr fontId="3" type="noConversion"/>
  </si>
  <si>
    <t>subject status</t>
    <phoneticPr fontId="1" type="noConversion"/>
  </si>
  <si>
    <t>DLT</t>
  </si>
  <si>
    <t>Visit</t>
    <phoneticPr fontId="3" type="noConversion"/>
  </si>
  <si>
    <t>Screening</t>
    <phoneticPr fontId="3" type="noConversion"/>
  </si>
  <si>
    <t>Cycle1 
Day1</t>
    <phoneticPr fontId="3" type="noConversion"/>
  </si>
  <si>
    <t>Cycle1
Day5 or 6
(AML)</t>
    <phoneticPr fontId="1" type="noConversion"/>
  </si>
  <si>
    <t>Cycle1 
Day8</t>
    <phoneticPr fontId="3" type="noConversion"/>
  </si>
  <si>
    <t>Cycle1 
Day15</t>
    <phoneticPr fontId="3" type="noConversion"/>
  </si>
  <si>
    <t>Cycle1 
Day21</t>
  </si>
  <si>
    <t>Cycle2 
Day1</t>
    <phoneticPr fontId="3" type="noConversion"/>
  </si>
  <si>
    <t>Cycle2
Day8</t>
    <phoneticPr fontId="3" type="noConversion"/>
  </si>
  <si>
    <t>Cycle2
Day15</t>
    <phoneticPr fontId="3" type="noConversion"/>
  </si>
  <si>
    <t>Cycle2 
Day21</t>
    <phoneticPr fontId="3" type="noConversion"/>
  </si>
  <si>
    <t>Cycle3 
Day1</t>
    <phoneticPr fontId="3" type="noConversion"/>
  </si>
  <si>
    <t>Cycle3
Day8</t>
    <phoneticPr fontId="3" type="noConversion"/>
  </si>
  <si>
    <t>Cycle3
Day15</t>
    <phoneticPr fontId="3" type="noConversion"/>
  </si>
  <si>
    <t>Cycle3
Day21</t>
    <phoneticPr fontId="3" type="noConversion"/>
  </si>
  <si>
    <t>Cycle4
Day1</t>
    <phoneticPr fontId="3" type="noConversion"/>
  </si>
  <si>
    <t>Cycle4
Day8</t>
    <phoneticPr fontId="3" type="noConversion"/>
  </si>
  <si>
    <t>Cycle4
Day15</t>
    <phoneticPr fontId="3" type="noConversion"/>
  </si>
  <si>
    <t>Cycle4
Day21</t>
    <phoneticPr fontId="3" type="noConversion"/>
  </si>
  <si>
    <t>Cycle5 
Day1
(PLANNED DATE±3days)</t>
    <phoneticPr fontId="3" type="noConversion"/>
  </si>
  <si>
    <t>Cycle5
Day8
(PLANNED DATE±3days)</t>
    <phoneticPr fontId="3" type="noConversion"/>
  </si>
  <si>
    <t>Cycle5
Day15
(PLANNED DATE±3days)</t>
    <phoneticPr fontId="3" type="noConversion"/>
  </si>
  <si>
    <t>Cycle5
Day21
(PLANNED DATE±3days)</t>
    <phoneticPr fontId="3" type="noConversion"/>
  </si>
  <si>
    <t>Cycle6 
Day1</t>
    <phoneticPr fontId="3" type="noConversion"/>
  </si>
  <si>
    <t>Cycle6
Day8</t>
    <phoneticPr fontId="3" type="noConversion"/>
  </si>
  <si>
    <t>Cycle6
Day15</t>
    <phoneticPr fontId="3" type="noConversion"/>
  </si>
  <si>
    <t>Cycle6
Day21</t>
    <phoneticPr fontId="3" type="noConversion"/>
  </si>
  <si>
    <t>Cycle7
Day1</t>
    <phoneticPr fontId="3" type="noConversion"/>
  </si>
  <si>
    <t>Cycle7
Day8</t>
    <phoneticPr fontId="3" type="noConversion"/>
  </si>
  <si>
    <t>Cycle7
Day15</t>
    <phoneticPr fontId="3" type="noConversion"/>
  </si>
  <si>
    <t>Cycle7
Day21</t>
    <phoneticPr fontId="3" type="noConversion"/>
  </si>
  <si>
    <t>Cycle8
Day1</t>
    <phoneticPr fontId="3" type="noConversion"/>
  </si>
  <si>
    <t>Cycle8
Day8</t>
    <phoneticPr fontId="3" type="noConversion"/>
  </si>
  <si>
    <t>Cycle8
Day15</t>
    <phoneticPr fontId="3" type="noConversion"/>
  </si>
  <si>
    <t>Cycle8
Day21</t>
    <phoneticPr fontId="3" type="noConversion"/>
  </si>
  <si>
    <t>Cycle9
Day1</t>
    <phoneticPr fontId="3" type="noConversion"/>
  </si>
  <si>
    <t>Cycle9
Day8</t>
    <phoneticPr fontId="3" type="noConversion"/>
  </si>
  <si>
    <t>Cycle9
Day15</t>
    <phoneticPr fontId="3" type="noConversion"/>
  </si>
  <si>
    <t>Cycle9
Day21</t>
    <phoneticPr fontId="3" type="noConversion"/>
  </si>
  <si>
    <t>Cycle10
Day1</t>
    <phoneticPr fontId="3" type="noConversion"/>
  </si>
  <si>
    <t>Cycle10
Day8</t>
    <phoneticPr fontId="3" type="noConversion"/>
  </si>
  <si>
    <t>Cycle10
Day15</t>
    <phoneticPr fontId="3" type="noConversion"/>
  </si>
  <si>
    <t>Cycle10
Day21</t>
    <phoneticPr fontId="3" type="noConversion"/>
  </si>
  <si>
    <t>Cycle11
Day1</t>
    <phoneticPr fontId="3" type="noConversion"/>
  </si>
  <si>
    <t>Cycle11
Day8</t>
    <phoneticPr fontId="3" type="noConversion"/>
  </si>
  <si>
    <t>Cycle11
Day15</t>
    <phoneticPr fontId="3" type="noConversion"/>
  </si>
  <si>
    <t>Cycle11
Day21</t>
    <phoneticPr fontId="3" type="noConversion"/>
  </si>
  <si>
    <t>Cycle12
Day1</t>
    <phoneticPr fontId="1" type="noConversion"/>
  </si>
  <si>
    <t>Cycle12
Day8</t>
    <phoneticPr fontId="1" type="noConversion"/>
  </si>
  <si>
    <t>Cycle12
Day15</t>
    <phoneticPr fontId="1" type="noConversion"/>
  </si>
  <si>
    <t>Cycle12
Day21</t>
    <phoneticPr fontId="1" type="noConversion"/>
  </si>
  <si>
    <t>Cycle13
Day1</t>
    <phoneticPr fontId="1" type="noConversion"/>
  </si>
  <si>
    <t>Cycle13
Day8</t>
    <phoneticPr fontId="1" type="noConversion"/>
  </si>
  <si>
    <t>Cycle13
Day15</t>
    <phoneticPr fontId="1" type="noConversion"/>
  </si>
  <si>
    <t>Cycle13
Day21</t>
    <phoneticPr fontId="1" type="noConversion"/>
  </si>
  <si>
    <t>Cycle14
Day1</t>
    <phoneticPr fontId="1" type="noConversion"/>
  </si>
  <si>
    <t>Cycle14
Day8</t>
    <phoneticPr fontId="1" type="noConversion"/>
  </si>
  <si>
    <t>Cycle14
Day15</t>
    <phoneticPr fontId="1" type="noConversion"/>
  </si>
  <si>
    <t>Cycle14
Day21</t>
    <phoneticPr fontId="1" type="noConversion"/>
  </si>
  <si>
    <t>Cycle15
Day1</t>
    <phoneticPr fontId="1" type="noConversion"/>
  </si>
  <si>
    <t>Cycle15
Day8</t>
    <phoneticPr fontId="1" type="noConversion"/>
  </si>
  <si>
    <t>Cycle15
Day15</t>
    <phoneticPr fontId="1" type="noConversion"/>
  </si>
  <si>
    <t>Cycle15
Day21</t>
    <phoneticPr fontId="1" type="noConversion"/>
  </si>
  <si>
    <t>Cycle16
Day1</t>
    <phoneticPr fontId="1" type="noConversion"/>
  </si>
  <si>
    <t>Cycle16
Day8</t>
    <phoneticPr fontId="1" type="noConversion"/>
  </si>
  <si>
    <t>Cycle16
Day15</t>
    <phoneticPr fontId="1" type="noConversion"/>
  </si>
  <si>
    <t>Cycle16
Day21</t>
    <phoneticPr fontId="1" type="noConversion"/>
  </si>
  <si>
    <t>Cycle17
Day1</t>
    <phoneticPr fontId="1" type="noConversion"/>
  </si>
  <si>
    <t>Cycle17
Day8</t>
    <phoneticPr fontId="1" type="noConversion"/>
  </si>
  <si>
    <t>Cycle17
Day15</t>
    <phoneticPr fontId="1" type="noConversion"/>
  </si>
  <si>
    <t>Cycle17
Day21</t>
    <phoneticPr fontId="1" type="noConversion"/>
  </si>
  <si>
    <t>Cycle18
Day1</t>
    <phoneticPr fontId="1" type="noConversion"/>
  </si>
  <si>
    <t>Cycle18
Day8</t>
    <phoneticPr fontId="1" type="noConversion"/>
  </si>
  <si>
    <t>Cycle18
Day15</t>
    <phoneticPr fontId="1" type="noConversion"/>
  </si>
  <si>
    <t>Cycle18
Day22</t>
    <phoneticPr fontId="1" type="noConversion"/>
  </si>
  <si>
    <t>Cycle19
Day1</t>
    <phoneticPr fontId="1" type="noConversion"/>
  </si>
  <si>
    <t>Cycle19
Day8</t>
    <phoneticPr fontId="1" type="noConversion"/>
  </si>
  <si>
    <t>Cycle19
Day15</t>
    <phoneticPr fontId="1" type="noConversion"/>
  </si>
  <si>
    <t>Cycle19
Day22</t>
    <phoneticPr fontId="1" type="noConversion"/>
  </si>
  <si>
    <t>Cycle20
Day1</t>
    <phoneticPr fontId="1" type="noConversion"/>
  </si>
  <si>
    <t>Cycle20
Day8</t>
    <phoneticPr fontId="1" type="noConversion"/>
  </si>
  <si>
    <t>Cycle20
Day15</t>
    <phoneticPr fontId="1" type="noConversion"/>
  </si>
  <si>
    <t>Cycle20
Day22</t>
    <phoneticPr fontId="1" type="noConversion"/>
  </si>
  <si>
    <t>Cycle21
Day1</t>
    <phoneticPr fontId="1" type="noConversion"/>
  </si>
  <si>
    <t>Cycle21
Day8</t>
    <phoneticPr fontId="1" type="noConversion"/>
  </si>
  <si>
    <t>Cycle21
Day15</t>
  </si>
  <si>
    <t>Cycle21
Day22</t>
  </si>
  <si>
    <t>Cycle22
Day1</t>
  </si>
  <si>
    <t>Cycle22
Day8</t>
  </si>
  <si>
    <t>Cycle22
Day15</t>
  </si>
  <si>
    <t>Cycle22
Day22</t>
  </si>
  <si>
    <t>Cycle23
Day1</t>
  </si>
  <si>
    <t>Cycle23
Day8</t>
  </si>
  <si>
    <t>Cycle23
Day15</t>
  </si>
  <si>
    <t>Cycle23
Day22</t>
  </si>
  <si>
    <t>Cycle24
Day1</t>
  </si>
  <si>
    <t>Cycle24
Day8</t>
  </si>
  <si>
    <t>Cycle24
Day15</t>
  </si>
  <si>
    <t>Cycle24
Day22</t>
  </si>
  <si>
    <t>Cycle25
Day1</t>
    <phoneticPr fontId="1" type="noConversion"/>
  </si>
  <si>
    <t>Cycle25
Day8</t>
    <phoneticPr fontId="1" type="noConversion"/>
  </si>
  <si>
    <t>Cycle25
Day15</t>
    <phoneticPr fontId="1" type="noConversion"/>
  </si>
  <si>
    <t>Cycle25
Day22</t>
    <phoneticPr fontId="1" type="noConversion"/>
  </si>
  <si>
    <t>Cycle26
Day1</t>
  </si>
  <si>
    <t>Cycle26
Day8</t>
  </si>
  <si>
    <t>Cycle26
Day15</t>
  </si>
  <si>
    <t>Cycle26
Day22</t>
  </si>
  <si>
    <t>Cycle27
Day1</t>
    <phoneticPr fontId="1" type="noConversion"/>
  </si>
  <si>
    <t>Cycle27
Day8</t>
    <phoneticPr fontId="1" type="noConversion"/>
  </si>
  <si>
    <t>Cycle27
Day15</t>
    <phoneticPr fontId="1" type="noConversion"/>
  </si>
  <si>
    <t>Cycle27
Day22</t>
    <phoneticPr fontId="1" type="noConversion"/>
  </si>
  <si>
    <t>Cycle28
Day1</t>
  </si>
  <si>
    <t>Cycle28
Day8</t>
  </si>
  <si>
    <t>Cycle28
Day15</t>
  </si>
  <si>
    <t>Cycle28
Day22</t>
  </si>
  <si>
    <t>EOT
(-7~PLANNED DATE)</t>
    <phoneticPr fontId="3" type="noConversion"/>
  </si>
  <si>
    <t>Safety Follow up
(last dose+28±3days)</t>
    <phoneticPr fontId="1" type="noConversion"/>
  </si>
  <si>
    <t>Long term
Follow up1</t>
    <phoneticPr fontId="3" type="noConversion"/>
  </si>
  <si>
    <t>Long term
Follow up2</t>
    <phoneticPr fontId="3" type="noConversion"/>
  </si>
  <si>
    <t>Long term
Follow up3</t>
    <phoneticPr fontId="3" type="noConversion"/>
  </si>
  <si>
    <t>Long term
Follow up4</t>
    <phoneticPr fontId="3" type="noConversion"/>
  </si>
  <si>
    <t>Long term
Follow up5</t>
    <phoneticPr fontId="3" type="noConversion"/>
  </si>
  <si>
    <t>Long term
Follow up6</t>
    <phoneticPr fontId="3" type="noConversion"/>
  </si>
  <si>
    <t>Long term
Follow up7</t>
    <phoneticPr fontId="3" type="noConversion"/>
  </si>
  <si>
    <t>Long term
Follow up8</t>
    <phoneticPr fontId="3" type="noConversion"/>
  </si>
  <si>
    <t>Long term
Follow up9</t>
  </si>
  <si>
    <t>Comments</t>
    <phoneticPr fontId="3" type="noConversion"/>
  </si>
  <si>
    <t>Withdrawal of consent
Y/N</t>
  </si>
  <si>
    <t>Consent for survival f/u 
Y/N/NA</t>
  </si>
  <si>
    <t xml:space="preserve">Imaging FU after EOT. </t>
  </si>
  <si>
    <t>SS1 A
5mg</t>
  </si>
  <si>
    <t>540-1001</t>
    <phoneticPr fontId="1" type="noConversion"/>
  </si>
  <si>
    <t>Oregon Health and Science University Knight Cancer Institute</t>
  </si>
  <si>
    <t>Cervical
spine
Condrosarcoma</t>
    <phoneticPr fontId="1" type="noConversion"/>
  </si>
  <si>
    <t>safety f/u</t>
    <phoneticPr fontId="1" type="noConversion"/>
  </si>
  <si>
    <t>N</t>
  </si>
  <si>
    <t>Planned date</t>
    <phoneticPr fontId="3" type="noConversion"/>
  </si>
  <si>
    <t>NA</t>
    <phoneticPr fontId="1" type="noConversion"/>
  </si>
  <si>
    <t>NA</t>
  </si>
  <si>
    <t>Actual date</t>
    <phoneticPr fontId="3" type="noConversion"/>
  </si>
  <si>
    <t>SS1 A
10mg</t>
  </si>
  <si>
    <t>540-1002</t>
    <phoneticPr fontId="1" type="noConversion"/>
  </si>
  <si>
    <t>Rectal adenocarcinoma</t>
    <phoneticPr fontId="1" type="noConversion"/>
  </si>
  <si>
    <t>Death</t>
    <phoneticPr fontId="1" type="noConversion"/>
  </si>
  <si>
    <t>PD</t>
    <phoneticPr fontId="1" type="noConversion"/>
  </si>
  <si>
    <t>537-1001</t>
    <phoneticPr fontId="1" type="noConversion"/>
  </si>
  <si>
    <t>Montefiore Medical Center</t>
  </si>
  <si>
    <t>SF</t>
  </si>
  <si>
    <t>S/F</t>
    <phoneticPr fontId="1" type="noConversion"/>
  </si>
  <si>
    <t>537-1002</t>
    <phoneticPr fontId="1" type="noConversion"/>
  </si>
  <si>
    <t>Endometrial Ovarian adenocarcinoma</t>
    <phoneticPr fontId="1" type="noConversion"/>
  </si>
  <si>
    <t>EOT
PD</t>
    <phoneticPr fontId="1" type="noConversion"/>
  </si>
  <si>
    <t>SS1 A
20mg</t>
  </si>
  <si>
    <t>822-1001</t>
    <phoneticPr fontId="1" type="noConversion"/>
  </si>
  <si>
    <t>Severance Hospital, Yonsei University Health System</t>
  </si>
  <si>
    <t>Adenocarcinoma, Sacrococcygeal teratoma</t>
    <phoneticPr fontId="1" type="noConversion"/>
  </si>
  <si>
    <t>Y(safety FU)</t>
    <phoneticPr fontId="1" type="noConversion"/>
  </si>
  <si>
    <t>Y</t>
    <phoneticPr fontId="1" type="noConversion"/>
  </si>
  <si>
    <t>EOT before C2D8</t>
  </si>
  <si>
    <t>x</t>
    <phoneticPr fontId="1" type="noConversion"/>
  </si>
  <si>
    <t>EOT before C2D8</t>
    <phoneticPr fontId="1" type="noConversion"/>
  </si>
  <si>
    <t>540-1003</t>
    <phoneticPr fontId="1" type="noConversion"/>
  </si>
  <si>
    <t xml:space="preserve">Metastatic squamous cell carcinoma </t>
    <phoneticPr fontId="1" type="noConversion"/>
  </si>
  <si>
    <t>completed</t>
  </si>
  <si>
    <t>537-1003</t>
    <phoneticPr fontId="1" type="noConversion"/>
  </si>
  <si>
    <t>Metastatic Pancreatic Cancer</t>
    <phoneticPr fontId="1" type="noConversion"/>
  </si>
  <si>
    <t>N/A</t>
    <phoneticPr fontId="1" type="noConversion"/>
  </si>
  <si>
    <t>SS1 A
40mg</t>
  </si>
  <si>
    <t>822-1002</t>
    <phoneticPr fontId="1" type="noConversion"/>
  </si>
  <si>
    <t xml:space="preserve">PEComa, low grade sarcoma </t>
    <phoneticPr fontId="1" type="noConversion"/>
  </si>
  <si>
    <t>Not done</t>
    <phoneticPr fontId="1" type="noConversion"/>
  </si>
  <si>
    <t>Not Done</t>
    <phoneticPr fontId="1" type="noConversion"/>
  </si>
  <si>
    <t>Not done</t>
  </si>
  <si>
    <t>537-1004</t>
    <phoneticPr fontId="1" type="noConversion"/>
  </si>
  <si>
    <t>CRC</t>
    <phoneticPr fontId="1" type="noConversion"/>
  </si>
  <si>
    <t>540-1004</t>
    <phoneticPr fontId="1" type="noConversion"/>
  </si>
  <si>
    <t>Oregon Health and Science University Knight Cancer Institute</t>
    <phoneticPr fontId="1" type="noConversion"/>
  </si>
  <si>
    <t>Metastatic Melanoma</t>
    <phoneticPr fontId="1" type="noConversion"/>
  </si>
  <si>
    <t>540-1005</t>
    <phoneticPr fontId="1" type="noConversion"/>
  </si>
  <si>
    <t>Mucosal Melanoma</t>
    <phoneticPr fontId="1" type="noConversion"/>
  </si>
  <si>
    <t>537-1005</t>
    <phoneticPr fontId="1" type="noConversion"/>
  </si>
  <si>
    <t>Colorectal Cancer</t>
    <phoneticPr fontId="1" type="noConversion"/>
  </si>
  <si>
    <t>537-1006</t>
    <phoneticPr fontId="1" type="noConversion"/>
  </si>
  <si>
    <t>Colon adenocarcinoma</t>
    <phoneticPr fontId="1" type="noConversion"/>
  </si>
  <si>
    <t>537-1007</t>
    <phoneticPr fontId="1" type="noConversion"/>
  </si>
  <si>
    <t>Intrahepatic Cholangiocarcinoma</t>
    <phoneticPr fontId="1" type="noConversion"/>
  </si>
  <si>
    <t>Death</t>
  </si>
  <si>
    <t>822-1003</t>
    <phoneticPr fontId="1" type="noConversion"/>
  </si>
  <si>
    <t>Severance Hospital, Yonsei University Health System</t>
    <phoneticPr fontId="1" type="noConversion"/>
  </si>
  <si>
    <t>Adrenal cortical carcinoma</t>
    <phoneticPr fontId="1" type="noConversion"/>
  </si>
  <si>
    <t>537-1008</t>
    <phoneticPr fontId="1" type="noConversion"/>
  </si>
  <si>
    <t>Endometrial</t>
    <phoneticPr fontId="1" type="noConversion"/>
  </si>
  <si>
    <t>SS1 A
80mg</t>
  </si>
  <si>
    <t>822-1004</t>
    <phoneticPr fontId="1" type="noConversion"/>
  </si>
  <si>
    <t>Small cell lung cancer</t>
    <phoneticPr fontId="1" type="noConversion"/>
  </si>
  <si>
    <t>N</t>
    <phoneticPr fontId="1" type="noConversion"/>
  </si>
  <si>
    <t>541-1002</t>
    <phoneticPr fontId="1" type="noConversion"/>
  </si>
  <si>
    <t>University of Miami health system</t>
    <phoneticPr fontId="1" type="noConversion"/>
  </si>
  <si>
    <t>Translocation renal cell carcinoma</t>
    <phoneticPr fontId="1" type="noConversion"/>
  </si>
  <si>
    <t>Early Terminated</t>
  </si>
  <si>
    <t>823-1001</t>
    <phoneticPr fontId="1" type="noConversion"/>
  </si>
  <si>
    <t>Korea University Anam hospital</t>
    <phoneticPr fontId="1" type="noConversion"/>
  </si>
  <si>
    <t>Rectal cancer / Adenocarcinoma</t>
    <phoneticPr fontId="1" type="noConversion"/>
  </si>
  <si>
    <t>X</t>
    <phoneticPr fontId="1" type="noConversion"/>
  </si>
  <si>
    <t>SS1 A
80mg B</t>
  </si>
  <si>
    <t>822-1005</t>
    <phoneticPr fontId="1" type="noConversion"/>
  </si>
  <si>
    <t>Pancreatic cancer</t>
    <phoneticPr fontId="1" type="noConversion"/>
  </si>
  <si>
    <t>537-1009</t>
    <phoneticPr fontId="1" type="noConversion"/>
  </si>
  <si>
    <t>Uterine carcinosarcoma</t>
    <phoneticPr fontId="1" type="noConversion"/>
  </si>
  <si>
    <t>completed</t>
    <phoneticPr fontId="1" type="noConversion"/>
  </si>
  <si>
    <t>SS1 A
160mg</t>
  </si>
  <si>
    <t>822-1007</t>
    <phoneticPr fontId="1" type="noConversion"/>
  </si>
  <si>
    <t>Malignant GIST c liver, peritoneal Mets</t>
    <phoneticPr fontId="1" type="noConversion"/>
  </si>
  <si>
    <t>822-1009</t>
    <phoneticPr fontId="1" type="noConversion"/>
  </si>
  <si>
    <t>Sacrum, Chordoma</t>
    <phoneticPr fontId="1" type="noConversion"/>
  </si>
  <si>
    <t>541-1003</t>
    <phoneticPr fontId="1" type="noConversion"/>
  </si>
  <si>
    <t>University of Miami health system</t>
  </si>
  <si>
    <t>Metastatic breast cancer</t>
    <phoneticPr fontId="1" type="noConversion"/>
  </si>
  <si>
    <t>SF</t>
    <phoneticPr fontId="1" type="noConversion"/>
  </si>
  <si>
    <t>822-1006</t>
    <phoneticPr fontId="1" type="noConversion"/>
  </si>
  <si>
    <t>peripapillary melanoma (OD) with liver meta.</t>
    <phoneticPr fontId="1" type="noConversion"/>
  </si>
  <si>
    <t>823-1002</t>
    <phoneticPr fontId="1" type="noConversion"/>
  </si>
  <si>
    <t>Adenoid Cystic Carcinoma</t>
    <phoneticPr fontId="1" type="noConversion"/>
  </si>
  <si>
    <t>822-1008</t>
    <phoneticPr fontId="1" type="noConversion"/>
  </si>
  <si>
    <t>Malignant melanoma</t>
    <phoneticPr fontId="1" type="noConversion"/>
  </si>
  <si>
    <t>WL</t>
    <phoneticPr fontId="1" type="noConversion"/>
  </si>
  <si>
    <t>540-1006</t>
    <phoneticPr fontId="1" type="noConversion"/>
  </si>
  <si>
    <t>Metastatic Acral Melanoma</t>
    <phoneticPr fontId="1" type="noConversion"/>
  </si>
  <si>
    <t>537-1010</t>
    <phoneticPr fontId="1" type="noConversion"/>
  </si>
  <si>
    <t>SCLC</t>
    <phoneticPr fontId="1" type="noConversion"/>
  </si>
  <si>
    <t>824-1001</t>
    <phoneticPr fontId="1" type="noConversion"/>
  </si>
  <si>
    <t>Samsung
Medical
Center</t>
    <phoneticPr fontId="1" type="noConversion"/>
  </si>
  <si>
    <t>Renal
Cell 
Carcinoma</t>
    <phoneticPr fontId="1" type="noConversion"/>
  </si>
  <si>
    <t>822-1012</t>
    <phoneticPr fontId="1" type="noConversion"/>
  </si>
  <si>
    <t>Malignant neoplasm of other parts of pancreas</t>
    <phoneticPr fontId="1" type="noConversion"/>
  </si>
  <si>
    <t>541-1004</t>
    <phoneticPr fontId="1" type="noConversion"/>
  </si>
  <si>
    <t>NSCLC</t>
  </si>
  <si>
    <t>TBC</t>
    <phoneticPr fontId="1" type="noConversion"/>
  </si>
  <si>
    <t>537-1011</t>
    <phoneticPr fontId="1" type="noConversion"/>
  </si>
  <si>
    <t>Early Terminated</t>
    <phoneticPr fontId="1" type="noConversion"/>
  </si>
  <si>
    <t>822-1013</t>
    <phoneticPr fontId="1" type="noConversion"/>
  </si>
  <si>
    <t>EOT
PD</t>
  </si>
  <si>
    <t>Y</t>
  </si>
  <si>
    <t>823-1003</t>
    <phoneticPr fontId="1" type="noConversion"/>
  </si>
  <si>
    <t>Cecal cancer/adenocarcinoma</t>
    <phoneticPr fontId="1" type="noConversion"/>
  </si>
  <si>
    <t>Metastatic conjunctival melanoma</t>
    <phoneticPr fontId="1" type="noConversion"/>
  </si>
  <si>
    <t>SS1 A
240mg</t>
  </si>
  <si>
    <t>537-1012</t>
    <phoneticPr fontId="1" type="noConversion"/>
  </si>
  <si>
    <t>Montefiore Medical Center</t>
    <phoneticPr fontId="1" type="noConversion"/>
  </si>
  <si>
    <t>PDAC</t>
    <phoneticPr fontId="1" type="noConversion"/>
  </si>
  <si>
    <t>WL</t>
  </si>
  <si>
    <t>824-1002</t>
    <phoneticPr fontId="1" type="noConversion"/>
  </si>
  <si>
    <t xml:space="preserve">Renal pelvis, urothelial carcinoma </t>
    <phoneticPr fontId="1" type="noConversion"/>
  </si>
  <si>
    <t>541-1005</t>
    <phoneticPr fontId="1" type="noConversion"/>
  </si>
  <si>
    <t>Synovial sarcoma of the left lung</t>
    <phoneticPr fontId="1" type="noConversion"/>
  </si>
  <si>
    <t>SS1 A
160mg B</t>
  </si>
  <si>
    <t>822-1014</t>
    <phoneticPr fontId="1" type="noConversion"/>
  </si>
  <si>
    <t>NSCLC</t>
    <phoneticPr fontId="1" type="noConversion"/>
  </si>
  <si>
    <t>822-1015</t>
  </si>
  <si>
    <t>Severance
Hospital</t>
    <phoneticPr fontId="1" type="noConversion"/>
  </si>
  <si>
    <t>Small Cell lung cancer</t>
    <phoneticPr fontId="1" type="noConversion"/>
  </si>
  <si>
    <t>not done</t>
  </si>
  <si>
    <t>540-1008</t>
    <phoneticPr fontId="1" type="noConversion"/>
  </si>
  <si>
    <t>Oregon Health
and Science University</t>
    <phoneticPr fontId="1" type="noConversion"/>
  </si>
  <si>
    <t>.</t>
  </si>
  <si>
    <t>824-1003</t>
    <phoneticPr fontId="1" type="noConversion"/>
  </si>
  <si>
    <t xml:space="preserve">Renal Cell
Carcinoma </t>
    <phoneticPr fontId="1" type="noConversion"/>
  </si>
  <si>
    <t>822-1016</t>
    <phoneticPr fontId="1" type="noConversion"/>
  </si>
  <si>
    <t>Adenoid cystic carcinoma</t>
    <phoneticPr fontId="1" type="noConversion"/>
  </si>
  <si>
    <t>not done?</t>
    <phoneticPr fontId="1" type="noConversion"/>
  </si>
  <si>
    <t>824-1006</t>
    <phoneticPr fontId="1" type="noConversion"/>
  </si>
  <si>
    <t>Renal cell carcinoma</t>
    <phoneticPr fontId="1" type="noConversion"/>
  </si>
  <si>
    <t>541-1007</t>
    <phoneticPr fontId="1" type="noConversion"/>
  </si>
  <si>
    <t>TNBC</t>
    <phoneticPr fontId="1" type="noConversion"/>
  </si>
  <si>
    <t>not done</t>
    <phoneticPr fontId="1" type="noConversion"/>
  </si>
  <si>
    <t>SS1 A
100mg</t>
  </si>
  <si>
    <t>540-1009</t>
    <phoneticPr fontId="1" type="noConversion"/>
  </si>
  <si>
    <t>Acral melanoma of foot</t>
    <phoneticPr fontId="1" type="noConversion"/>
  </si>
  <si>
    <t>822-1017</t>
    <phoneticPr fontId="1" type="noConversion"/>
  </si>
  <si>
    <t>Renal cell cancer</t>
    <phoneticPr fontId="1" type="noConversion"/>
  </si>
  <si>
    <t>822-1018</t>
    <phoneticPr fontId="1" type="noConversion"/>
  </si>
  <si>
    <t>Enrolled</t>
  </si>
  <si>
    <t>537-1016</t>
    <phoneticPr fontId="1" type="noConversion"/>
  </si>
  <si>
    <t>Carcinoma - Adenocarcinoma</t>
    <phoneticPr fontId="1" type="noConversion"/>
  </si>
  <si>
    <t>822-1019</t>
    <phoneticPr fontId="1" type="noConversion"/>
  </si>
  <si>
    <t>822-1020</t>
    <phoneticPr fontId="1" type="noConversion"/>
  </si>
  <si>
    <t>buttock</t>
    <phoneticPr fontId="1" type="noConversion"/>
  </si>
  <si>
    <t>824-1008</t>
    <phoneticPr fontId="1" type="noConversion"/>
  </si>
  <si>
    <t>renal cell carcinoma</t>
    <phoneticPr fontId="1" type="noConversion"/>
  </si>
  <si>
    <t>SS1 C 
120mg</t>
  </si>
  <si>
    <t>824-1009</t>
  </si>
  <si>
    <t>824-1010</t>
  </si>
  <si>
    <t>chromophobe</t>
  </si>
  <si>
    <t>537-1015</t>
  </si>
  <si>
    <t>Carcinoma - Adenocarcinoma</t>
  </si>
  <si>
    <t>537-1016</t>
  </si>
  <si>
    <t>SS3 C
40mg</t>
  </si>
  <si>
    <t>821-3001</t>
  </si>
  <si>
    <t>Seoul National University Hospital</t>
  </si>
  <si>
    <t>combined hepatocellular-cholangiocarcinoma</t>
  </si>
  <si>
    <t>SS3 C
80mg</t>
  </si>
  <si>
    <t>537-3001</t>
  </si>
  <si>
    <t>537-3002</t>
  </si>
  <si>
    <t>541-3001</t>
  </si>
  <si>
    <t>Enrolled</t>
    <phoneticPr fontId="1" type="noConversion"/>
  </si>
  <si>
    <t>SS1 C
120mg</t>
  </si>
  <si>
    <t>822-1021</t>
  </si>
  <si>
    <t>Urothelial carcinoma</t>
  </si>
  <si>
    <t>ongoing</t>
    <phoneticPr fontId="1" type="noConversion"/>
  </si>
  <si>
    <t>SS3 A
40mg</t>
  </si>
  <si>
    <t>822-3001</t>
  </si>
  <si>
    <t>822-3002</t>
  </si>
  <si>
    <t>adenoid cystic carcinoma</t>
  </si>
  <si>
    <t>537-3003</t>
  </si>
  <si>
    <t>Sarcoma</t>
  </si>
  <si>
    <t>540-3001</t>
  </si>
  <si>
    <t>823-3001</t>
  </si>
  <si>
    <t>SS1 A 120mg</t>
  </si>
  <si>
    <t>825-1001</t>
  </si>
  <si>
    <t>Asan Medical Center</t>
  </si>
  <si>
    <t xml:space="preserve"> Carcinoma - Adenocarcinoma</t>
  </si>
  <si>
    <t>825-1002</t>
  </si>
  <si>
    <t>Salivary duct carcinoma</t>
  </si>
  <si>
    <t>825-3001</t>
  </si>
  <si>
    <t>SS1 C
240mg</t>
  </si>
  <si>
    <t>540-1011</t>
  </si>
  <si>
    <t>Melanoma</t>
  </si>
  <si>
    <t>SS1 C 240mg</t>
  </si>
  <si>
    <t>822-1022</t>
  </si>
  <si>
    <t>Carcinoma - Squamous cell carcinoma</t>
  </si>
  <si>
    <t>SS1 A
120mg</t>
  </si>
  <si>
    <t>823-1004</t>
  </si>
  <si>
    <t>824-1004</t>
  </si>
  <si>
    <t>Carcinoma - Transitional cell carcinoma</t>
  </si>
  <si>
    <t>537-1017</t>
  </si>
  <si>
    <t>822-1023</t>
  </si>
  <si>
    <t>Sarcoma - Soft tissue sarcoma</t>
  </si>
  <si>
    <t>SS1 C
280mg</t>
  </si>
  <si>
    <t>537-1018</t>
  </si>
  <si>
    <t>822-1024</t>
  </si>
  <si>
    <t>SS3 C
160mg</t>
    <phoneticPr fontId="1" type="noConversion"/>
  </si>
  <si>
    <t>537-3004</t>
  </si>
  <si>
    <t>melanoma</t>
  </si>
  <si>
    <t>821-3002</t>
  </si>
  <si>
    <t>invasive ductal carcinoma</t>
  </si>
  <si>
    <t>SS1 C
280mg</t>
    <phoneticPr fontId="1" type="noConversion"/>
  </si>
  <si>
    <t>541-1008</t>
  </si>
  <si>
    <t>821-1001</t>
  </si>
  <si>
    <t>NUT midline carcinoma</t>
  </si>
  <si>
    <t>821-3003</t>
  </si>
  <si>
    <t>SS4 A
80mg</t>
    <phoneticPr fontId="1" type="noConversion"/>
  </si>
  <si>
    <t>826-4001</t>
    <phoneticPr fontId="1" type="noConversion"/>
  </si>
  <si>
    <t>Seoul St. Mary's Hospital</t>
    <phoneticPr fontId="1" type="noConversion"/>
  </si>
  <si>
    <t>AML</t>
    <phoneticPr fontId="1" type="noConversion"/>
  </si>
  <si>
    <t>SS3 C
320mg</t>
  </si>
  <si>
    <t>541-3002</t>
    <phoneticPr fontId="1" type="noConversion"/>
  </si>
  <si>
    <t>Carcinoma - Squamous cell carcinoma</t>
    <phoneticPr fontId="1" type="noConversion"/>
  </si>
  <si>
    <t>SS3 C
200mg</t>
    <phoneticPr fontId="1" type="noConversion"/>
  </si>
  <si>
    <t>822-3003</t>
    <phoneticPr fontId="1" type="noConversion"/>
  </si>
  <si>
    <t>Poorly differentiated carcinoma</t>
    <phoneticPr fontId="1" type="noConversion"/>
  </si>
  <si>
    <t>SS1 C
240mg</t>
    <phoneticPr fontId="1" type="noConversion"/>
  </si>
  <si>
    <t>822-1025</t>
    <phoneticPr fontId="1" type="noConversion"/>
  </si>
  <si>
    <t>nasopharynx salivary gland</t>
    <phoneticPr fontId="1" type="noConversion"/>
  </si>
  <si>
    <t>537-1019</t>
    <phoneticPr fontId="1" type="noConversion"/>
  </si>
  <si>
    <t>mediastinal mass</t>
    <phoneticPr fontId="1" type="noConversion"/>
  </si>
  <si>
    <t>537-1021</t>
    <phoneticPr fontId="1" type="noConversion"/>
  </si>
  <si>
    <t>CERVIX UTERI</t>
    <phoneticPr fontId="1" type="noConversion"/>
  </si>
  <si>
    <t>822-1026</t>
  </si>
  <si>
    <t>BLADDER</t>
  </si>
  <si>
    <t>550-4001</t>
    <phoneticPr fontId="1" type="noConversion"/>
  </si>
  <si>
    <t>M.D Anderson Cancer Center</t>
    <phoneticPr fontId="1" type="noConversion"/>
  </si>
  <si>
    <t>550-4002</t>
    <phoneticPr fontId="1" type="noConversion"/>
  </si>
  <si>
    <t>550-4003</t>
    <phoneticPr fontId="1" type="noConversion"/>
  </si>
  <si>
    <t>550-4004</t>
    <phoneticPr fontId="1" type="noConversion"/>
  </si>
  <si>
    <t>823-3002</t>
    <phoneticPr fontId="1" type="noConversion"/>
  </si>
  <si>
    <t>826-4002</t>
    <phoneticPr fontId="1" type="noConversion"/>
  </si>
  <si>
    <t>826-4003</t>
    <phoneticPr fontId="1" type="noConversion"/>
  </si>
  <si>
    <t>SS4 A
160mg</t>
    <phoneticPr fontId="1" type="noConversion"/>
  </si>
  <si>
    <t>826-4004</t>
    <phoneticPr fontId="1" type="noConversion"/>
  </si>
  <si>
    <t>SS3 C</t>
    <phoneticPr fontId="1" type="noConversion"/>
  </si>
  <si>
    <t>822-3004</t>
    <phoneticPr fontId="1" type="noConversion"/>
  </si>
  <si>
    <t xml:space="preserve">SS3 C
240mg </t>
    <phoneticPr fontId="1" type="noConversion"/>
  </si>
  <si>
    <t>537-3005</t>
    <phoneticPr fontId="1" type="noConversion"/>
  </si>
  <si>
    <t>SS3 C
320mg</t>
    <phoneticPr fontId="1" type="noConversion"/>
  </si>
  <si>
    <t>821-3004</t>
    <phoneticPr fontId="1" type="noConversion"/>
  </si>
  <si>
    <t>SS3 C
80mg</t>
    <phoneticPr fontId="1" type="noConversion"/>
  </si>
  <si>
    <t>822-3008</t>
    <phoneticPr fontId="1" type="noConversion"/>
  </si>
  <si>
    <t>SS3 C
240mg</t>
    <phoneticPr fontId="1" type="noConversion"/>
  </si>
  <si>
    <t>541-3003</t>
    <phoneticPr fontId="1" type="noConversion"/>
  </si>
  <si>
    <t>SS3 A
240mg</t>
    <phoneticPr fontId="1" type="noConversion"/>
  </si>
  <si>
    <t>552-4001</t>
    <phoneticPr fontId="1" type="noConversion"/>
  </si>
  <si>
    <t>Weill Cornell Medicine-NewYork-Presbyterian Hospital</t>
    <phoneticPr fontId="1" type="noConversion"/>
  </si>
  <si>
    <t>2026-02-27 / 2026-02-28</t>
    <phoneticPr fontId="1" type="noConversion"/>
  </si>
  <si>
    <t>822-3009</t>
    <phoneticPr fontId="1" type="noConversion"/>
  </si>
  <si>
    <t>BLADDER</t>
    <phoneticPr fontId="1" type="noConversion"/>
  </si>
  <si>
    <t xml:space="preserve">SS1 </t>
    <phoneticPr fontId="1" type="noConversion"/>
  </si>
  <si>
    <t>537-1022</t>
    <phoneticPr fontId="1" type="noConversion"/>
  </si>
  <si>
    <t>537-1023</t>
    <phoneticPr fontId="1" type="noConversion"/>
  </si>
  <si>
    <t>SS2 2.1</t>
    <phoneticPr fontId="1" type="noConversion"/>
  </si>
  <si>
    <t>537-2001</t>
    <phoneticPr fontId="1" type="noConversion"/>
  </si>
  <si>
    <t>OVARY</t>
    <phoneticPr fontId="1" type="noConversion"/>
  </si>
  <si>
    <t xml:space="preserve">SS3 </t>
    <phoneticPr fontId="1" type="noConversion"/>
  </si>
  <si>
    <t>537-3006</t>
    <phoneticPr fontId="1" type="noConversion"/>
  </si>
  <si>
    <t>SS4 A
250mg</t>
    <phoneticPr fontId="1" type="noConversion"/>
  </si>
  <si>
    <t>550-4005</t>
    <phoneticPr fontId="1" type="noConversion"/>
  </si>
  <si>
    <t>822-2001</t>
    <phoneticPr fontId="1" type="noConversion"/>
  </si>
  <si>
    <t>822-3010</t>
    <phoneticPr fontId="1" type="noConversion"/>
  </si>
  <si>
    <t>Invasive urothelial carcinoma, high grade</t>
    <phoneticPr fontId="1" type="noConversion"/>
  </si>
  <si>
    <t>SS2</t>
    <phoneticPr fontId="1" type="noConversion"/>
  </si>
  <si>
    <t>824-2001</t>
    <phoneticPr fontId="1" type="noConversion"/>
  </si>
  <si>
    <t>824-2002</t>
    <phoneticPr fontId="1" type="noConversion"/>
  </si>
  <si>
    <t>SS4</t>
    <phoneticPr fontId="1" type="noConversion"/>
  </si>
  <si>
    <t>826-4005</t>
    <phoneticPr fontId="1" type="noConversion"/>
  </si>
  <si>
    <t>SS4 A
240mg</t>
    <phoneticPr fontId="1" type="noConversion"/>
  </si>
  <si>
    <t>826-4006</t>
    <phoneticPr fontId="1" type="noConversion"/>
  </si>
  <si>
    <t>SS4
240mg</t>
    <phoneticPr fontId="1" type="noConversion"/>
  </si>
  <si>
    <t>937-4001</t>
    <phoneticPr fontId="1" type="noConversion"/>
  </si>
  <si>
    <t>Montefiore Medical Center-Moses Division</t>
    <phoneticPr fontId="1" type="noConversion"/>
  </si>
  <si>
    <t>SS2 2.2</t>
    <phoneticPr fontId="1" type="noConversion"/>
  </si>
  <si>
    <t>537-2002</t>
    <phoneticPr fontId="1" type="noConversion"/>
  </si>
  <si>
    <t>UTERUS</t>
    <phoneticPr fontId="1" type="noConversion"/>
  </si>
  <si>
    <t>SS3</t>
    <phoneticPr fontId="1" type="noConversion"/>
  </si>
  <si>
    <t>545-3001</t>
    <phoneticPr fontId="1" type="noConversion"/>
  </si>
  <si>
    <t>Winship Cancer Institute, Emory University</t>
    <phoneticPr fontId="1" type="noConversion"/>
  </si>
  <si>
    <t>545-3002</t>
    <phoneticPr fontId="1" type="noConversion"/>
  </si>
  <si>
    <t>SS4 A
280mg</t>
    <phoneticPr fontId="1" type="noConversion"/>
  </si>
  <si>
    <t>550-4006</t>
    <phoneticPr fontId="1" type="noConversion"/>
  </si>
  <si>
    <t>550-4007</t>
    <phoneticPr fontId="1" type="noConversion"/>
  </si>
  <si>
    <t>2026-06-05 / 
2026-06-06</t>
    <phoneticPr fontId="1" type="noConversion"/>
  </si>
  <si>
    <t>SS4 280mg</t>
    <phoneticPr fontId="1" type="noConversion"/>
  </si>
  <si>
    <t>552-4002</t>
    <phoneticPr fontId="1" type="noConversion"/>
  </si>
  <si>
    <t>552-4003</t>
    <phoneticPr fontId="1" type="noConversion"/>
  </si>
  <si>
    <t>2026-05-31 /
2026-06-01</t>
  </si>
  <si>
    <t>822-2002</t>
    <phoneticPr fontId="1" type="noConversion"/>
  </si>
  <si>
    <t>SS2 2.2</t>
  </si>
  <si>
    <t>822-2003</t>
    <phoneticPr fontId="1" type="noConversion"/>
  </si>
  <si>
    <t>937-4002</t>
    <phoneticPr fontId="1" type="noConversion"/>
  </si>
  <si>
    <t>550-4008</t>
  </si>
  <si>
    <t>2026-07-10 / 2026-07-11</t>
  </si>
  <si>
    <t>project</t>
  </si>
  <si>
    <t>studyid</t>
  </si>
  <si>
    <t>Subject</t>
  </si>
  <si>
    <t>SiteNumber</t>
  </si>
  <si>
    <t>SiteGroup</t>
  </si>
  <si>
    <t>InstanceName</t>
  </si>
  <si>
    <t>InstanceRepeatNumber</t>
  </si>
  <si>
    <t>FolderName</t>
  </si>
  <si>
    <t>DataPageName</t>
  </si>
  <si>
    <t>RecordPosition</t>
  </si>
  <si>
    <t>SaveTS</t>
  </si>
  <si>
    <t>StudyEnvSiteNumber</t>
  </si>
  <si>
    <t>SVYN</t>
  </si>
  <si>
    <t>SVYN_STD</t>
  </si>
  <si>
    <t>SVDAT</t>
  </si>
  <si>
    <t>SVNDRESN</t>
  </si>
  <si>
    <t>CTMSENDT</t>
  </si>
  <si>
    <t>TTK-CS-101</t>
  </si>
  <si>
    <t>537-1001</t>
  </si>
  <si>
    <t>World</t>
  </si>
  <si>
    <t xml:space="preserve">Screening </t>
  </si>
  <si>
    <t>Screening</t>
  </si>
  <si>
    <t>Date Of Visit</t>
  </si>
  <si>
    <t>10/21/2023 1:01:21 AM</t>
  </si>
  <si>
    <t>Yes</t>
  </si>
  <si>
    <t>537-1002</t>
  </si>
  <si>
    <t>6/9/2023 2:38:33 PM</t>
  </si>
  <si>
    <t xml:space="preserve">Cycle 01 Day 01 </t>
  </si>
  <si>
    <t>Cycle 01 Day 01</t>
  </si>
  <si>
    <t xml:space="preserve">Cycle 01 Day 08 </t>
  </si>
  <si>
    <t>Cycle 01 Day 08</t>
  </si>
  <si>
    <t xml:space="preserve">Cycle 01 Day 15 </t>
  </si>
  <si>
    <t>Cycle 01 Day 15</t>
  </si>
  <si>
    <t>6/27/2023 1:01:57 AM</t>
  </si>
  <si>
    <t xml:space="preserve">Cycle 01 Day 22 </t>
  </si>
  <si>
    <t>Cycle 01 Day 22</t>
  </si>
  <si>
    <t>6/28/2023 1:02:13 AM</t>
  </si>
  <si>
    <t>Not Applicable</t>
  </si>
  <si>
    <t xml:space="preserve">Cycle 02 Day 01 </t>
  </si>
  <si>
    <t>Cycle 02 Day 01</t>
  </si>
  <si>
    <t xml:space="preserve">Cycle 02 Day 08 </t>
  </si>
  <si>
    <t>Cycle 02 Day 08</t>
  </si>
  <si>
    <t xml:space="preserve">Cycle 02 Day 15 </t>
  </si>
  <si>
    <t>Cycle 02 Day 15</t>
  </si>
  <si>
    <t>7/26/2023 1:02:36 AM</t>
  </si>
  <si>
    <t xml:space="preserve">Cycle 02 Day 22 </t>
  </si>
  <si>
    <t>Cycle 02 Day 22</t>
  </si>
  <si>
    <t xml:space="preserve">Cycle 03 Day 01 </t>
  </si>
  <si>
    <t>Cycle 03 Day 01</t>
  </si>
  <si>
    <t xml:space="preserve">Cycle 03 Day 08 </t>
  </si>
  <si>
    <t>Cycle 03 Day 08</t>
  </si>
  <si>
    <t xml:space="preserve">Cycle 03 Day 15 </t>
  </si>
  <si>
    <t>Cycle 03 Day 15</t>
  </si>
  <si>
    <t xml:space="preserve">Cycle 03 Day 22 </t>
  </si>
  <si>
    <t>Cycle 03 Day 22</t>
  </si>
  <si>
    <t xml:space="preserve">Cycle 04 Day 01 </t>
  </si>
  <si>
    <t>Cycle 04 Day 01</t>
  </si>
  <si>
    <t xml:space="preserve">Cycle 04 Day 08 </t>
  </si>
  <si>
    <t>Cycle 04 Day 08</t>
  </si>
  <si>
    <t>7/27/2023 1:01:44 AM</t>
  </si>
  <si>
    <t xml:space="preserve">Cycle 04 Day 15 </t>
  </si>
  <si>
    <t>Cycle 04 Day 15</t>
  </si>
  <si>
    <t>7/27/2023 12:53:06 PM</t>
  </si>
  <si>
    <t xml:space="preserve">Cycle 04 Day 22 </t>
  </si>
  <si>
    <t>Cycle 04 Day 22</t>
  </si>
  <si>
    <t>7/31/2023 12:59:59 PM</t>
  </si>
  <si>
    <t>Day 01 Cycle 05</t>
  </si>
  <si>
    <t>Day 01</t>
  </si>
  <si>
    <t>8/3/2023 4:19:59 PM</t>
  </si>
  <si>
    <t>Day 01 Cycle 06</t>
  </si>
  <si>
    <t>10/26/2023 1:01:32 AM</t>
  </si>
  <si>
    <t>Day 01 Cycle 07</t>
  </si>
  <si>
    <t>9/14/2023 12:55:39 PM</t>
  </si>
  <si>
    <t>Day 01 Cycle 08</t>
  </si>
  <si>
    <t>Day 08 Cycle 08</t>
  </si>
  <si>
    <t>Day 08</t>
  </si>
  <si>
    <t>Day 08 Cycle 07</t>
  </si>
  <si>
    <t>9/21/2023 1:33:18 PM</t>
  </si>
  <si>
    <t>Day 08 Cycle 06</t>
  </si>
  <si>
    <t>8/31/2023 12:33:54 PM</t>
  </si>
  <si>
    <t>Day 08 Cycle 05</t>
  </si>
  <si>
    <t>8/10/2023 1:34:27 PM</t>
  </si>
  <si>
    <t>Day 15 Cycle 05</t>
  </si>
  <si>
    <t>Day 15</t>
  </si>
  <si>
    <t>8/24/2023 12:13:12 PM</t>
  </si>
  <si>
    <t>Day 15 Cycle 07</t>
  </si>
  <si>
    <t>Day 15 Cycle 06</t>
  </si>
  <si>
    <t>9/13/2023 1:23:09 PM</t>
  </si>
  <si>
    <t>Day 15 Cycle 08</t>
  </si>
  <si>
    <t>Day 22 Cycle 06</t>
  </si>
  <si>
    <t>Day 22</t>
  </si>
  <si>
    <t>9/13/2023 1:49:33 PM</t>
  </si>
  <si>
    <t>Day 22 Cycle 07</t>
  </si>
  <si>
    <t>10/2/2023 4:28:41 PM</t>
  </si>
  <si>
    <t>Day 22 Cycle 05</t>
  </si>
  <si>
    <t>8/24/2023 12:13:28 PM</t>
  </si>
  <si>
    <t>537-1003</t>
  </si>
  <si>
    <t>8/3/2023 3:01:06 AM</t>
  </si>
  <si>
    <t>7/27/2023 1:18:29 PM</t>
  </si>
  <si>
    <t>8/3/2023 4:24:40 PM</t>
  </si>
  <si>
    <t>8/17/2023 1:00:55 PM</t>
  </si>
  <si>
    <t>No</t>
  </si>
  <si>
    <t>PD</t>
  </si>
  <si>
    <t xml:space="preserve">End of Treatment </t>
  </si>
  <si>
    <t>End of Treatment</t>
  </si>
  <si>
    <t xml:space="preserve">Safety Follow up </t>
  </si>
  <si>
    <t>Safety Follow up</t>
  </si>
  <si>
    <t>Hospice</t>
  </si>
  <si>
    <t>537-1004</t>
  </si>
  <si>
    <t>9/18/2023 2:25:50 PM</t>
  </si>
  <si>
    <t>537-1005</t>
  </si>
  <si>
    <t>9/21/2023 5:19:57 PM</t>
  </si>
  <si>
    <t>537-1006</t>
  </si>
  <si>
    <t>9/25/2023 2:47:54 PM</t>
  </si>
  <si>
    <t>537-1007</t>
  </si>
  <si>
    <t>10/12/2023 1:12:39 PM</t>
  </si>
  <si>
    <t>540-1001</t>
  </si>
  <si>
    <t>7/11/2023 1:02:26 AM</t>
  </si>
  <si>
    <t>7/12/2023 1:02:21 AM</t>
  </si>
  <si>
    <t>7/20/2023 12:59:05 PM</t>
  </si>
  <si>
    <t>Day 01 Cycle 09</t>
  </si>
  <si>
    <t>8/10/2023 9:28:47 PM</t>
  </si>
  <si>
    <t>7/27/2023 2:21:46 PM</t>
  </si>
  <si>
    <t>Day 08 Cycle 09</t>
  </si>
  <si>
    <t>8/17/2023 7:38:24 PM</t>
  </si>
  <si>
    <t>8/3/2023 9:14:36 PM</t>
  </si>
  <si>
    <t>7/13/2023 7:27:50 PM</t>
  </si>
  <si>
    <t>Day 15 Cycle 09</t>
  </si>
  <si>
    <t>8/24/2023 6:55:34 PM</t>
  </si>
  <si>
    <t>Day 22 Cycle 09</t>
  </si>
  <si>
    <t>8/31/2023 9:16:44 PM</t>
  </si>
  <si>
    <t>7/20/2023 12:58:33 PM</t>
  </si>
  <si>
    <t>Day 22 Cycle 08</t>
  </si>
  <si>
    <t>8/9/2023 10:21:45 PM</t>
  </si>
  <si>
    <t>10/7/2023 1:01:17 AM</t>
  </si>
  <si>
    <t>9/14/2023 4:13:20 PM</t>
  </si>
  <si>
    <t>540-1002</t>
  </si>
  <si>
    <t>Progressive disease</t>
  </si>
  <si>
    <t>7/22/2023 1:01:43 AM</t>
  </si>
  <si>
    <t>540-1003</t>
  </si>
  <si>
    <t>7/19/2023 5:14:35 PM</t>
  </si>
  <si>
    <t>7/20/2023 1:02:47 PM</t>
  </si>
  <si>
    <t>7/27/2023 2:20:45 PM</t>
  </si>
  <si>
    <t>8/3/2023 8:43:40 PM</t>
  </si>
  <si>
    <t>8/9/2023 10:25:04 PM</t>
  </si>
  <si>
    <t>8/10/2023 2:37:05 PM</t>
  </si>
  <si>
    <t>8/17/2023 7:12:56 PM</t>
  </si>
  <si>
    <t>9/2/2023 1:01:24 AM</t>
  </si>
  <si>
    <t>8/30/2023 4:20:57 PM</t>
  </si>
  <si>
    <t>8/31/2023 9:33:11 PM</t>
  </si>
  <si>
    <t>9/7/2023 4:01:33 PM</t>
  </si>
  <si>
    <t>9/15/2023 5:19:42 PM</t>
  </si>
  <si>
    <t>9/20/2023 6:10:07 PM</t>
  </si>
  <si>
    <t>9/21/2023 5:43:15 PM</t>
  </si>
  <si>
    <t>9/28/2023 2:47:42 PM</t>
  </si>
  <si>
    <t>10/6/2023 4:10:20 PM</t>
  </si>
  <si>
    <t>10/23/2023 7:33:02 PM</t>
  </si>
  <si>
    <t>10/9/2023 3:13:56 PM</t>
  </si>
  <si>
    <t>10/16/2023 3:50:00 PM</t>
  </si>
  <si>
    <t>10/25/2023 3:43:01 PM</t>
  </si>
  <si>
    <t>540-1004</t>
  </si>
  <si>
    <t>9/11/2023 3:30:42 PM</t>
  </si>
  <si>
    <t>540-1005</t>
  </si>
  <si>
    <t>9/15/2023 5:28:50 PM</t>
  </si>
  <si>
    <t>822-1001</t>
  </si>
  <si>
    <t>7/27/2023 5:01:09 AM</t>
  </si>
  <si>
    <t>7/5/2023 11:46:23 PM</t>
  </si>
  <si>
    <t>7/13/2023 12:12:39 AM</t>
  </si>
  <si>
    <t>7/21/2023 7:02:33 AM</t>
  </si>
  <si>
    <t>7/27/2023 1:22:04 AM</t>
  </si>
  <si>
    <t>7/27/2023 12:03:14 AM</t>
  </si>
  <si>
    <t>8/17/2023 7:10:34 AM</t>
  </si>
  <si>
    <t>7/28/2023 2:08:30 AM</t>
  </si>
  <si>
    <t>822-1002</t>
  </si>
  <si>
    <t>9/5/2023 5:06:17 AM</t>
  </si>
  <si>
    <t>9/7/2023 12:03:13 AM</t>
  </si>
  <si>
    <t>9/14/2023 12:04:25 AM</t>
  </si>
  <si>
    <t>9/21/2023 7:03:15 AM</t>
  </si>
  <si>
    <t>9/27/2023 4:46:58 AM</t>
  </si>
  <si>
    <t>9/27/2023 12:03:49 AM</t>
  </si>
  <si>
    <t>10/4/2023 12:06:42 AM</t>
  </si>
  <si>
    <t>10/12/2023 5:02:59 AM</t>
  </si>
  <si>
    <t>10/26/2023 1:28:29 AM</t>
  </si>
  <si>
    <t>10/19/2023 12:10:50 AM</t>
  </si>
  <si>
    <t>10/25/2023 11:51:25 PM</t>
  </si>
  <si>
    <t>color</t>
    <phoneticPr fontId="1" type="noConversion"/>
  </si>
  <si>
    <t>description</t>
    <phoneticPr fontId="1" type="noConversion"/>
  </si>
  <si>
    <t>EDC report</t>
  </si>
  <si>
    <t>light grey</t>
    <phoneticPr fontId="1" type="noConversion"/>
  </si>
  <si>
    <t>Follow-up (FU) after End of Treatment (EOT)</t>
    <phoneticPr fontId="1" type="noConversion"/>
  </si>
  <si>
    <t>TTK-CS-101_177_DLT assessment</t>
  </si>
  <si>
    <t>dark grey</t>
    <phoneticPr fontId="1" type="noConversion"/>
  </si>
  <si>
    <t>Follow-up stopped / No further follow-up needed</t>
    <phoneticPr fontId="1" type="noConversion"/>
  </si>
  <si>
    <t>TTK-CS-101_237_Treatment assignment</t>
  </si>
  <si>
    <t>blue</t>
    <phoneticPr fontId="1" type="noConversion"/>
  </si>
  <si>
    <t>last dose date</t>
    <phoneticPr fontId="1" type="noConversion"/>
  </si>
  <si>
    <t>TTK-CS-101_193_Subject Eilgibility</t>
  </si>
  <si>
    <t>yellow</t>
    <phoneticPr fontId="1" type="noConversion"/>
  </si>
  <si>
    <t xml:space="preserve">Issue: need to be confirmed </t>
    <phoneticPr fontId="1" type="noConversion"/>
  </si>
  <si>
    <t>note</t>
    <phoneticPr fontId="1" type="noConversion"/>
  </si>
  <si>
    <t>comment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</si>
</sst>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2"/>
      <name val="新細明體"/>
      <family val="1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 tint="0.499984740745262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sz val="10"/>
      <color theme="1" tint="0.34998626667073579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indexed="81"/>
      <name val="Tahoma"/>
      <family val="2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indexed="81"/>
      <name val="Tahoma"/>
      <family val="2"/>
    </font>
    <font>
      <sz val="10"/>
      <color theme="0" tint="-0.34998626667073579"/>
      <name val="맑은 고딕"/>
      <family val="3"/>
      <charset val="129"/>
      <scheme val="minor"/>
    </font>
    <font>
      <b/>
      <sz val="11"/>
      <color indexed="81"/>
      <name val="Tahoma"/>
      <family val="2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2"/>
      <scheme val="minor"/>
    </font>
    <font>
      <sz val="10"/>
      <color theme="6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b/>
      <sz val="10"/>
      <color rgb="FFFF0000"/>
      <name val="맑은 고딕"/>
      <family val="2"/>
      <scheme val="minor"/>
    </font>
    <font>
      <strike/>
      <sz val="10"/>
      <name val="맑은 고딕"/>
      <family val="3"/>
      <charset val="129"/>
      <scheme val="minor"/>
    </font>
    <font>
      <sz val="11"/>
      <color rgb="FF1F1F1F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theme="1"/>
      </patternFill>
    </fill>
    <fill>
      <patternFill patternType="solid">
        <fgColor theme="5" tint="0.79998168889431442"/>
        <bgColor theme="1"/>
      </patternFill>
    </fill>
    <fill>
      <patternFill patternType="solid">
        <fgColor theme="8" tint="0.79998168889431442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theme="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theme="1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/>
      <top/>
      <bottom/>
      <diagonal/>
    </border>
    <border>
      <left style="thin">
        <color indexed="64"/>
      </left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indexed="64"/>
      </top>
      <bottom style="dotted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9.9948118533890809E-2"/>
      </bottom>
      <diagonal/>
    </border>
    <border>
      <left style="thin">
        <color indexed="64"/>
      </left>
      <right/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theme="2" tint="-9.9948118533890809E-2"/>
      </right>
      <top style="dotted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theme="2" tint="-9.9948118533890809E-2"/>
      </right>
      <top style="thin">
        <color indexed="64"/>
      </top>
      <bottom/>
      <diagonal/>
    </border>
    <border>
      <left style="thin">
        <color indexed="64"/>
      </left>
      <right style="thin">
        <color theme="2" tint="-9.9948118533890809E-2"/>
      </right>
      <top style="thin">
        <color theme="2"/>
      </top>
      <bottom/>
      <diagonal/>
    </border>
    <border>
      <left/>
      <right style="dotted">
        <color theme="2" tint="-9.9948118533890809E-2"/>
      </right>
      <top style="dotted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90">
    <xf numFmtId="0" fontId="0" fillId="0" borderId="0" xfId="0">
      <alignment vertical="center"/>
    </xf>
    <xf numFmtId="14" fontId="4" fillId="0" borderId="0" xfId="1" applyNumberFormat="1" applyFont="1" applyAlignment="1">
      <alignment horizontal="center" vertical="center"/>
    </xf>
    <xf numFmtId="14" fontId="4" fillId="4" borderId="0" xfId="1" applyNumberFormat="1" applyFont="1" applyFill="1" applyAlignment="1">
      <alignment horizontal="center" vertical="center"/>
    </xf>
    <xf numFmtId="14" fontId="4" fillId="0" borderId="0" xfId="1" applyNumberFormat="1" applyFont="1" applyAlignment="1">
      <alignment horizontal="center" vertical="center" wrapText="1"/>
    </xf>
    <xf numFmtId="14" fontId="6" fillId="0" borderId="0" xfId="1" applyNumberFormat="1" applyFont="1" applyAlignment="1">
      <alignment horizontal="center" vertical="center"/>
    </xf>
    <xf numFmtId="0" fontId="6" fillId="0" borderId="0" xfId="0" applyFont="1">
      <alignment vertical="center"/>
    </xf>
    <xf numFmtId="14" fontId="6" fillId="2" borderId="0" xfId="0" applyNumberFormat="1" applyFont="1" applyFill="1" applyAlignment="1">
      <alignment horizontal="center" vertical="center"/>
    </xf>
    <xf numFmtId="164" fontId="6" fillId="5" borderId="2" xfId="1" applyNumberFormat="1" applyFont="1" applyFill="1" applyBorder="1" applyAlignment="1">
      <alignment horizontal="center" vertical="center" wrapText="1"/>
    </xf>
    <xf numFmtId="14" fontId="6" fillId="5" borderId="2" xfId="1" applyNumberFormat="1" applyFont="1" applyFill="1" applyBorder="1" applyAlignment="1">
      <alignment horizontal="center" vertical="center" wrapText="1"/>
    </xf>
    <xf numFmtId="14" fontId="6" fillId="6" borderId="2" xfId="1" applyNumberFormat="1" applyFont="1" applyFill="1" applyBorder="1" applyAlignment="1">
      <alignment horizontal="center" vertical="center" wrapText="1"/>
    </xf>
    <xf numFmtId="14" fontId="6" fillId="7" borderId="2" xfId="1" applyNumberFormat="1" applyFont="1" applyFill="1" applyBorder="1" applyAlignment="1">
      <alignment horizontal="center" vertical="center"/>
    </xf>
    <xf numFmtId="14" fontId="6" fillId="7" borderId="2" xfId="1" applyNumberFormat="1" applyFont="1" applyFill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14" fontId="6" fillId="0" borderId="4" xfId="1" applyNumberFormat="1" applyFont="1" applyBorder="1" applyAlignment="1">
      <alignment horizontal="center" vertical="center" wrapText="1"/>
    </xf>
    <xf numFmtId="14" fontId="11" fillId="0" borderId="6" xfId="1" applyNumberFormat="1" applyFont="1" applyBorder="1" applyAlignment="1">
      <alignment horizontal="center" vertical="center" wrapText="1"/>
    </xf>
    <xf numFmtId="14" fontId="11" fillId="0" borderId="8" xfId="1" applyNumberFormat="1" applyFont="1" applyBorder="1" applyAlignment="1">
      <alignment horizontal="center" vertical="center" wrapText="1"/>
    </xf>
    <xf numFmtId="14" fontId="10" fillId="0" borderId="4" xfId="1" applyNumberFormat="1" applyFont="1" applyBorder="1" applyAlignment="1">
      <alignment horizontal="center" vertical="center" wrapText="1"/>
    </xf>
    <xf numFmtId="14" fontId="10" fillId="0" borderId="4" xfId="1" applyNumberFormat="1" applyFont="1" applyBorder="1" applyAlignment="1">
      <alignment horizontal="center" vertical="center"/>
    </xf>
    <xf numFmtId="14" fontId="14" fillId="0" borderId="9" xfId="1" applyNumberFormat="1" applyFont="1" applyBorder="1" applyAlignment="1">
      <alignment horizontal="center" vertical="center"/>
    </xf>
    <xf numFmtId="14" fontId="10" fillId="0" borderId="3" xfId="1" applyNumberFormat="1" applyFont="1" applyBorder="1" applyAlignment="1">
      <alignment horizontal="center" vertical="center"/>
    </xf>
    <xf numFmtId="14" fontId="11" fillId="0" borderId="12" xfId="1" applyNumberFormat="1" applyFont="1" applyBorder="1" applyAlignment="1">
      <alignment horizontal="center" vertical="center" wrapText="1"/>
    </xf>
    <xf numFmtId="14" fontId="4" fillId="0" borderId="6" xfId="1" applyNumberFormat="1" applyFont="1" applyBorder="1" applyAlignment="1">
      <alignment horizontal="center" vertical="center" wrapText="1"/>
    </xf>
    <xf numFmtId="14" fontId="4" fillId="0" borderId="14" xfId="1" applyNumberFormat="1" applyFont="1" applyBorder="1" applyAlignment="1">
      <alignment horizontal="center" vertical="center" wrapText="1"/>
    </xf>
    <xf numFmtId="14" fontId="11" fillId="0" borderId="7" xfId="1" applyNumberFormat="1" applyFont="1" applyBorder="1" applyAlignment="1">
      <alignment horizontal="center" vertical="center" wrapText="1"/>
    </xf>
    <xf numFmtId="14" fontId="6" fillId="0" borderId="6" xfId="1" applyNumberFormat="1" applyFont="1" applyBorder="1" applyAlignment="1">
      <alignment horizontal="center" vertical="center" wrapText="1"/>
    </xf>
    <xf numFmtId="14" fontId="6" fillId="0" borderId="8" xfId="1" applyNumberFormat="1" applyFont="1" applyBorder="1" applyAlignment="1">
      <alignment horizontal="center" vertical="center" wrapText="1"/>
    </xf>
    <xf numFmtId="15" fontId="0" fillId="0" borderId="0" xfId="0" applyNumberFormat="1">
      <alignment vertical="center"/>
    </xf>
    <xf numFmtId="14" fontId="4" fillId="3" borderId="1" xfId="1" applyNumberFormat="1" applyFont="1" applyFill="1" applyBorder="1" applyAlignment="1">
      <alignment horizontal="center" vertical="center"/>
    </xf>
    <xf numFmtId="14" fontId="4" fillId="0" borderId="15" xfId="1" applyNumberFormat="1" applyFont="1" applyBorder="1" applyAlignment="1">
      <alignment horizontal="center" vertical="center" wrapText="1"/>
    </xf>
    <xf numFmtId="14" fontId="6" fillId="5" borderId="17" xfId="1" applyNumberFormat="1" applyFont="1" applyFill="1" applyBorder="1" applyAlignment="1">
      <alignment horizontal="center" vertical="center" wrapText="1"/>
    </xf>
    <xf numFmtId="14" fontId="5" fillId="10" borderId="16" xfId="1" applyNumberFormat="1" applyFont="1" applyFill="1" applyBorder="1" applyAlignment="1">
      <alignment horizontal="center" vertical="center" wrapText="1"/>
    </xf>
    <xf numFmtId="14" fontId="6" fillId="11" borderId="0" xfId="0" applyNumberFormat="1" applyFont="1" applyFill="1" applyAlignment="1">
      <alignment horizontal="center" vertical="center"/>
    </xf>
    <xf numFmtId="14" fontId="6" fillId="11" borderId="4" xfId="1" applyNumberFormat="1" applyFont="1" applyFill="1" applyBorder="1" applyAlignment="1">
      <alignment horizontal="center" vertical="center" wrapText="1"/>
    </xf>
    <xf numFmtId="14" fontId="10" fillId="11" borderId="4" xfId="1" applyNumberFormat="1" applyFont="1" applyFill="1" applyBorder="1" applyAlignment="1">
      <alignment horizontal="center" vertical="center" wrapText="1"/>
    </xf>
    <xf numFmtId="14" fontId="10" fillId="11" borderId="4" xfId="1" applyNumberFormat="1" applyFont="1" applyFill="1" applyBorder="1" applyAlignment="1">
      <alignment horizontal="center" vertical="center"/>
    </xf>
    <xf numFmtId="14" fontId="4" fillId="11" borderId="13" xfId="1" applyNumberFormat="1" applyFont="1" applyFill="1" applyBorder="1" applyAlignment="1">
      <alignment horizontal="center" vertical="center" wrapText="1"/>
    </xf>
    <xf numFmtId="14" fontId="4" fillId="11" borderId="0" xfId="1" applyNumberFormat="1" applyFont="1" applyFill="1" applyAlignment="1">
      <alignment horizontal="center" vertical="center"/>
    </xf>
    <xf numFmtId="14" fontId="4" fillId="11" borderId="11" xfId="1" applyNumberFormat="1" applyFont="1" applyFill="1" applyBorder="1" applyAlignment="1">
      <alignment horizontal="center" vertical="center" wrapText="1"/>
    </xf>
    <xf numFmtId="14" fontId="4" fillId="11" borderId="11" xfId="1" applyNumberFormat="1" applyFont="1" applyFill="1" applyBorder="1" applyAlignment="1">
      <alignment horizontal="center" vertical="center"/>
    </xf>
    <xf numFmtId="14" fontId="11" fillId="11" borderId="11" xfId="1" applyNumberFormat="1" applyFont="1" applyFill="1" applyBorder="1" applyAlignment="1">
      <alignment horizontal="center" vertical="center"/>
    </xf>
    <xf numFmtId="14" fontId="6" fillId="11" borderId="9" xfId="1" applyNumberFormat="1" applyFont="1" applyFill="1" applyBorder="1" applyAlignment="1">
      <alignment horizontal="center" vertical="center" wrapText="1"/>
    </xf>
    <xf numFmtId="14" fontId="13" fillId="11" borderId="9" xfId="1" applyNumberFormat="1" applyFont="1" applyFill="1" applyBorder="1" applyAlignment="1">
      <alignment horizontal="center" vertical="center" wrapText="1"/>
    </xf>
    <xf numFmtId="14" fontId="10" fillId="11" borderId="3" xfId="1" applyNumberFormat="1" applyFont="1" applyFill="1" applyBorder="1" applyAlignment="1">
      <alignment horizontal="center" vertical="center"/>
    </xf>
    <xf numFmtId="14" fontId="14" fillId="11" borderId="11" xfId="1" applyNumberFormat="1" applyFont="1" applyFill="1" applyBorder="1" applyAlignment="1">
      <alignment horizontal="center" vertical="center" wrapText="1"/>
    </xf>
    <xf numFmtId="14" fontId="14" fillId="11" borderId="11" xfId="1" applyNumberFormat="1" applyFont="1" applyFill="1" applyBorder="1" applyAlignment="1">
      <alignment horizontal="center" vertical="center"/>
    </xf>
    <xf numFmtId="14" fontId="6" fillId="11" borderId="10" xfId="1" applyNumberFormat="1" applyFont="1" applyFill="1" applyBorder="1" applyAlignment="1">
      <alignment horizontal="center" vertical="center" wrapText="1"/>
    </xf>
    <xf numFmtId="14" fontId="4" fillId="11" borderId="10" xfId="1" applyNumberFormat="1" applyFont="1" applyFill="1" applyBorder="1" applyAlignment="1">
      <alignment horizontal="center" vertical="center" wrapText="1"/>
    </xf>
    <xf numFmtId="14" fontId="13" fillId="11" borderId="4" xfId="1" applyNumberFormat="1" applyFont="1" applyFill="1" applyBorder="1" applyAlignment="1">
      <alignment horizontal="center" vertical="center" wrapText="1"/>
    </xf>
    <xf numFmtId="14" fontId="14" fillId="11" borderId="4" xfId="1" applyNumberFormat="1" applyFont="1" applyFill="1" applyBorder="1" applyAlignment="1">
      <alignment horizontal="center" vertical="center" wrapText="1"/>
    </xf>
    <xf numFmtId="14" fontId="14" fillId="11" borderId="4" xfId="1" applyNumberFormat="1" applyFont="1" applyFill="1" applyBorder="1" applyAlignment="1">
      <alignment horizontal="center" vertical="center"/>
    </xf>
    <xf numFmtId="14" fontId="11" fillId="11" borderId="10" xfId="1" applyNumberFormat="1" applyFont="1" applyFill="1" applyBorder="1" applyAlignment="1">
      <alignment horizontal="center" vertical="center" wrapText="1"/>
    </xf>
    <xf numFmtId="14" fontId="5" fillId="11" borderId="7" xfId="1" applyNumberFormat="1" applyFont="1" applyFill="1" applyBorder="1" applyAlignment="1">
      <alignment horizontal="center" vertical="center" wrapText="1"/>
    </xf>
    <xf numFmtId="14" fontId="15" fillId="11" borderId="7" xfId="1" applyNumberFormat="1" applyFont="1" applyFill="1" applyBorder="1" applyAlignment="1">
      <alignment horizontal="center" vertical="center" wrapText="1"/>
    </xf>
    <xf numFmtId="14" fontId="4" fillId="11" borderId="4" xfId="1" applyNumberFormat="1" applyFont="1" applyFill="1" applyBorder="1" applyAlignment="1">
      <alignment horizontal="center" vertical="center"/>
    </xf>
    <xf numFmtId="14" fontId="4" fillId="11" borderId="6" xfId="1" applyNumberFormat="1" applyFont="1" applyFill="1" applyBorder="1" applyAlignment="1">
      <alignment horizontal="center" vertical="center" wrapText="1"/>
    </xf>
    <xf numFmtId="14" fontId="11" fillId="11" borderId="8" xfId="1" applyNumberFormat="1" applyFont="1" applyFill="1" applyBorder="1" applyAlignment="1">
      <alignment horizontal="center" vertical="center"/>
    </xf>
    <xf numFmtId="14" fontId="6" fillId="11" borderId="5" xfId="0" applyNumberFormat="1" applyFont="1" applyFill="1" applyBorder="1" applyAlignment="1">
      <alignment horizontal="center" vertical="center"/>
    </xf>
    <xf numFmtId="14" fontId="11" fillId="11" borderId="6" xfId="1" applyNumberFormat="1" applyFont="1" applyFill="1" applyBorder="1" applyAlignment="1">
      <alignment horizontal="center" vertical="center"/>
    </xf>
    <xf numFmtId="14" fontId="11" fillId="11" borderId="7" xfId="1" applyNumberFormat="1" applyFont="1" applyFill="1" applyBorder="1" applyAlignment="1">
      <alignment horizontal="center" vertical="center" wrapText="1"/>
    </xf>
    <xf numFmtId="14" fontId="11" fillId="11" borderId="8" xfId="1" applyNumberFormat="1" applyFont="1" applyFill="1" applyBorder="1" applyAlignment="1">
      <alignment horizontal="center" vertical="center" wrapText="1"/>
    </xf>
    <xf numFmtId="14" fontId="4" fillId="11" borderId="9" xfId="1" applyNumberFormat="1" applyFont="1" applyFill="1" applyBorder="1" applyAlignment="1">
      <alignment horizontal="center" vertical="center" wrapText="1"/>
    </xf>
    <xf numFmtId="14" fontId="4" fillId="11" borderId="8" xfId="1" applyNumberFormat="1" applyFont="1" applyFill="1" applyBorder="1" applyAlignment="1">
      <alignment horizontal="center" vertical="center" wrapText="1"/>
    </xf>
    <xf numFmtId="14" fontId="11" fillId="11" borderId="6" xfId="1" applyNumberFormat="1" applyFont="1" applyFill="1" applyBorder="1" applyAlignment="1">
      <alignment horizontal="center" vertical="center" wrapText="1"/>
    </xf>
    <xf numFmtId="14" fontId="16" fillId="11" borderId="8" xfId="1" applyNumberFormat="1" applyFont="1" applyFill="1" applyBorder="1" applyAlignment="1">
      <alignment horizontal="center" vertical="center" wrapText="1"/>
    </xf>
    <xf numFmtId="14" fontId="14" fillId="11" borderId="9" xfId="1" applyNumberFormat="1" applyFont="1" applyFill="1" applyBorder="1" applyAlignment="1">
      <alignment horizontal="center" vertical="center"/>
    </xf>
    <xf numFmtId="14" fontId="4" fillId="11" borderId="10" xfId="1" applyNumberFormat="1" applyFont="1" applyFill="1" applyBorder="1" applyAlignment="1">
      <alignment horizontal="center" vertical="center"/>
    </xf>
    <xf numFmtId="14" fontId="6" fillId="2" borderId="7" xfId="1" applyNumberFormat="1" applyFont="1" applyFill="1" applyBorder="1" applyAlignment="1">
      <alignment horizontal="center" vertical="center" wrapText="1"/>
    </xf>
    <xf numFmtId="14" fontId="10" fillId="2" borderId="4" xfId="1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10" xfId="1" applyNumberFormat="1" applyFont="1" applyBorder="1" applyAlignment="1">
      <alignment horizontal="center" vertical="center" wrapText="1"/>
    </xf>
    <xf numFmtId="14" fontId="4" fillId="0" borderId="10" xfId="1" applyNumberFormat="1" applyFont="1" applyBorder="1" applyAlignment="1">
      <alignment horizontal="center" vertical="center"/>
    </xf>
    <xf numFmtId="14" fontId="12" fillId="11" borderId="6" xfId="1" applyNumberFormat="1" applyFont="1" applyFill="1" applyBorder="1" applyAlignment="1">
      <alignment horizontal="center" vertical="center" wrapText="1"/>
    </xf>
    <xf numFmtId="14" fontId="12" fillId="11" borderId="8" xfId="1" applyNumberFormat="1" applyFont="1" applyFill="1" applyBorder="1" applyAlignment="1">
      <alignment horizontal="center" vertical="center" wrapText="1"/>
    </xf>
    <xf numFmtId="14" fontId="4" fillId="2" borderId="2" xfId="1" applyNumberFormat="1" applyFont="1" applyFill="1" applyBorder="1" applyAlignment="1">
      <alignment horizontal="center" vertical="center" wrapText="1"/>
    </xf>
    <xf numFmtId="14" fontId="6" fillId="12" borderId="4" xfId="1" applyNumberFormat="1" applyFont="1" applyFill="1" applyBorder="1" applyAlignment="1">
      <alignment horizontal="center" vertical="center" wrapText="1"/>
    </xf>
    <xf numFmtId="14" fontId="6" fillId="12" borderId="0" xfId="0" applyNumberFormat="1" applyFont="1" applyFill="1" applyAlignment="1">
      <alignment horizontal="center" vertical="center"/>
    </xf>
    <xf numFmtId="14" fontId="10" fillId="12" borderId="4" xfId="1" applyNumberFormat="1" applyFont="1" applyFill="1" applyBorder="1" applyAlignment="1">
      <alignment horizontal="center" vertical="center" wrapText="1"/>
    </xf>
    <xf numFmtId="14" fontId="10" fillId="12" borderId="4" xfId="1" applyNumberFormat="1" applyFont="1" applyFill="1" applyBorder="1" applyAlignment="1">
      <alignment horizontal="center" vertical="center"/>
    </xf>
    <xf numFmtId="14" fontId="10" fillId="12" borderId="3" xfId="1" applyNumberFormat="1" applyFont="1" applyFill="1" applyBorder="1" applyAlignment="1">
      <alignment horizontal="center" vertical="center"/>
    </xf>
    <xf numFmtId="14" fontId="6" fillId="12" borderId="5" xfId="0" applyNumberFormat="1" applyFont="1" applyFill="1" applyBorder="1" applyAlignment="1">
      <alignment horizontal="center" vertical="center"/>
    </xf>
    <xf numFmtId="14" fontId="4" fillId="12" borderId="2" xfId="1" applyNumberFormat="1" applyFont="1" applyFill="1" applyBorder="1" applyAlignment="1">
      <alignment horizontal="center" vertical="center" wrapText="1"/>
    </xf>
    <xf numFmtId="14" fontId="4" fillId="11" borderId="9" xfId="1" applyNumberFormat="1" applyFont="1" applyFill="1" applyBorder="1" applyAlignment="1">
      <alignment horizontal="center" vertical="center"/>
    </xf>
    <xf numFmtId="14" fontId="4" fillId="12" borderId="0" xfId="1" applyNumberFormat="1" applyFont="1" applyFill="1" applyAlignment="1">
      <alignment horizontal="center" vertical="center" wrapText="1"/>
    </xf>
    <xf numFmtId="14" fontId="6" fillId="11" borderId="12" xfId="0" applyNumberFormat="1" applyFont="1" applyFill="1" applyBorder="1" applyAlignment="1">
      <alignment horizontal="center" vertical="center"/>
    </xf>
    <xf numFmtId="14" fontId="6" fillId="11" borderId="27" xfId="0" applyNumberFormat="1" applyFont="1" applyFill="1" applyBorder="1" applyAlignment="1">
      <alignment horizontal="center" vertical="center"/>
    </xf>
    <xf numFmtId="14" fontId="10" fillId="11" borderId="33" xfId="1" applyNumberFormat="1" applyFont="1" applyFill="1" applyBorder="1" applyAlignment="1">
      <alignment horizontal="center" vertical="center" wrapText="1"/>
    </xf>
    <xf numFmtId="14" fontId="6" fillId="11" borderId="30" xfId="0" applyNumberFormat="1" applyFont="1" applyFill="1" applyBorder="1" applyAlignment="1">
      <alignment horizontal="center" vertical="center"/>
    </xf>
    <xf numFmtId="14" fontId="6" fillId="11" borderId="32" xfId="0" applyNumberFormat="1" applyFont="1" applyFill="1" applyBorder="1" applyAlignment="1">
      <alignment horizontal="center" vertical="center"/>
    </xf>
    <xf numFmtId="14" fontId="6" fillId="11" borderId="23" xfId="1" applyNumberFormat="1" applyFont="1" applyFill="1" applyBorder="1" applyAlignment="1">
      <alignment horizontal="center" vertical="center" wrapText="1"/>
    </xf>
    <xf numFmtId="14" fontId="6" fillId="11" borderId="1" xfId="0" applyNumberFormat="1" applyFont="1" applyFill="1" applyBorder="1" applyAlignment="1">
      <alignment horizontal="center" vertical="center"/>
    </xf>
    <xf numFmtId="14" fontId="6" fillId="11" borderId="15" xfId="0" applyNumberFormat="1" applyFont="1" applyFill="1" applyBorder="1" applyAlignment="1">
      <alignment horizontal="center" vertical="center"/>
    </xf>
    <xf numFmtId="14" fontId="6" fillId="11" borderId="14" xfId="0" applyNumberFormat="1" applyFont="1" applyFill="1" applyBorder="1" applyAlignment="1">
      <alignment horizontal="center" vertical="center"/>
    </xf>
    <xf numFmtId="14" fontId="4" fillId="9" borderId="7" xfId="1" applyNumberFormat="1" applyFont="1" applyFill="1" applyBorder="1" applyAlignment="1">
      <alignment horizontal="center" vertical="center" wrapText="1"/>
    </xf>
    <xf numFmtId="14" fontId="6" fillId="11" borderId="21" xfId="0" applyNumberFormat="1" applyFont="1" applyFill="1" applyBorder="1" applyAlignment="1">
      <alignment horizontal="center" vertical="center"/>
    </xf>
    <xf numFmtId="14" fontId="10" fillId="11" borderId="9" xfId="1" applyNumberFormat="1" applyFont="1" applyFill="1" applyBorder="1" applyAlignment="1">
      <alignment horizontal="center" vertical="center" wrapText="1"/>
    </xf>
    <xf numFmtId="14" fontId="6" fillId="11" borderId="22" xfId="0" applyNumberFormat="1" applyFont="1" applyFill="1" applyBorder="1" applyAlignment="1">
      <alignment horizontal="center" vertical="center"/>
    </xf>
    <xf numFmtId="14" fontId="10" fillId="11" borderId="18" xfId="1" applyNumberFormat="1" applyFont="1" applyFill="1" applyBorder="1" applyAlignment="1">
      <alignment horizontal="center" vertical="center" wrapText="1"/>
    </xf>
    <xf numFmtId="14" fontId="6" fillId="11" borderId="8" xfId="0" applyNumberFormat="1" applyFont="1" applyFill="1" applyBorder="1" applyAlignment="1">
      <alignment horizontal="center" vertical="center"/>
    </xf>
    <xf numFmtId="14" fontId="6" fillId="11" borderId="23" xfId="0" applyNumberFormat="1" applyFont="1" applyFill="1" applyBorder="1" applyAlignment="1">
      <alignment horizontal="center" vertical="center"/>
    </xf>
    <xf numFmtId="14" fontId="10" fillId="11" borderId="28" xfId="1" applyNumberFormat="1" applyFont="1" applyFill="1" applyBorder="1" applyAlignment="1">
      <alignment horizontal="center" vertical="center" wrapText="1"/>
    </xf>
    <xf numFmtId="14" fontId="6" fillId="11" borderId="26" xfId="0" applyNumberFormat="1" applyFont="1" applyFill="1" applyBorder="1" applyAlignment="1">
      <alignment horizontal="center" vertical="center"/>
    </xf>
    <xf numFmtId="14" fontId="6" fillId="11" borderId="29" xfId="1" applyNumberFormat="1" applyFont="1" applyFill="1" applyBorder="1" applyAlignment="1">
      <alignment horizontal="center" vertical="center" wrapText="1"/>
    </xf>
    <xf numFmtId="14" fontId="6" fillId="11" borderId="29" xfId="0" applyNumberFormat="1" applyFont="1" applyFill="1" applyBorder="1" applyAlignment="1">
      <alignment horizontal="center" vertical="center"/>
    </xf>
    <xf numFmtId="14" fontId="6" fillId="11" borderId="25" xfId="0" applyNumberFormat="1" applyFont="1" applyFill="1" applyBorder="1" applyAlignment="1">
      <alignment horizontal="center" vertical="center"/>
    </xf>
    <xf numFmtId="14" fontId="6" fillId="11" borderId="24" xfId="0" applyNumberFormat="1" applyFont="1" applyFill="1" applyBorder="1" applyAlignment="1">
      <alignment horizontal="center" vertical="center"/>
    </xf>
    <xf numFmtId="14" fontId="4" fillId="11" borderId="0" xfId="1" applyNumberFormat="1" applyFont="1" applyFill="1" applyAlignment="1">
      <alignment horizontal="center" vertical="center" wrapText="1"/>
    </xf>
    <xf numFmtId="14" fontId="4" fillId="11" borderId="4" xfId="1" applyNumberFormat="1" applyFont="1" applyFill="1" applyBorder="1" applyAlignment="1">
      <alignment horizontal="center" vertical="center" wrapText="1"/>
    </xf>
    <xf numFmtId="14" fontId="4" fillId="11" borderId="27" xfId="0" applyNumberFormat="1" applyFont="1" applyFill="1" applyBorder="1" applyAlignment="1">
      <alignment horizontal="center" vertical="center"/>
    </xf>
    <xf numFmtId="14" fontId="4" fillId="11" borderId="33" xfId="1" applyNumberFormat="1" applyFont="1" applyFill="1" applyBorder="1" applyAlignment="1">
      <alignment horizontal="center" vertical="center" wrapText="1"/>
    </xf>
    <xf numFmtId="14" fontId="4" fillId="11" borderId="0" xfId="0" applyNumberFormat="1" applyFont="1" applyFill="1" applyAlignment="1">
      <alignment horizontal="center" vertical="center"/>
    </xf>
    <xf numFmtId="14" fontId="4" fillId="11" borderId="32" xfId="0" applyNumberFormat="1" applyFont="1" applyFill="1" applyBorder="1" applyAlignment="1">
      <alignment horizontal="center" vertical="center"/>
    </xf>
    <xf numFmtId="14" fontId="4" fillId="11" borderId="23" xfId="1" applyNumberFormat="1" applyFont="1" applyFill="1" applyBorder="1" applyAlignment="1">
      <alignment horizontal="center" vertical="center" wrapText="1"/>
    </xf>
    <xf numFmtId="14" fontId="4" fillId="11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11" borderId="4" xfId="0" applyNumberFormat="1" applyFont="1" applyFill="1" applyBorder="1" applyAlignment="1">
      <alignment horizontal="center" vertical="center"/>
    </xf>
    <xf numFmtId="14" fontId="6" fillId="8" borderId="7" xfId="1" applyNumberFormat="1" applyFont="1" applyFill="1" applyBorder="1" applyAlignment="1">
      <alignment horizontal="center" vertical="center" wrapText="1"/>
    </xf>
    <xf numFmtId="14" fontId="6" fillId="9" borderId="0" xfId="0" applyNumberFormat="1" applyFont="1" applyFill="1" applyAlignment="1">
      <alignment horizontal="center" vertical="center"/>
    </xf>
    <xf numFmtId="14" fontId="6" fillId="11" borderId="31" xfId="0" applyNumberFormat="1" applyFont="1" applyFill="1" applyBorder="1" applyAlignment="1">
      <alignment horizontal="center" vertical="center"/>
    </xf>
    <xf numFmtId="14" fontId="6" fillId="11" borderId="35" xfId="0" applyNumberFormat="1" applyFont="1" applyFill="1" applyBorder="1" applyAlignment="1">
      <alignment horizontal="center" vertical="center"/>
    </xf>
    <xf numFmtId="0" fontId="6" fillId="11" borderId="0" xfId="0" applyFont="1" applyFill="1">
      <alignment vertical="center"/>
    </xf>
    <xf numFmtId="14" fontId="6" fillId="11" borderId="34" xfId="0" applyNumberFormat="1" applyFont="1" applyFill="1" applyBorder="1" applyAlignment="1">
      <alignment horizontal="center" vertical="center"/>
    </xf>
    <xf numFmtId="14" fontId="4" fillId="11" borderId="1" xfId="1" applyNumberFormat="1" applyFont="1" applyFill="1" applyBorder="1" applyAlignment="1">
      <alignment horizontal="center" vertical="center" wrapText="1"/>
    </xf>
    <xf numFmtId="14" fontId="15" fillId="0" borderId="15" xfId="1" applyNumberFormat="1" applyFont="1" applyBorder="1" applyAlignment="1">
      <alignment horizontal="center" vertical="center" wrapText="1"/>
    </xf>
    <xf numFmtId="14" fontId="6" fillId="11" borderId="6" xfId="1" applyNumberFormat="1" applyFont="1" applyFill="1" applyBorder="1" applyAlignment="1">
      <alignment horizontal="center" vertical="center" wrapText="1"/>
    </xf>
    <xf numFmtId="14" fontId="6" fillId="11" borderId="8" xfId="1" applyNumberFormat="1" applyFont="1" applyFill="1" applyBorder="1" applyAlignment="1">
      <alignment horizontal="center" vertical="center" wrapText="1"/>
    </xf>
    <xf numFmtId="14" fontId="6" fillId="0" borderId="9" xfId="1" applyNumberFormat="1" applyFont="1" applyBorder="1" applyAlignment="1">
      <alignment horizontal="center" vertical="center" wrapText="1"/>
    </xf>
    <xf numFmtId="14" fontId="10" fillId="0" borderId="9" xfId="1" applyNumberFormat="1" applyFont="1" applyBorder="1" applyAlignment="1">
      <alignment horizontal="center" vertical="center" wrapText="1"/>
    </xf>
    <xf numFmtId="14" fontId="10" fillId="0" borderId="9" xfId="1" applyNumberFormat="1" applyFont="1" applyBorder="1" applyAlignment="1">
      <alignment horizontal="center" vertical="center"/>
    </xf>
    <xf numFmtId="14" fontId="4" fillId="0" borderId="13" xfId="1" applyNumberFormat="1" applyFont="1" applyBorder="1" applyAlignment="1">
      <alignment horizontal="center" vertical="center" wrapText="1"/>
    </xf>
    <xf numFmtId="14" fontId="4" fillId="0" borderId="1" xfId="1" applyNumberFormat="1" applyFont="1" applyBorder="1" applyAlignment="1">
      <alignment horizontal="center" vertical="center"/>
    </xf>
    <xf numFmtId="14" fontId="6" fillId="13" borderId="2" xfId="1" applyNumberFormat="1" applyFont="1" applyFill="1" applyBorder="1" applyAlignment="1">
      <alignment horizontal="center" vertical="center" wrapText="1"/>
    </xf>
    <xf numFmtId="14" fontId="21" fillId="0" borderId="11" xfId="1" applyNumberFormat="1" applyFont="1" applyBorder="1" applyAlignment="1">
      <alignment horizontal="center" vertical="center" wrapText="1"/>
    </xf>
    <xf numFmtId="14" fontId="4" fillId="0" borderId="12" xfId="1" applyNumberFormat="1" applyFont="1" applyBorder="1" applyAlignment="1">
      <alignment horizontal="center" vertical="center" wrapText="1"/>
    </xf>
    <xf numFmtId="14" fontId="6" fillId="11" borderId="2" xfId="0" applyNumberFormat="1" applyFont="1" applyFill="1" applyBorder="1" applyAlignment="1">
      <alignment horizontal="center" vertical="center"/>
    </xf>
    <xf numFmtId="14" fontId="4" fillId="11" borderId="23" xfId="0" applyNumberFormat="1" applyFont="1" applyFill="1" applyBorder="1" applyAlignment="1">
      <alignment horizontal="center" vertical="center"/>
    </xf>
    <xf numFmtId="14" fontId="4" fillId="8" borderId="15" xfId="1" applyNumberFormat="1" applyFont="1" applyFill="1" applyBorder="1" applyAlignment="1">
      <alignment horizontal="center" vertical="center" wrapText="1"/>
    </xf>
    <xf numFmtId="14" fontId="6" fillId="11" borderId="19" xfId="0" applyNumberFormat="1" applyFont="1" applyFill="1" applyBorder="1" applyAlignment="1">
      <alignment horizontal="center" vertical="center"/>
    </xf>
    <xf numFmtId="14" fontId="6" fillId="11" borderId="20" xfId="0" applyNumberFormat="1" applyFont="1" applyFill="1" applyBorder="1" applyAlignment="1">
      <alignment horizontal="center" vertical="center"/>
    </xf>
    <xf numFmtId="14" fontId="6" fillId="9" borderId="7" xfId="1" applyNumberFormat="1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/>
    </xf>
    <xf numFmtId="14" fontId="4" fillId="0" borderId="23" xfId="0" applyNumberFormat="1" applyFont="1" applyBorder="1" applyAlignment="1">
      <alignment horizontal="center" vertical="center"/>
    </xf>
    <xf numFmtId="14" fontId="10" fillId="11" borderId="9" xfId="1" applyNumberFormat="1" applyFont="1" applyFill="1" applyBorder="1" applyAlignment="1">
      <alignment horizontal="center" vertical="center"/>
    </xf>
    <xf numFmtId="14" fontId="4" fillId="11" borderId="14" xfId="1" applyNumberFormat="1" applyFont="1" applyFill="1" applyBorder="1" applyAlignment="1">
      <alignment horizontal="center" vertical="center" wrapText="1"/>
    </xf>
    <xf numFmtId="14" fontId="15" fillId="11" borderId="15" xfId="1" applyNumberFormat="1" applyFont="1" applyFill="1" applyBorder="1" applyAlignment="1">
      <alignment horizontal="center" vertical="center" wrapText="1"/>
    </xf>
    <xf numFmtId="14" fontId="4" fillId="11" borderId="1" xfId="1" applyNumberFormat="1" applyFont="1" applyFill="1" applyBorder="1" applyAlignment="1">
      <alignment horizontal="center" vertical="center"/>
    </xf>
    <xf numFmtId="14" fontId="6" fillId="0" borderId="21" xfId="0" applyNumberFormat="1" applyFont="1" applyBorder="1" applyAlignment="1">
      <alignment horizontal="center" vertical="center"/>
    </xf>
    <xf numFmtId="14" fontId="10" fillId="0" borderId="18" xfId="1" applyNumberFormat="1" applyFont="1" applyBorder="1" applyAlignment="1">
      <alignment horizontal="center" vertical="center" wrapText="1"/>
    </xf>
    <xf numFmtId="14" fontId="6" fillId="0" borderId="12" xfId="0" applyNumberFormat="1" applyFont="1" applyBorder="1" applyAlignment="1">
      <alignment horizontal="center" vertical="center"/>
    </xf>
    <xf numFmtId="14" fontId="15" fillId="0" borderId="7" xfId="1" applyNumberFormat="1" applyFont="1" applyBorder="1" applyAlignment="1">
      <alignment horizontal="center" vertical="center" wrapText="1"/>
    </xf>
    <xf numFmtId="14" fontId="4" fillId="0" borderId="7" xfId="1" applyNumberFormat="1" applyFont="1" applyBorder="1" applyAlignment="1">
      <alignment horizontal="center" vertical="center"/>
    </xf>
    <xf numFmtId="14" fontId="13" fillId="12" borderId="11" xfId="1" applyNumberFormat="1" applyFont="1" applyFill="1" applyBorder="1" applyAlignment="1">
      <alignment horizontal="center" vertical="center" wrapText="1"/>
    </xf>
    <xf numFmtId="14" fontId="10" fillId="12" borderId="3" xfId="1" applyNumberFormat="1" applyFont="1" applyFill="1" applyBorder="1" applyAlignment="1">
      <alignment horizontal="center" vertical="center" wrapText="1"/>
    </xf>
    <xf numFmtId="14" fontId="4" fillId="12" borderId="10" xfId="1" applyNumberFormat="1" applyFont="1" applyFill="1" applyBorder="1" applyAlignment="1">
      <alignment horizontal="center" vertical="center" wrapText="1"/>
    </xf>
    <xf numFmtId="14" fontId="4" fillId="12" borderId="11" xfId="1" applyNumberFormat="1" applyFont="1" applyFill="1" applyBorder="1" applyAlignment="1">
      <alignment horizontal="center" vertical="center" wrapText="1"/>
    </xf>
    <xf numFmtId="14" fontId="4" fillId="12" borderId="7" xfId="1" applyNumberFormat="1" applyFont="1" applyFill="1" applyBorder="1" applyAlignment="1">
      <alignment horizontal="center" vertical="center"/>
    </xf>
    <xf numFmtId="14" fontId="6" fillId="12" borderId="10" xfId="1" applyNumberFormat="1" applyFont="1" applyFill="1" applyBorder="1" applyAlignment="1">
      <alignment horizontal="center" vertical="center" wrapText="1"/>
    </xf>
    <xf numFmtId="14" fontId="6" fillId="12" borderId="2" xfId="0" applyNumberFormat="1" applyFont="1" applyFill="1" applyBorder="1" applyAlignment="1">
      <alignment horizontal="center" vertical="center"/>
    </xf>
    <xf numFmtId="14" fontId="18" fillId="12" borderId="2" xfId="0" applyNumberFormat="1" applyFont="1" applyFill="1" applyBorder="1" applyAlignment="1">
      <alignment horizontal="center" vertical="center"/>
    </xf>
    <xf numFmtId="14" fontId="4" fillId="12" borderId="2" xfId="0" applyNumberFormat="1" applyFont="1" applyFill="1" applyBorder="1" applyAlignment="1">
      <alignment horizontal="center" vertical="center"/>
    </xf>
    <xf numFmtId="14" fontId="6" fillId="12" borderId="12" xfId="0" applyNumberFormat="1" applyFont="1" applyFill="1" applyBorder="1" applyAlignment="1">
      <alignment horizontal="center" vertical="center"/>
    </xf>
    <xf numFmtId="14" fontId="4" fillId="12" borderId="10" xfId="1" applyNumberFormat="1" applyFont="1" applyFill="1" applyBorder="1" applyAlignment="1">
      <alignment horizontal="center" vertical="center"/>
    </xf>
    <xf numFmtId="14" fontId="11" fillId="12" borderId="7" xfId="1" applyNumberFormat="1" applyFont="1" applyFill="1" applyBorder="1" applyAlignment="1">
      <alignment horizontal="center" vertical="center" wrapText="1"/>
    </xf>
    <xf numFmtId="14" fontId="6" fillId="12" borderId="11" xfId="0" applyNumberFormat="1" applyFont="1" applyFill="1" applyBorder="1" applyAlignment="1">
      <alignment horizontal="center" vertical="center"/>
    </xf>
    <xf numFmtId="14" fontId="6" fillId="12" borderId="11" xfId="1" applyNumberFormat="1" applyFont="1" applyFill="1" applyBorder="1" applyAlignment="1">
      <alignment horizontal="center" vertical="center" wrapText="1"/>
    </xf>
    <xf numFmtId="14" fontId="4" fillId="12" borderId="4" xfId="1" applyNumberFormat="1" applyFont="1" applyFill="1" applyBorder="1" applyAlignment="1">
      <alignment horizontal="center" vertical="center" wrapText="1"/>
    </xf>
    <xf numFmtId="14" fontId="10" fillId="12" borderId="33" xfId="1" applyNumberFormat="1" applyFont="1" applyFill="1" applyBorder="1" applyAlignment="1">
      <alignment horizontal="center" vertical="center" wrapText="1"/>
    </xf>
    <xf numFmtId="14" fontId="6" fillId="12" borderId="23" xfId="1" applyNumberFormat="1" applyFont="1" applyFill="1" applyBorder="1" applyAlignment="1">
      <alignment horizontal="center" vertical="center" wrapText="1"/>
    </xf>
    <xf numFmtId="14" fontId="4" fillId="12" borderId="4" xfId="1" applyNumberFormat="1" applyFont="1" applyFill="1" applyBorder="1" applyAlignment="1">
      <alignment horizontal="center" vertical="center"/>
    </xf>
    <xf numFmtId="14" fontId="4" fillId="12" borderId="3" xfId="1" applyNumberFormat="1" applyFont="1" applyFill="1" applyBorder="1" applyAlignment="1">
      <alignment horizontal="center" vertical="center"/>
    </xf>
    <xf numFmtId="14" fontId="4" fillId="12" borderId="1" xfId="0" applyNumberFormat="1" applyFont="1" applyFill="1" applyBorder="1" applyAlignment="1">
      <alignment horizontal="center" vertical="center"/>
    </xf>
    <xf numFmtId="14" fontId="4" fillId="12" borderId="1" xfId="1" applyNumberFormat="1" applyFont="1" applyFill="1" applyBorder="1" applyAlignment="1">
      <alignment horizontal="center" vertical="center" wrapText="1"/>
    </xf>
    <xf numFmtId="14" fontId="4" fillId="12" borderId="27" xfId="0" applyNumberFormat="1" applyFont="1" applyFill="1" applyBorder="1" applyAlignment="1">
      <alignment horizontal="center" vertical="center"/>
    </xf>
    <xf numFmtId="14" fontId="4" fillId="12" borderId="33" xfId="1" applyNumberFormat="1" applyFont="1" applyFill="1" applyBorder="1" applyAlignment="1">
      <alignment horizontal="center" vertical="center" wrapText="1"/>
    </xf>
    <xf numFmtId="14" fontId="4" fillId="12" borderId="0" xfId="0" applyNumberFormat="1" applyFont="1" applyFill="1" applyAlignment="1">
      <alignment horizontal="center" vertical="center"/>
    </xf>
    <xf numFmtId="14" fontId="4" fillId="12" borderId="32" xfId="0" applyNumberFormat="1" applyFont="1" applyFill="1" applyBorder="1" applyAlignment="1">
      <alignment horizontal="center" vertical="center"/>
    </xf>
    <xf numFmtId="14" fontId="4" fillId="12" borderId="23" xfId="1" applyNumberFormat="1" applyFont="1" applyFill="1" applyBorder="1" applyAlignment="1">
      <alignment horizontal="center" vertical="center" wrapText="1"/>
    </xf>
    <xf numFmtId="14" fontId="4" fillId="12" borderId="14" xfId="1" applyNumberFormat="1" applyFont="1" applyFill="1" applyBorder="1" applyAlignment="1">
      <alignment horizontal="center" vertical="center" wrapText="1"/>
    </xf>
    <xf numFmtId="14" fontId="4" fillId="12" borderId="15" xfId="1" applyNumberFormat="1" applyFont="1" applyFill="1" applyBorder="1" applyAlignment="1">
      <alignment horizontal="center" vertical="center" wrapText="1"/>
    </xf>
    <xf numFmtId="14" fontId="4" fillId="12" borderId="2" xfId="1" applyNumberFormat="1" applyFont="1" applyFill="1" applyBorder="1" applyAlignment="1">
      <alignment horizontal="center" vertical="center"/>
    </xf>
    <xf numFmtId="14" fontId="15" fillId="12" borderId="15" xfId="1" applyNumberFormat="1" applyFont="1" applyFill="1" applyBorder="1" applyAlignment="1">
      <alignment horizontal="center" vertical="center" wrapText="1"/>
    </xf>
    <xf numFmtId="14" fontId="10" fillId="12" borderId="9" xfId="1" applyNumberFormat="1" applyFont="1" applyFill="1" applyBorder="1" applyAlignment="1">
      <alignment horizontal="center" vertical="center"/>
    </xf>
    <xf numFmtId="14" fontId="6" fillId="12" borderId="9" xfId="1" applyNumberFormat="1" applyFont="1" applyFill="1" applyBorder="1" applyAlignment="1">
      <alignment horizontal="center" vertical="center" wrapText="1"/>
    </xf>
    <xf numFmtId="14" fontId="10" fillId="12" borderId="9" xfId="1" applyNumberFormat="1" applyFont="1" applyFill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/>
    </xf>
    <xf numFmtId="14" fontId="10" fillId="0" borderId="7" xfId="1" applyNumberFormat="1" applyFont="1" applyBorder="1" applyAlignment="1">
      <alignment horizontal="center" vertical="center" wrapText="1"/>
    </xf>
    <xf numFmtId="14" fontId="6" fillId="0" borderId="23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12" borderId="2" xfId="0" applyFill="1" applyBorder="1">
      <alignment vertical="center"/>
    </xf>
    <xf numFmtId="0" fontId="0" fillId="11" borderId="2" xfId="0" applyFill="1" applyBorder="1">
      <alignment vertical="center"/>
    </xf>
    <xf numFmtId="0" fontId="0" fillId="9" borderId="2" xfId="0" applyFill="1" applyBorder="1">
      <alignment vertical="center"/>
    </xf>
    <xf numFmtId="0" fontId="0" fillId="8" borderId="2" xfId="0" applyFill="1" applyBorder="1">
      <alignment vertical="center"/>
    </xf>
    <xf numFmtId="14" fontId="4" fillId="9" borderId="7" xfId="1" applyNumberFormat="1" applyFont="1" applyFill="1" applyBorder="1" applyAlignment="1">
      <alignment horizontal="center" vertical="center"/>
    </xf>
    <xf numFmtId="14" fontId="6" fillId="9" borderId="2" xfId="0" applyNumberFormat="1" applyFont="1" applyFill="1" applyBorder="1" applyAlignment="1">
      <alignment horizontal="center" vertical="center"/>
    </xf>
    <xf numFmtId="14" fontId="10" fillId="11" borderId="7" xfId="1" applyNumberFormat="1" applyFont="1" applyFill="1" applyBorder="1" applyAlignment="1">
      <alignment horizontal="center" vertical="center" wrapText="1"/>
    </xf>
    <xf numFmtId="14" fontId="4" fillId="0" borderId="14" xfId="0" applyNumberFormat="1" applyFont="1" applyBorder="1" applyAlignment="1">
      <alignment horizontal="center" vertical="center"/>
    </xf>
    <xf numFmtId="14" fontId="4" fillId="11" borderId="14" xfId="0" applyNumberFormat="1" applyFont="1" applyFill="1" applyBorder="1" applyAlignment="1">
      <alignment horizontal="center" vertical="center"/>
    </xf>
    <xf numFmtId="14" fontId="6" fillId="12" borderId="21" xfId="0" applyNumberFormat="1" applyFont="1" applyFill="1" applyBorder="1" applyAlignment="1">
      <alignment horizontal="center" vertical="center"/>
    </xf>
    <xf numFmtId="14" fontId="6" fillId="12" borderId="22" xfId="0" applyNumberFormat="1" applyFont="1" applyFill="1" applyBorder="1" applyAlignment="1">
      <alignment horizontal="center" vertical="center"/>
    </xf>
    <xf numFmtId="14" fontId="10" fillId="12" borderId="18" xfId="1" applyNumberFormat="1" applyFont="1" applyFill="1" applyBorder="1" applyAlignment="1">
      <alignment horizontal="center" vertical="center" wrapText="1"/>
    </xf>
    <xf numFmtId="14" fontId="6" fillId="12" borderId="8" xfId="0" applyNumberFormat="1" applyFont="1" applyFill="1" applyBorder="1" applyAlignment="1">
      <alignment horizontal="center" vertical="center"/>
    </xf>
    <xf numFmtId="14" fontId="10" fillId="12" borderId="7" xfId="1" applyNumberFormat="1" applyFont="1" applyFill="1" applyBorder="1" applyAlignment="1">
      <alignment horizontal="center" vertical="center" wrapText="1"/>
    </xf>
    <xf numFmtId="14" fontId="6" fillId="12" borderId="23" xfId="0" applyNumberFormat="1" applyFont="1" applyFill="1" applyBorder="1" applyAlignment="1">
      <alignment horizontal="center" vertical="center"/>
    </xf>
    <xf numFmtId="14" fontId="4" fillId="12" borderId="14" xfId="0" applyNumberFormat="1" applyFont="1" applyFill="1" applyBorder="1" applyAlignment="1">
      <alignment horizontal="center" vertical="center"/>
    </xf>
    <xf numFmtId="14" fontId="24" fillId="0" borderId="2" xfId="1" applyNumberFormat="1" applyFont="1" applyBorder="1" applyAlignment="1">
      <alignment horizontal="center" vertical="center" wrapText="1"/>
    </xf>
    <xf numFmtId="14" fontId="24" fillId="0" borderId="10" xfId="1" applyNumberFormat="1" applyFont="1" applyBorder="1" applyAlignment="1">
      <alignment horizontal="center" vertical="center" wrapText="1"/>
    </xf>
    <xf numFmtId="14" fontId="25" fillId="11" borderId="15" xfId="1" applyNumberFormat="1" applyFont="1" applyFill="1" applyBorder="1" applyAlignment="1">
      <alignment horizontal="center" vertical="center" wrapText="1"/>
    </xf>
    <xf numFmtId="14" fontId="25" fillId="0" borderId="7" xfId="1" applyNumberFormat="1" applyFont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14" fontId="4" fillId="0" borderId="3" xfId="1" applyNumberFormat="1" applyFont="1" applyBorder="1" applyAlignment="1">
      <alignment horizontal="center" vertical="center"/>
    </xf>
    <xf numFmtId="14" fontId="4" fillId="0" borderId="4" xfId="1" applyNumberFormat="1" applyFont="1" applyBorder="1" applyAlignment="1">
      <alignment horizontal="center" vertical="center" wrapText="1"/>
    </xf>
    <xf numFmtId="14" fontId="4" fillId="0" borderId="33" xfId="1" applyNumberFormat="1" applyFont="1" applyBorder="1" applyAlignment="1">
      <alignment horizontal="center" vertical="center" wrapText="1"/>
    </xf>
    <xf numFmtId="14" fontId="4" fillId="0" borderId="4" xfId="1" applyNumberFormat="1" applyFont="1" applyBorder="1" applyAlignment="1">
      <alignment horizontal="center" vertical="center"/>
    </xf>
    <xf numFmtId="14" fontId="4" fillId="0" borderId="23" xfId="1" applyNumberFormat="1" applyFont="1" applyBorder="1" applyAlignment="1">
      <alignment horizontal="center" vertical="center" wrapText="1"/>
    </xf>
    <xf numFmtId="14" fontId="4" fillId="0" borderId="1" xfId="1" applyNumberFormat="1" applyFont="1" applyBorder="1" applyAlignment="1">
      <alignment horizontal="center" vertical="center" wrapText="1"/>
    </xf>
    <xf numFmtId="14" fontId="4" fillId="0" borderId="8" xfId="1" applyNumberFormat="1" applyFont="1" applyBorder="1" applyAlignment="1">
      <alignment horizontal="center" vertical="center" wrapText="1"/>
    </xf>
    <xf numFmtId="14" fontId="26" fillId="0" borderId="0" xfId="0" applyNumberFormat="1" applyFont="1" applyAlignment="1">
      <alignment horizontal="center" vertical="center"/>
    </xf>
    <xf numFmtId="14" fontId="26" fillId="0" borderId="4" xfId="1" applyNumberFormat="1" applyFont="1" applyBorder="1" applyAlignment="1">
      <alignment horizontal="center" vertical="center" wrapText="1"/>
    </xf>
    <xf numFmtId="14" fontId="26" fillId="0" borderId="4" xfId="1" applyNumberFormat="1" applyFont="1" applyBorder="1" applyAlignment="1">
      <alignment horizontal="center" vertical="center"/>
    </xf>
    <xf numFmtId="14" fontId="26" fillId="0" borderId="3" xfId="1" applyNumberFormat="1" applyFont="1" applyBorder="1" applyAlignment="1">
      <alignment horizontal="center" vertical="center"/>
    </xf>
    <xf numFmtId="14" fontId="26" fillId="11" borderId="0" xfId="0" applyNumberFormat="1" applyFont="1" applyFill="1" applyAlignment="1">
      <alignment horizontal="center" vertical="center"/>
    </xf>
    <xf numFmtId="14" fontId="26" fillId="11" borderId="4" xfId="1" applyNumberFormat="1" applyFont="1" applyFill="1" applyBorder="1" applyAlignment="1">
      <alignment horizontal="center" vertical="center" wrapText="1"/>
    </xf>
    <xf numFmtId="14" fontId="26" fillId="11" borderId="4" xfId="1" applyNumberFormat="1" applyFont="1" applyFill="1" applyBorder="1" applyAlignment="1">
      <alignment horizontal="center" vertical="center"/>
    </xf>
    <xf numFmtId="14" fontId="26" fillId="11" borderId="3" xfId="1" applyNumberFormat="1" applyFont="1" applyFill="1" applyBorder="1" applyAlignment="1">
      <alignment horizontal="center" vertical="center"/>
    </xf>
    <xf numFmtId="14" fontId="26" fillId="11" borderId="1" xfId="0" applyNumberFormat="1" applyFont="1" applyFill="1" applyBorder="1" applyAlignment="1">
      <alignment horizontal="center" vertical="center"/>
    </xf>
    <xf numFmtId="14" fontId="26" fillId="11" borderId="7" xfId="1" applyNumberFormat="1" applyFont="1" applyFill="1" applyBorder="1" applyAlignment="1">
      <alignment horizontal="center" vertical="center" wrapText="1"/>
    </xf>
    <xf numFmtId="14" fontId="26" fillId="11" borderId="2" xfId="1" applyNumberFormat="1" applyFont="1" applyFill="1" applyBorder="1" applyAlignment="1">
      <alignment horizontal="center" vertical="center" wrapText="1"/>
    </xf>
    <xf numFmtId="14" fontId="26" fillId="11" borderId="1" xfId="1" applyNumberFormat="1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14" fontId="26" fillId="12" borderId="0" xfId="0" applyNumberFormat="1" applyFont="1" applyFill="1" applyAlignment="1">
      <alignment horizontal="center" vertical="center"/>
    </xf>
    <xf numFmtId="14" fontId="26" fillId="12" borderId="4" xfId="1" applyNumberFormat="1" applyFont="1" applyFill="1" applyBorder="1" applyAlignment="1">
      <alignment horizontal="center" vertical="center" wrapText="1"/>
    </xf>
    <xf numFmtId="14" fontId="26" fillId="12" borderId="4" xfId="1" applyNumberFormat="1" applyFont="1" applyFill="1" applyBorder="1" applyAlignment="1">
      <alignment horizontal="center" vertical="center"/>
    </xf>
    <xf numFmtId="14" fontId="26" fillId="12" borderId="3" xfId="1" applyNumberFormat="1" applyFont="1" applyFill="1" applyBorder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14" fontId="27" fillId="11" borderId="0" xfId="0" applyNumberFormat="1" applyFont="1" applyFill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14" fontId="10" fillId="0" borderId="33" xfId="1" applyNumberFormat="1" applyFont="1" applyBorder="1" applyAlignment="1">
      <alignment horizontal="center" vertical="center" wrapText="1"/>
    </xf>
    <xf numFmtId="14" fontId="6" fillId="11" borderId="3" xfId="0" applyNumberFormat="1" applyFont="1" applyFill="1" applyBorder="1" applyAlignment="1">
      <alignment horizontal="center" vertical="center"/>
    </xf>
    <xf numFmtId="14" fontId="4" fillId="11" borderId="7" xfId="0" applyNumberFormat="1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14" fontId="6" fillId="12" borderId="7" xfId="0" applyNumberFormat="1" applyFont="1" applyFill="1" applyBorder="1" applyAlignment="1">
      <alignment horizontal="center" vertical="center"/>
    </xf>
    <xf numFmtId="14" fontId="27" fillId="0" borderId="22" xfId="0" applyNumberFormat="1" applyFont="1" applyBorder="1" applyAlignment="1">
      <alignment horizontal="center" vertical="center"/>
    </xf>
    <xf numFmtId="14" fontId="6" fillId="11" borderId="11" xfId="0" applyNumberFormat="1" applyFont="1" applyFill="1" applyBorder="1" applyAlignment="1">
      <alignment horizontal="center" vertical="center"/>
    </xf>
    <xf numFmtId="14" fontId="6" fillId="11" borderId="7" xfId="0" applyNumberFormat="1" applyFont="1" applyFill="1" applyBorder="1" applyAlignment="1">
      <alignment horizontal="center" vertical="center"/>
    </xf>
    <xf numFmtId="14" fontId="6" fillId="11" borderId="4" xfId="0" applyNumberFormat="1" applyFont="1" applyFill="1" applyBorder="1" applyAlignment="1">
      <alignment horizontal="center" vertical="center"/>
    </xf>
    <xf numFmtId="14" fontId="24" fillId="11" borderId="10" xfId="1" applyNumberFormat="1" applyFont="1" applyFill="1" applyBorder="1" applyAlignment="1">
      <alignment horizontal="center" vertical="center" wrapText="1"/>
    </xf>
    <xf numFmtId="0" fontId="6" fillId="11" borderId="3" xfId="0" applyFont="1" applyFill="1" applyBorder="1">
      <alignment vertical="center"/>
    </xf>
    <xf numFmtId="14" fontId="4" fillId="11" borderId="25" xfId="0" applyNumberFormat="1" applyFont="1" applyFill="1" applyBorder="1" applyAlignment="1">
      <alignment horizontal="center" vertical="center"/>
    </xf>
    <xf numFmtId="14" fontId="5" fillId="11" borderId="26" xfId="0" applyNumberFormat="1" applyFont="1" applyFill="1" applyBorder="1" applyAlignment="1">
      <alignment horizontal="center" vertical="center"/>
    </xf>
    <xf numFmtId="0" fontId="6" fillId="11" borderId="7" xfId="0" applyFont="1" applyFill="1" applyBorder="1">
      <alignment vertical="center"/>
    </xf>
    <xf numFmtId="14" fontId="27" fillId="12" borderId="0" xfId="0" applyNumberFormat="1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left" vertical="center"/>
    </xf>
    <xf numFmtId="0" fontId="28" fillId="0" borderId="2" xfId="0" applyFont="1" applyBorder="1" applyAlignment="1">
      <alignment horizontal="center" vertical="center"/>
    </xf>
    <xf numFmtId="14" fontId="29" fillId="0" borderId="0" xfId="1" applyNumberFormat="1" applyFont="1" applyAlignment="1">
      <alignment horizontal="center" vertical="center"/>
    </xf>
    <xf numFmtId="14" fontId="4" fillId="11" borderId="26" xfId="0" applyNumberFormat="1" applyFont="1" applyFill="1" applyBorder="1" applyAlignment="1">
      <alignment horizontal="center" vertical="center"/>
    </xf>
    <xf numFmtId="14" fontId="4" fillId="11" borderId="10" xfId="0" applyNumberFormat="1" applyFont="1" applyFill="1" applyBorder="1" applyAlignment="1">
      <alignment horizontal="center" vertical="center"/>
    </xf>
    <xf numFmtId="14" fontId="30" fillId="11" borderId="10" xfId="1" applyNumberFormat="1" applyFont="1" applyFill="1" applyBorder="1" applyAlignment="1">
      <alignment horizontal="center" vertical="center" wrapText="1"/>
    </xf>
    <xf numFmtId="14" fontId="24" fillId="12" borderId="7" xfId="1" applyNumberFormat="1" applyFont="1" applyFill="1" applyBorder="1" applyAlignment="1">
      <alignment horizontal="center" vertical="center" wrapText="1"/>
    </xf>
    <xf numFmtId="14" fontId="27" fillId="12" borderId="22" xfId="0" applyNumberFormat="1" applyFont="1" applyFill="1" applyBorder="1" applyAlignment="1">
      <alignment horizontal="center" vertical="center"/>
    </xf>
    <xf numFmtId="14" fontId="24" fillId="0" borderId="7" xfId="1" applyNumberFormat="1" applyFont="1" applyBorder="1" applyAlignment="1">
      <alignment horizontal="center" vertical="center" wrapText="1"/>
    </xf>
    <xf numFmtId="14" fontId="10" fillId="11" borderId="3" xfId="1" applyNumberFormat="1" applyFont="1" applyFill="1" applyBorder="1" applyAlignment="1">
      <alignment horizontal="center" vertical="center" wrapText="1"/>
    </xf>
    <xf numFmtId="14" fontId="10" fillId="11" borderId="30" xfId="1" applyNumberFormat="1" applyFont="1" applyFill="1" applyBorder="1" applyAlignment="1">
      <alignment horizontal="center" vertical="center"/>
    </xf>
    <xf numFmtId="14" fontId="4" fillId="11" borderId="0" xfId="0" applyNumberFormat="1" applyFont="1" applyFill="1" applyAlignment="1">
      <alignment horizontal="center" vertical="center" wrapText="1"/>
    </xf>
    <xf numFmtId="14" fontId="4" fillId="11" borderId="6" xfId="1" applyNumberFormat="1" applyFont="1" applyFill="1" applyBorder="1" applyAlignment="1">
      <alignment horizontal="center" vertical="center"/>
    </xf>
    <xf numFmtId="14" fontId="4" fillId="11" borderId="8" xfId="1" applyNumberFormat="1" applyFont="1" applyFill="1" applyBorder="1" applyAlignment="1">
      <alignment horizontal="center" vertical="center"/>
    </xf>
    <xf numFmtId="14" fontId="24" fillId="0" borderId="23" xfId="1" applyNumberFormat="1" applyFont="1" applyBorder="1" applyAlignment="1">
      <alignment horizontal="center" vertical="center" wrapText="1"/>
    </xf>
    <xf numFmtId="14" fontId="4" fillId="11" borderId="13" xfId="1" applyNumberFormat="1" applyFont="1" applyFill="1" applyBorder="1" applyAlignment="1">
      <alignment horizontal="center" vertical="center"/>
    </xf>
    <xf numFmtId="14" fontId="11" fillId="11" borderId="19" xfId="1" applyNumberFormat="1" applyFont="1" applyFill="1" applyBorder="1" applyAlignment="1">
      <alignment horizontal="center" vertical="center" wrapText="1"/>
    </xf>
    <xf numFmtId="14" fontId="6" fillId="11" borderId="13" xfId="1" applyNumberFormat="1" applyFont="1" applyFill="1" applyBorder="1" applyAlignment="1">
      <alignment horizontal="center" vertical="center" wrapText="1"/>
    </xf>
    <xf numFmtId="14" fontId="6" fillId="0" borderId="13" xfId="1" applyNumberFormat="1" applyFont="1" applyBorder="1" applyAlignment="1">
      <alignment horizontal="center" vertical="center" wrapText="1"/>
    </xf>
    <xf numFmtId="14" fontId="27" fillId="14" borderId="0" xfId="0" applyNumberFormat="1" applyFont="1" applyFill="1" applyAlignment="1">
      <alignment horizontal="center" vertical="center"/>
    </xf>
    <xf numFmtId="0" fontId="6" fillId="14" borderId="0" xfId="0" applyFont="1" applyFill="1">
      <alignment vertical="center"/>
    </xf>
    <xf numFmtId="14" fontId="27" fillId="14" borderId="1" xfId="0" applyNumberFormat="1" applyFont="1" applyFill="1" applyBorder="1" applyAlignment="1">
      <alignment horizontal="center" vertical="center"/>
    </xf>
    <xf numFmtId="14" fontId="27" fillId="12" borderId="1" xfId="0" applyNumberFormat="1" applyFont="1" applyFill="1" applyBorder="1" applyAlignment="1">
      <alignment horizontal="center" vertical="center"/>
    </xf>
    <xf numFmtId="14" fontId="27" fillId="12" borderId="4" xfId="0" applyNumberFormat="1" applyFont="1" applyFill="1" applyBorder="1" applyAlignment="1">
      <alignment horizontal="center" vertical="center"/>
    </xf>
    <xf numFmtId="14" fontId="27" fillId="12" borderId="7" xfId="0" applyNumberFormat="1" applyFont="1" applyFill="1" applyBorder="1" applyAlignment="1">
      <alignment horizontal="center" vertical="center"/>
    </xf>
    <xf numFmtId="14" fontId="27" fillId="11" borderId="1" xfId="0" applyNumberFormat="1" applyFont="1" applyFill="1" applyBorder="1" applyAlignment="1">
      <alignment horizontal="center" vertical="center"/>
    </xf>
    <xf numFmtId="14" fontId="27" fillId="11" borderId="4" xfId="0" applyNumberFormat="1" applyFont="1" applyFill="1" applyBorder="1" applyAlignment="1">
      <alignment horizontal="center" vertical="center"/>
    </xf>
    <xf numFmtId="14" fontId="27" fillId="11" borderId="7" xfId="0" applyNumberFormat="1" applyFont="1" applyFill="1" applyBorder="1" applyAlignment="1">
      <alignment horizontal="center" vertical="center"/>
    </xf>
    <xf numFmtId="14" fontId="24" fillId="0" borderId="15" xfId="1" applyNumberFormat="1" applyFont="1" applyBorder="1" applyAlignment="1">
      <alignment horizontal="center" vertical="center" wrapText="1"/>
    </xf>
    <xf numFmtId="14" fontId="4" fillId="0" borderId="27" xfId="0" applyNumberFormat="1" applyFont="1" applyBorder="1" applyAlignment="1">
      <alignment horizontal="center" vertical="center"/>
    </xf>
    <xf numFmtId="14" fontId="4" fillId="0" borderId="32" xfId="0" applyNumberFormat="1" applyFont="1" applyBorder="1" applyAlignment="1">
      <alignment horizontal="center" vertical="center"/>
    </xf>
    <xf numFmtId="14" fontId="25" fillId="12" borderId="15" xfId="1" applyNumberFormat="1" applyFont="1" applyFill="1" applyBorder="1" applyAlignment="1">
      <alignment horizontal="center" vertical="center" wrapText="1"/>
    </xf>
    <xf numFmtId="14" fontId="4" fillId="12" borderId="1" xfId="1" applyNumberFormat="1" applyFont="1" applyFill="1" applyBorder="1" applyAlignment="1">
      <alignment horizontal="center" vertical="center"/>
    </xf>
    <xf numFmtId="0" fontId="4" fillId="11" borderId="0" xfId="0" applyFont="1" applyFill="1">
      <alignment vertical="center"/>
    </xf>
    <xf numFmtId="14" fontId="4" fillId="12" borderId="11" xfId="0" applyNumberFormat="1" applyFont="1" applyFill="1" applyBorder="1" applyAlignment="1">
      <alignment horizontal="center" vertical="center"/>
    </xf>
    <xf numFmtId="14" fontId="4" fillId="12" borderId="10" xfId="0" applyNumberFormat="1" applyFont="1" applyFill="1" applyBorder="1" applyAlignment="1">
      <alignment horizontal="center" vertical="center"/>
    </xf>
    <xf numFmtId="14" fontId="10" fillId="8" borderId="4" xfId="1" applyNumberFormat="1" applyFont="1" applyFill="1" applyBorder="1" applyAlignment="1">
      <alignment horizontal="center" vertical="center"/>
    </xf>
    <xf numFmtId="14" fontId="6" fillId="8" borderId="4" xfId="1" applyNumberFormat="1" applyFont="1" applyFill="1" applyBorder="1" applyAlignment="1">
      <alignment horizontal="center" vertical="center" wrapText="1"/>
    </xf>
    <xf numFmtId="14" fontId="15" fillId="8" borderId="7" xfId="1" applyNumberFormat="1" applyFont="1" applyFill="1" applyBorder="1" applyAlignment="1">
      <alignment horizontal="center" vertical="center" wrapText="1"/>
    </xf>
    <xf numFmtId="14" fontId="4" fillId="12" borderId="9" xfId="1" applyNumberFormat="1" applyFont="1" applyFill="1" applyBorder="1" applyAlignment="1">
      <alignment horizontal="center" vertical="center" wrapText="1"/>
    </xf>
    <xf numFmtId="14" fontId="4" fillId="12" borderId="9" xfId="1" applyNumberFormat="1" applyFont="1" applyFill="1" applyBorder="1" applyAlignment="1">
      <alignment horizontal="center" vertical="center"/>
    </xf>
    <xf numFmtId="14" fontId="5" fillId="12" borderId="15" xfId="1" applyNumberFormat="1" applyFont="1" applyFill="1" applyBorder="1" applyAlignment="1">
      <alignment horizontal="center" vertical="center" wrapText="1"/>
    </xf>
    <xf numFmtId="14" fontId="24" fillId="12" borderId="15" xfId="1" applyNumberFormat="1" applyFont="1" applyFill="1" applyBorder="1" applyAlignment="1">
      <alignment horizontal="center" vertical="center" wrapText="1"/>
    </xf>
    <xf numFmtId="14" fontId="26" fillId="0" borderId="9" xfId="1" applyNumberFormat="1" applyFont="1" applyBorder="1" applyAlignment="1">
      <alignment horizontal="center" vertical="center" wrapText="1"/>
    </xf>
    <xf numFmtId="14" fontId="26" fillId="0" borderId="9" xfId="1" applyNumberFormat="1" applyFont="1" applyBorder="1" applyAlignment="1">
      <alignment horizontal="center" vertical="center"/>
    </xf>
    <xf numFmtId="14" fontId="26" fillId="0" borderId="13" xfId="1" applyNumberFormat="1" applyFont="1" applyBorder="1" applyAlignment="1">
      <alignment horizontal="center" vertical="center" wrapText="1"/>
    </xf>
    <xf numFmtId="14" fontId="26" fillId="12" borderId="9" xfId="1" applyNumberFormat="1" applyFont="1" applyFill="1" applyBorder="1" applyAlignment="1">
      <alignment horizontal="center" vertical="center" wrapText="1"/>
    </xf>
    <xf numFmtId="14" fontId="26" fillId="12" borderId="9" xfId="1" applyNumberFormat="1" applyFont="1" applyFill="1" applyBorder="1" applyAlignment="1">
      <alignment horizontal="center" vertical="center"/>
    </xf>
    <xf numFmtId="14" fontId="27" fillId="11" borderId="22" xfId="0" applyNumberFormat="1" applyFont="1" applyFill="1" applyBorder="1" applyAlignment="1">
      <alignment horizontal="center" vertical="center"/>
    </xf>
    <xf numFmtId="14" fontId="4" fillId="11" borderId="22" xfId="1" applyNumberFormat="1" applyFont="1" applyFill="1" applyBorder="1" applyAlignment="1">
      <alignment horizontal="center" vertical="center"/>
    </xf>
    <xf numFmtId="14" fontId="6" fillId="11" borderId="36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14" fontId="6" fillId="0" borderId="7" xfId="1" applyNumberFormat="1" applyFont="1" applyFill="1" applyBorder="1" applyAlignment="1">
      <alignment horizontal="center" vertical="center" wrapText="1"/>
    </xf>
    <xf numFmtId="14" fontId="4" fillId="8" borderId="12" xfId="1" applyNumberFormat="1" applyFont="1" applyFill="1" applyBorder="1" applyAlignment="1">
      <alignment horizontal="center" vertical="center" wrapText="1"/>
    </xf>
    <xf numFmtId="14" fontId="4" fillId="0" borderId="14" xfId="0" applyNumberFormat="1" applyFont="1" applyFill="1" applyBorder="1" applyAlignment="1">
      <alignment horizontal="center" vertical="center"/>
    </xf>
    <xf numFmtId="14" fontId="4" fillId="0" borderId="15" xfId="1" applyNumberFormat="1" applyFont="1" applyFill="1" applyBorder="1" applyAlignment="1">
      <alignment horizontal="center" vertical="center" wrapText="1"/>
    </xf>
    <xf numFmtId="14" fontId="4" fillId="12" borderId="1" xfId="0" applyNumberFormat="1" applyFont="1" applyFill="1" applyBorder="1" applyAlignment="1">
      <alignment horizontal="center" vertical="center" wrapText="1"/>
    </xf>
    <xf numFmtId="14" fontId="4" fillId="0" borderId="9" xfId="1" applyNumberFormat="1" applyFont="1" applyFill="1" applyBorder="1" applyAlignment="1">
      <alignment horizontal="center" vertical="center" wrapText="1"/>
    </xf>
    <xf numFmtId="14" fontId="26" fillId="0" borderId="0" xfId="0" applyNumberFormat="1" applyFont="1" applyFill="1" applyAlignment="1">
      <alignment horizontal="center" vertical="center"/>
    </xf>
    <xf numFmtId="14" fontId="26" fillId="0" borderId="9" xfId="1" applyNumberFormat="1" applyFont="1" applyFill="1" applyBorder="1" applyAlignment="1">
      <alignment horizontal="center" vertical="center" wrapText="1"/>
    </xf>
    <xf numFmtId="14" fontId="26" fillId="0" borderId="9" xfId="1" applyNumberFormat="1" applyFont="1" applyFill="1" applyBorder="1" applyAlignment="1">
      <alignment horizontal="center" vertical="center"/>
    </xf>
    <xf numFmtId="14" fontId="26" fillId="0" borderId="13" xfId="1" applyNumberFormat="1" applyFont="1" applyFill="1" applyBorder="1" applyAlignment="1">
      <alignment horizontal="center" vertical="center" wrapText="1"/>
    </xf>
    <xf numFmtId="14" fontId="4" fillId="0" borderId="13" xfId="1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14" fontId="4" fillId="0" borderId="10" xfId="1" applyNumberFormat="1" applyFont="1" applyFill="1" applyBorder="1" applyAlignment="1">
      <alignment horizontal="center" vertical="center" wrapText="1"/>
    </xf>
    <xf numFmtId="14" fontId="4" fillId="0" borderId="14" xfId="1" applyNumberFormat="1" applyFont="1" applyFill="1" applyBorder="1" applyAlignment="1">
      <alignment horizontal="center" vertical="center" wrapText="1"/>
    </xf>
    <xf numFmtId="14" fontId="5" fillId="0" borderId="15" xfId="1" applyNumberFormat="1" applyFont="1" applyFill="1" applyBorder="1" applyAlignment="1">
      <alignment horizontal="center" vertical="center" wrapText="1"/>
    </xf>
    <xf numFmtId="14" fontId="4" fillId="0" borderId="12" xfId="1" applyNumberFormat="1" applyFont="1" applyFill="1" applyBorder="1" applyAlignment="1">
      <alignment horizontal="center" vertical="center" wrapText="1"/>
    </xf>
    <xf numFmtId="14" fontId="4" fillId="0" borderId="7" xfId="1" applyNumberFormat="1" applyFont="1" applyFill="1" applyBorder="1" applyAlignment="1">
      <alignment horizontal="center" vertical="center" wrapText="1"/>
    </xf>
    <xf numFmtId="14" fontId="4" fillId="0" borderId="2" xfId="1" applyNumberFormat="1" applyFont="1" applyFill="1" applyBorder="1" applyAlignment="1">
      <alignment horizontal="center" vertical="center"/>
    </xf>
    <xf numFmtId="14" fontId="4" fillId="0" borderId="7" xfId="1" applyNumberFormat="1" applyFont="1" applyBorder="1" applyAlignment="1">
      <alignment horizontal="center" vertical="center" wrapText="1"/>
    </xf>
    <xf numFmtId="14" fontId="6" fillId="0" borderId="7" xfId="1" applyNumberFormat="1" applyFont="1" applyBorder="1" applyAlignment="1">
      <alignment horizontal="center" vertical="center" wrapText="1"/>
    </xf>
    <xf numFmtId="14" fontId="4" fillId="0" borderId="2" xfId="1" applyNumberFormat="1" applyFont="1" applyBorder="1" applyAlignment="1">
      <alignment horizontal="center" vertical="center" wrapText="1"/>
    </xf>
    <xf numFmtId="14" fontId="4" fillId="0" borderId="2" xfId="1" applyNumberFormat="1" applyFont="1" applyBorder="1" applyAlignment="1">
      <alignment horizontal="center" vertical="center"/>
    </xf>
    <xf numFmtId="14" fontId="4" fillId="12" borderId="7" xfId="1" applyNumberFormat="1" applyFont="1" applyFill="1" applyBorder="1" applyAlignment="1">
      <alignment horizontal="center" vertical="center" wrapText="1"/>
    </xf>
    <xf numFmtId="14" fontId="4" fillId="11" borderId="7" xfId="1" applyNumberFormat="1" applyFont="1" applyFill="1" applyBorder="1" applyAlignment="1">
      <alignment horizontal="center" vertical="center" wrapText="1"/>
    </xf>
    <xf numFmtId="14" fontId="6" fillId="11" borderId="3" xfId="1" applyNumberFormat="1" applyFont="1" applyFill="1" applyBorder="1" applyAlignment="1">
      <alignment horizontal="center" vertical="center" wrapText="1"/>
    </xf>
    <xf numFmtId="14" fontId="6" fillId="11" borderId="7" xfId="1" applyNumberFormat="1" applyFont="1" applyFill="1" applyBorder="1" applyAlignment="1">
      <alignment horizontal="center" vertical="center" wrapText="1"/>
    </xf>
    <xf numFmtId="14" fontId="4" fillId="11" borderId="2" xfId="1" applyNumberFormat="1" applyFont="1" applyFill="1" applyBorder="1" applyAlignment="1">
      <alignment horizontal="center" vertical="center" wrapText="1"/>
    </xf>
    <xf numFmtId="14" fontId="4" fillId="11" borderId="2" xfId="1" applyNumberFormat="1" applyFont="1" applyFill="1" applyBorder="1" applyAlignment="1">
      <alignment horizontal="center" vertical="center"/>
    </xf>
    <xf numFmtId="14" fontId="6" fillId="12" borderId="7" xfId="1" applyNumberFormat="1" applyFont="1" applyFill="1" applyBorder="1" applyAlignment="1">
      <alignment horizontal="center" vertical="center" wrapText="1"/>
    </xf>
    <xf numFmtId="14" fontId="4" fillId="11" borderId="7" xfId="1" applyNumberFormat="1" applyFont="1" applyFill="1" applyBorder="1" applyAlignment="1">
      <alignment horizontal="center" vertical="center"/>
    </xf>
    <xf numFmtId="14" fontId="4" fillId="11" borderId="3" xfId="1" applyNumberFormat="1" applyFont="1" applyFill="1" applyBorder="1" applyAlignment="1">
      <alignment horizontal="center" vertical="center"/>
    </xf>
    <xf numFmtId="14" fontId="4" fillId="11" borderId="15" xfId="1" applyNumberFormat="1" applyFont="1" applyFill="1" applyBorder="1" applyAlignment="1">
      <alignment horizontal="center" vertical="center" wrapText="1"/>
    </xf>
    <xf numFmtId="14" fontId="4" fillId="11" borderId="12" xfId="1" applyNumberFormat="1" applyFont="1" applyFill="1" applyBorder="1" applyAlignment="1">
      <alignment horizontal="center" vertical="center" wrapText="1"/>
    </xf>
    <xf numFmtId="14" fontId="11" fillId="11" borderId="2" xfId="1" applyNumberFormat="1" applyFont="1" applyFill="1" applyBorder="1" applyAlignment="1">
      <alignment horizontal="center" vertical="center" wrapText="1"/>
    </xf>
    <xf numFmtId="14" fontId="4" fillId="8" borderId="7" xfId="1" applyNumberFormat="1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14" fontId="4" fillId="0" borderId="2" xfId="1" applyNumberFormat="1" applyFont="1" applyBorder="1" applyAlignment="1">
      <alignment horizontal="center" vertical="center"/>
    </xf>
    <xf numFmtId="14" fontId="4" fillId="0" borderId="2" xfId="1" applyNumberFormat="1" applyFont="1" applyBorder="1" applyAlignment="1">
      <alignment horizontal="center" vertical="center" wrapText="1"/>
    </xf>
    <xf numFmtId="14" fontId="4" fillId="11" borderId="3" xfId="1" applyNumberFormat="1" applyFont="1" applyFill="1" applyBorder="1" applyAlignment="1">
      <alignment horizontal="center" vertical="center" wrapText="1"/>
    </xf>
    <xf numFmtId="14" fontId="4" fillId="11" borderId="7" xfId="1" applyNumberFormat="1" applyFont="1" applyFill="1" applyBorder="1" applyAlignment="1">
      <alignment horizontal="center" vertical="center" wrapText="1"/>
    </xf>
    <xf numFmtId="14" fontId="6" fillId="11" borderId="3" xfId="1" applyNumberFormat="1" applyFont="1" applyFill="1" applyBorder="1" applyAlignment="1">
      <alignment horizontal="center" vertical="center" wrapText="1"/>
    </xf>
    <xf numFmtId="14" fontId="6" fillId="11" borderId="7" xfId="1" applyNumberFormat="1" applyFont="1" applyFill="1" applyBorder="1" applyAlignment="1">
      <alignment horizontal="center" vertical="center" wrapText="1"/>
    </xf>
    <xf numFmtId="14" fontId="4" fillId="11" borderId="2" xfId="1" applyNumberFormat="1" applyFont="1" applyFill="1" applyBorder="1" applyAlignment="1">
      <alignment horizontal="center" vertical="center" wrapText="1"/>
    </xf>
    <xf numFmtId="14" fontId="4" fillId="11" borderId="2" xfId="1" applyNumberFormat="1" applyFont="1" applyFill="1" applyBorder="1" applyAlignment="1">
      <alignment horizontal="center" vertical="center"/>
    </xf>
    <xf numFmtId="164" fontId="4" fillId="0" borderId="3" xfId="1" applyNumberFormat="1" applyFont="1" applyBorder="1" applyAlignment="1">
      <alignment horizontal="center" vertical="center" wrapText="1"/>
    </xf>
    <xf numFmtId="164" fontId="4" fillId="0" borderId="7" xfId="1" applyNumberFormat="1" applyFont="1" applyBorder="1" applyAlignment="1">
      <alignment horizontal="center" vertical="center" wrapText="1"/>
    </xf>
    <xf numFmtId="14" fontId="4" fillId="0" borderId="3" xfId="1" applyNumberFormat="1" applyFont="1" applyBorder="1" applyAlignment="1">
      <alignment horizontal="center" vertical="center" wrapText="1"/>
    </xf>
    <xf numFmtId="14" fontId="4" fillId="0" borderId="7" xfId="1" applyNumberFormat="1" applyFont="1" applyBorder="1" applyAlignment="1">
      <alignment horizontal="center" vertical="center" wrapText="1"/>
    </xf>
    <xf numFmtId="14" fontId="6" fillId="0" borderId="3" xfId="1" applyNumberFormat="1" applyFont="1" applyBorder="1" applyAlignment="1">
      <alignment horizontal="center" vertical="center" wrapText="1"/>
    </xf>
    <xf numFmtId="14" fontId="6" fillId="0" borderId="7" xfId="1" applyNumberFormat="1" applyFont="1" applyBorder="1" applyAlignment="1">
      <alignment horizontal="center" vertical="center" wrapText="1"/>
    </xf>
    <xf numFmtId="164" fontId="4" fillId="11" borderId="3" xfId="1" applyNumberFormat="1" applyFont="1" applyFill="1" applyBorder="1" applyAlignment="1">
      <alignment horizontal="center" vertical="center" wrapText="1"/>
    </xf>
    <xf numFmtId="164" fontId="4" fillId="11" borderId="7" xfId="1" applyNumberFormat="1" applyFont="1" applyFill="1" applyBorder="1" applyAlignment="1">
      <alignment horizontal="center" vertical="center" wrapText="1"/>
    </xf>
    <xf numFmtId="14" fontId="31" fillId="11" borderId="3" xfId="1" applyNumberFormat="1" applyFont="1" applyFill="1" applyBorder="1" applyAlignment="1">
      <alignment horizontal="center" vertical="center" wrapText="1"/>
    </xf>
    <xf numFmtId="14" fontId="32" fillId="11" borderId="7" xfId="1" applyNumberFormat="1" applyFont="1" applyFill="1" applyBorder="1" applyAlignment="1">
      <alignment horizontal="center" vertical="center" wrapText="1"/>
    </xf>
    <xf numFmtId="164" fontId="4" fillId="12" borderId="3" xfId="1" applyNumberFormat="1" applyFont="1" applyFill="1" applyBorder="1" applyAlignment="1">
      <alignment horizontal="center" vertical="center" wrapText="1"/>
    </xf>
    <xf numFmtId="164" fontId="4" fillId="12" borderId="7" xfId="1" applyNumberFormat="1" applyFont="1" applyFill="1" applyBorder="1" applyAlignment="1">
      <alignment horizontal="center" vertical="center" wrapText="1"/>
    </xf>
    <xf numFmtId="14" fontId="4" fillId="12" borderId="3" xfId="1" applyNumberFormat="1" applyFont="1" applyFill="1" applyBorder="1" applyAlignment="1">
      <alignment horizontal="center" vertical="center" wrapText="1"/>
    </xf>
    <xf numFmtId="14" fontId="4" fillId="12" borderId="7" xfId="1" applyNumberFormat="1" applyFont="1" applyFill="1" applyBorder="1" applyAlignment="1">
      <alignment horizontal="center" vertical="center" wrapText="1"/>
    </xf>
    <xf numFmtId="14" fontId="6" fillId="12" borderId="3" xfId="1" applyNumberFormat="1" applyFont="1" applyFill="1" applyBorder="1" applyAlignment="1">
      <alignment horizontal="center" vertical="center" wrapText="1"/>
    </xf>
    <xf numFmtId="14" fontId="6" fillId="12" borderId="7" xfId="1" applyNumberFormat="1" applyFont="1" applyFill="1" applyBorder="1" applyAlignment="1">
      <alignment horizontal="center" vertical="center" wrapText="1"/>
    </xf>
    <xf numFmtId="14" fontId="31" fillId="12" borderId="3" xfId="1" applyNumberFormat="1" applyFont="1" applyFill="1" applyBorder="1" applyAlignment="1">
      <alignment horizontal="center" vertical="center" wrapText="1"/>
    </xf>
    <xf numFmtId="14" fontId="32" fillId="12" borderId="7" xfId="1" applyNumberFormat="1" applyFont="1" applyFill="1" applyBorder="1" applyAlignment="1">
      <alignment horizontal="center" vertical="center" wrapText="1"/>
    </xf>
    <xf numFmtId="14" fontId="4" fillId="11" borderId="3" xfId="1" applyNumberFormat="1" applyFont="1" applyFill="1" applyBorder="1" applyAlignment="1">
      <alignment horizontal="center" vertical="center"/>
    </xf>
    <xf numFmtId="14" fontId="4" fillId="11" borderId="7" xfId="1" applyNumberFormat="1" applyFont="1" applyFill="1" applyBorder="1" applyAlignment="1">
      <alignment horizontal="center" vertical="center"/>
    </xf>
    <xf numFmtId="14" fontId="4" fillId="8" borderId="3" xfId="1" applyNumberFormat="1" applyFont="1" applyFill="1" applyBorder="1" applyAlignment="1">
      <alignment horizontal="center" vertical="center" wrapText="1"/>
    </xf>
    <xf numFmtId="14" fontId="4" fillId="8" borderId="7" xfId="1" applyNumberFormat="1" applyFont="1" applyFill="1" applyBorder="1" applyAlignment="1">
      <alignment horizontal="center" vertical="center" wrapText="1"/>
    </xf>
    <xf numFmtId="14" fontId="19" fillId="11" borderId="3" xfId="1" applyNumberFormat="1" applyFont="1" applyFill="1" applyBorder="1" applyAlignment="1">
      <alignment horizontal="center" vertical="center" wrapText="1"/>
    </xf>
    <xf numFmtId="14" fontId="19" fillId="11" borderId="7" xfId="1" applyNumberFormat="1" applyFont="1" applyFill="1" applyBorder="1" applyAlignment="1">
      <alignment horizontal="center" vertical="center" wrapText="1"/>
    </xf>
    <xf numFmtId="14" fontId="11" fillId="11" borderId="2" xfId="1" applyNumberFormat="1" applyFont="1" applyFill="1" applyBorder="1" applyAlignment="1">
      <alignment horizontal="center" vertical="center" wrapText="1"/>
    </xf>
    <xf numFmtId="14" fontId="11" fillId="11" borderId="14" xfId="1" applyNumberFormat="1" applyFont="1" applyFill="1" applyBorder="1" applyAlignment="1">
      <alignment horizontal="center" vertical="center"/>
    </xf>
    <xf numFmtId="14" fontId="11" fillId="11" borderId="15" xfId="1" applyNumberFormat="1" applyFont="1" applyFill="1" applyBorder="1" applyAlignment="1">
      <alignment horizontal="center" vertical="center"/>
    </xf>
    <xf numFmtId="14" fontId="11" fillId="11" borderId="12" xfId="1" applyNumberFormat="1" applyFont="1" applyFill="1" applyBorder="1" applyAlignment="1">
      <alignment horizontal="center" vertical="center"/>
    </xf>
    <xf numFmtId="14" fontId="11" fillId="11" borderId="14" xfId="1" applyNumberFormat="1" applyFont="1" applyFill="1" applyBorder="1" applyAlignment="1">
      <alignment horizontal="center" vertical="center" wrapText="1"/>
    </xf>
    <xf numFmtId="14" fontId="4" fillId="11" borderId="15" xfId="1" applyNumberFormat="1" applyFont="1" applyFill="1" applyBorder="1" applyAlignment="1">
      <alignment horizontal="center" vertical="center" wrapText="1"/>
    </xf>
    <xf numFmtId="14" fontId="4" fillId="11" borderId="12" xfId="1" applyNumberFormat="1" applyFont="1" applyFill="1" applyBorder="1" applyAlignment="1">
      <alignment horizontal="center" vertical="center" wrapText="1"/>
    </xf>
    <xf numFmtId="14" fontId="4" fillId="4" borderId="1" xfId="1" applyNumberFormat="1" applyFont="1" applyFill="1" applyBorder="1" applyAlignment="1">
      <alignment horizontal="center" vertical="center"/>
    </xf>
    <xf numFmtId="14" fontId="11" fillId="0" borderId="2" xfId="1" applyNumberFormat="1" applyFont="1" applyBorder="1" applyAlignment="1">
      <alignment horizontal="center" vertical="center" wrapText="1"/>
    </xf>
    <xf numFmtId="164" fontId="4" fillId="8" borderId="7" xfId="1" applyNumberFormat="1" applyFont="1" applyFill="1" applyBorder="1" applyAlignment="1">
      <alignment horizontal="center" vertical="center" wrapText="1"/>
    </xf>
    <xf numFmtId="14" fontId="32" fillId="12" borderId="3" xfId="1" applyNumberFormat="1" applyFont="1" applyFill="1" applyBorder="1" applyAlignment="1">
      <alignment horizontal="center" vertical="center" wrapText="1"/>
    </xf>
    <xf numFmtId="164" fontId="4" fillId="0" borderId="3" xfId="1" applyNumberFormat="1" applyFont="1" applyFill="1" applyBorder="1" applyAlignment="1">
      <alignment horizontal="center" vertical="center" wrapText="1"/>
    </xf>
    <xf numFmtId="164" fontId="4" fillId="0" borderId="7" xfId="1" applyNumberFormat="1" applyFont="1" applyFill="1" applyBorder="1" applyAlignment="1">
      <alignment horizontal="center" vertical="center" wrapText="1"/>
    </xf>
    <xf numFmtId="14" fontId="4" fillId="0" borderId="3" xfId="1" applyNumberFormat="1" applyFont="1" applyFill="1" applyBorder="1" applyAlignment="1">
      <alignment horizontal="center" vertical="center" wrapText="1"/>
    </xf>
    <xf numFmtId="14" fontId="4" fillId="0" borderId="7" xfId="1" applyNumberFormat="1" applyFont="1" applyFill="1" applyBorder="1" applyAlignment="1">
      <alignment horizontal="center" vertical="center" wrapText="1"/>
    </xf>
    <xf numFmtId="14" fontId="32" fillId="0" borderId="3" xfId="1" applyNumberFormat="1" applyFont="1" applyFill="1" applyBorder="1" applyAlignment="1">
      <alignment horizontal="center" vertical="center" wrapText="1"/>
    </xf>
    <xf numFmtId="14" fontId="32" fillId="0" borderId="7" xfId="1" applyNumberFormat="1" applyFont="1" applyFill="1" applyBorder="1" applyAlignment="1">
      <alignment horizontal="center" vertical="center" wrapText="1"/>
    </xf>
    <xf numFmtId="14" fontId="4" fillId="0" borderId="2" xfId="1" applyNumberFormat="1" applyFont="1" applyFill="1" applyBorder="1" applyAlignment="1">
      <alignment horizontal="center" vertical="center" wrapText="1"/>
    </xf>
    <xf numFmtId="14" fontId="4" fillId="0" borderId="2" xfId="1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</cellXfs>
  <cellStyles count="2">
    <cellStyle name="Normal" xfId="0" builtinId="0"/>
    <cellStyle name="Normal 3" xfId="1" xr:uid="{00000000-0005-0000-0000-000000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262"/>
  <sheetViews>
    <sheetView tabSelected="1" topLeftCell="B1" zoomScaleNormal="100" workbookViewId="0">
      <pane xSplit="6" ySplit="2" topLeftCell="BA166" activePane="bottomRight" state="frozen"/>
      <selection pane="bottomRight" activeCell="AH207" sqref="AH207"/>
      <selection pane="bottomLeft" activeCell="B3" sqref="B3"/>
      <selection pane="topRight" activeCell="I1" sqref="I1"/>
    </sheetView>
  </sheetViews>
  <sheetFormatPr defaultColWidth="8.625" defaultRowHeight="13.5" customHeight="1"/>
  <cols>
    <col min="1" max="2" width="8.625" style="5"/>
    <col min="3" max="3" width="10.625" style="5" bestFit="1" customWidth="1"/>
    <col min="4" max="4" width="13.125" style="5" customWidth="1"/>
    <col min="5" max="7" width="11.625" style="5" customWidth="1"/>
    <col min="8" max="8" width="8.625" style="5"/>
    <col min="9" max="9" width="13.625" style="5" customWidth="1"/>
    <col min="10" max="10" width="11.625" style="5" hidden="1" customWidth="1"/>
    <col min="11" max="11" width="12.625" style="5" customWidth="1"/>
    <col min="12" max="12" width="12.625" style="270" customWidth="1"/>
    <col min="13" max="13" width="13.625" style="5" customWidth="1"/>
    <col min="14" max="14" width="13.375" style="5" customWidth="1"/>
    <col min="15" max="15" width="12.125" style="5" customWidth="1"/>
    <col min="16" max="16" width="11.875" style="5" customWidth="1"/>
    <col min="17" max="17" width="12.875" style="5" customWidth="1"/>
    <col min="18" max="18" width="12.625" style="5" customWidth="1"/>
    <col min="19" max="19" width="10.375" style="5" bestFit="1" customWidth="1"/>
    <col min="20" max="20" width="12.625" style="5" customWidth="1"/>
    <col min="21" max="21" width="11.375" style="5" customWidth="1"/>
    <col min="22" max="22" width="12.125" style="5" customWidth="1"/>
    <col min="23" max="23" width="10.375" style="5" bestFit="1" customWidth="1"/>
    <col min="24" max="24" width="12.125" style="5" customWidth="1"/>
    <col min="25" max="25" width="12.625" style="5" customWidth="1"/>
    <col min="26" max="26" width="12.375" style="5" customWidth="1"/>
    <col min="27" max="27" width="10.375" style="5" bestFit="1" customWidth="1"/>
    <col min="28" max="28" width="11.875" style="5" customWidth="1"/>
    <col min="29" max="29" width="12" style="5" customWidth="1"/>
    <col min="30" max="31" width="12.125" style="5" customWidth="1"/>
    <col min="32" max="32" width="13.375" style="5" customWidth="1"/>
    <col min="33" max="33" width="11.375" style="5" customWidth="1"/>
    <col min="34" max="34" width="11.625" style="5" customWidth="1"/>
    <col min="35" max="35" width="10.375" style="5" bestFit="1" customWidth="1"/>
    <col min="36" max="36" width="12.375" style="5" customWidth="1"/>
    <col min="37" max="37" width="11.375" style="5" customWidth="1"/>
    <col min="38" max="38" width="12.25" style="5" customWidth="1"/>
    <col min="39" max="39" width="10.375" style="5" bestFit="1" customWidth="1"/>
    <col min="40" max="40" width="12.375" style="5" customWidth="1"/>
    <col min="41" max="41" width="14.625" style="5" customWidth="1"/>
    <col min="42" max="42" width="11.125" style="5" customWidth="1"/>
    <col min="43" max="43" width="12.125" style="5" customWidth="1"/>
    <col min="44" max="44" width="10.625" style="5" customWidth="1"/>
    <col min="45" max="45" width="14.125" style="5" customWidth="1"/>
    <col min="46" max="46" width="12.125" style="5" customWidth="1"/>
    <col min="47" max="47" width="12.375" style="5" customWidth="1"/>
    <col min="48" max="48" width="10.625" style="5" customWidth="1"/>
    <col min="49" max="49" width="12.5" style="5" customWidth="1"/>
    <col min="50" max="50" width="12.125" style="5" customWidth="1"/>
    <col min="51" max="51" width="12.375" style="5" customWidth="1"/>
    <col min="52" max="52" width="10.625" style="5" customWidth="1"/>
    <col min="53" max="53" width="13.125" style="5" customWidth="1"/>
    <col min="54" max="54" width="12.125" style="5" customWidth="1"/>
    <col min="55" max="123" width="12.375" style="5" customWidth="1"/>
    <col min="124" max="125" width="13.125" style="5" customWidth="1"/>
    <col min="126" max="126" width="10.625" style="5" bestFit="1" customWidth="1"/>
    <col min="127" max="127" width="11.625" style="5" customWidth="1"/>
    <col min="128" max="128" width="10" style="5" bestFit="1" customWidth="1"/>
    <col min="129" max="129" width="11.625" style="5" customWidth="1"/>
    <col min="130" max="130" width="10.875" style="5" customWidth="1"/>
    <col min="131" max="131" width="10.125" style="5" customWidth="1"/>
    <col min="132" max="132" width="10.375" style="5" customWidth="1"/>
    <col min="133" max="134" width="10" style="5" customWidth="1"/>
    <col min="135" max="16384" width="8.625" style="5"/>
  </cols>
  <sheetData>
    <row r="1" spans="1:138" s="1" customFormat="1" ht="15.6">
      <c r="A1" s="6"/>
      <c r="B1" s="250" t="s">
        <v>0</v>
      </c>
      <c r="C1" s="252" t="s">
        <v>1</v>
      </c>
      <c r="E1" s="27" t="s">
        <v>2</v>
      </c>
      <c r="F1" s="27"/>
      <c r="G1" s="27"/>
      <c r="AB1" s="2"/>
      <c r="AC1" s="2"/>
      <c r="AD1" s="2"/>
      <c r="AE1" s="2"/>
      <c r="AF1" s="377" t="s">
        <v>3</v>
      </c>
      <c r="AG1" s="377"/>
      <c r="AH1" s="377"/>
      <c r="AI1" s="377"/>
      <c r="AJ1" s="377"/>
      <c r="AK1" s="377"/>
      <c r="AL1" s="377"/>
      <c r="AM1" s="377"/>
      <c r="AN1" s="377"/>
      <c r="AO1" s="377"/>
      <c r="AP1" s="377"/>
      <c r="AQ1" s="377"/>
      <c r="AR1" s="377"/>
      <c r="AS1" s="377"/>
      <c r="AT1" s="377"/>
      <c r="AU1" s="377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V1" s="1" t="s">
        <v>4</v>
      </c>
      <c r="EF1" s="3"/>
    </row>
    <row r="2" spans="1:138" s="4" customFormat="1" ht="90.95" customHeight="1">
      <c r="A2" s="6"/>
      <c r="B2" s="7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30" t="s">
        <v>12</v>
      </c>
      <c r="J2" s="29"/>
      <c r="K2" s="8" t="s">
        <v>13</v>
      </c>
      <c r="L2" s="11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8" t="s">
        <v>19</v>
      </c>
      <c r="R2" s="8" t="s">
        <v>20</v>
      </c>
      <c r="S2" s="8" t="s">
        <v>21</v>
      </c>
      <c r="T2" s="8" t="s">
        <v>22</v>
      </c>
      <c r="U2" s="8" t="s">
        <v>23</v>
      </c>
      <c r="V2" s="8" t="s">
        <v>24</v>
      </c>
      <c r="W2" s="8" t="s">
        <v>25</v>
      </c>
      <c r="X2" s="8" t="s">
        <v>26</v>
      </c>
      <c r="Y2" s="8" t="s">
        <v>27</v>
      </c>
      <c r="Z2" s="8" t="s">
        <v>28</v>
      </c>
      <c r="AA2" s="8" t="s">
        <v>29</v>
      </c>
      <c r="AB2" s="8" t="s">
        <v>30</v>
      </c>
      <c r="AC2" s="8" t="s">
        <v>31</v>
      </c>
      <c r="AD2" s="8" t="s">
        <v>32</v>
      </c>
      <c r="AE2" s="8" t="s">
        <v>33</v>
      </c>
      <c r="AF2" s="8" t="s">
        <v>34</v>
      </c>
      <c r="AG2" s="8" t="s">
        <v>35</v>
      </c>
      <c r="AH2" s="8" t="s">
        <v>36</v>
      </c>
      <c r="AI2" s="8" t="s">
        <v>37</v>
      </c>
      <c r="AJ2" s="8" t="s">
        <v>38</v>
      </c>
      <c r="AK2" s="8" t="s">
        <v>39</v>
      </c>
      <c r="AL2" s="8" t="s">
        <v>40</v>
      </c>
      <c r="AM2" s="8" t="s">
        <v>41</v>
      </c>
      <c r="AN2" s="8" t="s">
        <v>42</v>
      </c>
      <c r="AO2" s="8" t="s">
        <v>43</v>
      </c>
      <c r="AP2" s="8" t="s">
        <v>44</v>
      </c>
      <c r="AQ2" s="8" t="s">
        <v>45</v>
      </c>
      <c r="AR2" s="8" t="s">
        <v>46</v>
      </c>
      <c r="AS2" s="8" t="s">
        <v>47</v>
      </c>
      <c r="AT2" s="8" t="s">
        <v>48</v>
      </c>
      <c r="AU2" s="8" t="s">
        <v>49</v>
      </c>
      <c r="AV2" s="8" t="s">
        <v>50</v>
      </c>
      <c r="AW2" s="8" t="s">
        <v>51</v>
      </c>
      <c r="AX2" s="8" t="s">
        <v>52</v>
      </c>
      <c r="AY2" s="8" t="s">
        <v>53</v>
      </c>
      <c r="AZ2" s="8" t="s">
        <v>54</v>
      </c>
      <c r="BA2" s="8" t="s">
        <v>55</v>
      </c>
      <c r="BB2" s="8" t="s">
        <v>56</v>
      </c>
      <c r="BC2" s="8" t="s">
        <v>57</v>
      </c>
      <c r="BD2" s="8" t="s">
        <v>58</v>
      </c>
      <c r="BE2" s="8" t="s">
        <v>59</v>
      </c>
      <c r="BF2" s="8" t="s">
        <v>60</v>
      </c>
      <c r="BG2" s="8" t="s">
        <v>61</v>
      </c>
      <c r="BH2" s="8" t="s">
        <v>62</v>
      </c>
      <c r="BI2" s="8" t="s">
        <v>63</v>
      </c>
      <c r="BJ2" s="8" t="s">
        <v>64</v>
      </c>
      <c r="BK2" s="8" t="s">
        <v>65</v>
      </c>
      <c r="BL2" s="8" t="s">
        <v>66</v>
      </c>
      <c r="BM2" s="8" t="s">
        <v>67</v>
      </c>
      <c r="BN2" s="8" t="s">
        <v>68</v>
      </c>
      <c r="BO2" s="8" t="s">
        <v>69</v>
      </c>
      <c r="BP2" s="8" t="s">
        <v>70</v>
      </c>
      <c r="BQ2" s="8" t="s">
        <v>71</v>
      </c>
      <c r="BR2" s="8" t="s">
        <v>72</v>
      </c>
      <c r="BS2" s="8" t="s">
        <v>73</v>
      </c>
      <c r="BT2" s="8" t="s">
        <v>74</v>
      </c>
      <c r="BU2" s="8" t="s">
        <v>75</v>
      </c>
      <c r="BV2" s="8" t="s">
        <v>76</v>
      </c>
      <c r="BW2" s="8" t="s">
        <v>77</v>
      </c>
      <c r="BX2" s="8" t="s">
        <v>78</v>
      </c>
      <c r="BY2" s="8" t="s">
        <v>79</v>
      </c>
      <c r="BZ2" s="8" t="s">
        <v>80</v>
      </c>
      <c r="CA2" s="8" t="s">
        <v>81</v>
      </c>
      <c r="CB2" s="8" t="s">
        <v>82</v>
      </c>
      <c r="CC2" s="8" t="s">
        <v>83</v>
      </c>
      <c r="CD2" s="8" t="s">
        <v>84</v>
      </c>
      <c r="CE2" s="8" t="s">
        <v>85</v>
      </c>
      <c r="CF2" s="8" t="s">
        <v>86</v>
      </c>
      <c r="CG2" s="8" t="s">
        <v>87</v>
      </c>
      <c r="CH2" s="8" t="s">
        <v>88</v>
      </c>
      <c r="CI2" s="8" t="s">
        <v>89</v>
      </c>
      <c r="CJ2" s="8" t="s">
        <v>90</v>
      </c>
      <c r="CK2" s="8" t="s">
        <v>91</v>
      </c>
      <c r="CL2" s="8" t="s">
        <v>92</v>
      </c>
      <c r="CM2" s="8" t="s">
        <v>93</v>
      </c>
      <c r="CN2" s="8" t="s">
        <v>94</v>
      </c>
      <c r="CO2" s="8" t="s">
        <v>95</v>
      </c>
      <c r="CP2" s="8" t="s">
        <v>96</v>
      </c>
      <c r="CQ2" s="8" t="s">
        <v>97</v>
      </c>
      <c r="CR2" s="8" t="s">
        <v>98</v>
      </c>
      <c r="CS2" s="8" t="s">
        <v>99</v>
      </c>
      <c r="CT2" s="8" t="s">
        <v>100</v>
      </c>
      <c r="CU2" s="8" t="s">
        <v>101</v>
      </c>
      <c r="CV2" s="8" t="s">
        <v>102</v>
      </c>
      <c r="CW2" s="8" t="s">
        <v>103</v>
      </c>
      <c r="CX2" s="8" t="s">
        <v>104</v>
      </c>
      <c r="CY2" s="8" t="s">
        <v>105</v>
      </c>
      <c r="CZ2" s="8" t="s">
        <v>106</v>
      </c>
      <c r="DA2" s="8" t="s">
        <v>107</v>
      </c>
      <c r="DB2" s="8" t="s">
        <v>108</v>
      </c>
      <c r="DC2" s="8" t="s">
        <v>109</v>
      </c>
      <c r="DD2" s="8" t="s">
        <v>110</v>
      </c>
      <c r="DE2" s="8" t="s">
        <v>111</v>
      </c>
      <c r="DF2" s="8" t="s">
        <v>112</v>
      </c>
      <c r="DG2" s="8" t="s">
        <v>113</v>
      </c>
      <c r="DH2" s="8" t="s">
        <v>114</v>
      </c>
      <c r="DI2" s="8" t="s">
        <v>115</v>
      </c>
      <c r="DJ2" s="8" t="s">
        <v>116</v>
      </c>
      <c r="DK2" s="8" t="s">
        <v>117</v>
      </c>
      <c r="DL2" s="8" t="s">
        <v>118</v>
      </c>
      <c r="DM2" s="8" t="s">
        <v>119</v>
      </c>
      <c r="DN2" s="8" t="s">
        <v>120</v>
      </c>
      <c r="DO2" s="8" t="s">
        <v>121</v>
      </c>
      <c r="DP2" s="8" t="s">
        <v>122</v>
      </c>
      <c r="DQ2" s="8" t="s">
        <v>123</v>
      </c>
      <c r="DR2" s="8" t="s">
        <v>124</v>
      </c>
      <c r="DS2" s="8" t="s">
        <v>125</v>
      </c>
      <c r="DT2" s="130" t="s">
        <v>126</v>
      </c>
      <c r="DU2" s="9" t="s">
        <v>127</v>
      </c>
      <c r="DV2" s="9" t="s">
        <v>128</v>
      </c>
      <c r="DW2" s="9" t="s">
        <v>129</v>
      </c>
      <c r="DX2" s="9" t="s">
        <v>130</v>
      </c>
      <c r="DY2" s="9" t="s">
        <v>131</v>
      </c>
      <c r="DZ2" s="9" t="s">
        <v>132</v>
      </c>
      <c r="EA2" s="9" t="s">
        <v>133</v>
      </c>
      <c r="EB2" s="9" t="s">
        <v>134</v>
      </c>
      <c r="EC2" s="9" t="s">
        <v>135</v>
      </c>
      <c r="ED2" s="9" t="s">
        <v>136</v>
      </c>
      <c r="EE2" s="10" t="s">
        <v>137</v>
      </c>
      <c r="EF2" s="11" t="s">
        <v>138</v>
      </c>
      <c r="EG2" s="11" t="s">
        <v>139</v>
      </c>
      <c r="EH2" s="11" t="s">
        <v>140</v>
      </c>
    </row>
    <row r="3" spans="1:138" s="1" customFormat="1" ht="60.6" customHeight="1">
      <c r="A3" s="12"/>
      <c r="B3" s="356" t="s">
        <v>141</v>
      </c>
      <c r="C3" s="358" t="s">
        <v>142</v>
      </c>
      <c r="D3" s="360" t="s">
        <v>143</v>
      </c>
      <c r="E3" s="360" t="s">
        <v>144</v>
      </c>
      <c r="F3" s="360" t="s">
        <v>145</v>
      </c>
      <c r="G3" s="360" t="s">
        <v>146</v>
      </c>
      <c r="H3" s="74" t="s">
        <v>147</v>
      </c>
      <c r="I3" s="75">
        <v>44963</v>
      </c>
      <c r="J3" s="76"/>
      <c r="K3" s="75">
        <v>44980</v>
      </c>
      <c r="L3" s="273" t="s">
        <v>148</v>
      </c>
      <c r="M3" s="76">
        <f>K3+7</f>
        <v>44987</v>
      </c>
      <c r="N3" s="76">
        <f>M3+7</f>
        <v>44994</v>
      </c>
      <c r="O3" s="76" t="s">
        <v>149</v>
      </c>
      <c r="P3" s="76">
        <f>N3+7</f>
        <v>45001</v>
      </c>
      <c r="Q3" s="76">
        <f>P3+7</f>
        <v>45008</v>
      </c>
      <c r="R3" s="76">
        <f>Q3+7</f>
        <v>45015</v>
      </c>
      <c r="S3" s="77" t="s">
        <v>149</v>
      </c>
      <c r="T3" s="77">
        <f>R3+7</f>
        <v>45022</v>
      </c>
      <c r="U3" s="77">
        <f>T3+7</f>
        <v>45029</v>
      </c>
      <c r="V3" s="77">
        <f>U3+7</f>
        <v>45036</v>
      </c>
      <c r="W3" s="77" t="s">
        <v>149</v>
      </c>
      <c r="X3" s="77">
        <f>V3+7</f>
        <v>45043</v>
      </c>
      <c r="Y3" s="77">
        <f>X3+7</f>
        <v>45050</v>
      </c>
      <c r="Z3" s="77">
        <f>Y3+7</f>
        <v>45057</v>
      </c>
      <c r="AA3" s="77" t="s">
        <v>149</v>
      </c>
      <c r="AB3" s="77">
        <f>Z3+7</f>
        <v>45064</v>
      </c>
      <c r="AC3" s="77">
        <f>AB3+7</f>
        <v>45071</v>
      </c>
      <c r="AD3" s="77">
        <f>AC3+7</f>
        <v>45078</v>
      </c>
      <c r="AE3" s="77" t="s">
        <v>149</v>
      </c>
      <c r="AF3" s="77">
        <f>AD3+7</f>
        <v>45085</v>
      </c>
      <c r="AG3" s="77">
        <f>AF3+7</f>
        <v>45092</v>
      </c>
      <c r="AH3" s="77">
        <f>AG3+7</f>
        <v>45099</v>
      </c>
      <c r="AI3" s="77" t="s">
        <v>149</v>
      </c>
      <c r="AJ3" s="77">
        <f>AH3+7</f>
        <v>45106</v>
      </c>
      <c r="AK3" s="77">
        <f>AJ3+7</f>
        <v>45113</v>
      </c>
      <c r="AL3" s="77">
        <f>AK3+7</f>
        <v>45120</v>
      </c>
      <c r="AM3" s="77" t="s">
        <v>149</v>
      </c>
      <c r="AN3" s="77">
        <f>AL3+7</f>
        <v>45127</v>
      </c>
      <c r="AO3" s="77">
        <f>AN3+7</f>
        <v>45134</v>
      </c>
      <c r="AP3" s="77">
        <f>AO3+7</f>
        <v>45141</v>
      </c>
      <c r="AQ3" s="77" t="s">
        <v>149</v>
      </c>
      <c r="AR3" s="77">
        <f>AP3+7</f>
        <v>45148</v>
      </c>
      <c r="AS3" s="77">
        <f>AR3+7</f>
        <v>45155</v>
      </c>
      <c r="AT3" s="77">
        <f>AS3+7</f>
        <v>45162</v>
      </c>
      <c r="AU3" s="78" t="s">
        <v>149</v>
      </c>
      <c r="AV3" s="77">
        <f>AT3+7</f>
        <v>45169</v>
      </c>
      <c r="AW3" s="77">
        <f>AV3+7</f>
        <v>45176</v>
      </c>
      <c r="AX3" s="77">
        <f>AW3+7</f>
        <v>45183</v>
      </c>
      <c r="AY3" s="78" t="s">
        <v>149</v>
      </c>
      <c r="AZ3" s="77">
        <f>AX3+7</f>
        <v>45190</v>
      </c>
      <c r="BA3" s="77">
        <f>AZ3+7</f>
        <v>45197</v>
      </c>
      <c r="BB3" s="77">
        <f>BA3+7</f>
        <v>45204</v>
      </c>
      <c r="BC3" s="78" t="s">
        <v>149</v>
      </c>
      <c r="BD3" s="78"/>
      <c r="BE3" s="78"/>
      <c r="BF3" s="78"/>
      <c r="BG3" s="78"/>
      <c r="BH3" s="78"/>
      <c r="BI3" s="78"/>
      <c r="BJ3" s="78"/>
      <c r="BK3" s="78"/>
      <c r="BL3" s="78"/>
      <c r="BM3" s="78"/>
      <c r="BN3" s="78"/>
      <c r="BO3" s="78"/>
      <c r="BP3" s="78"/>
      <c r="BQ3" s="78"/>
      <c r="BR3" s="78"/>
      <c r="BS3" s="78"/>
      <c r="BT3" s="78"/>
      <c r="BU3" s="78"/>
      <c r="BV3" s="78"/>
      <c r="BW3" s="78"/>
      <c r="BX3" s="78"/>
      <c r="BY3" s="78"/>
      <c r="BZ3" s="78"/>
      <c r="CA3" s="78"/>
      <c r="CB3" s="78"/>
      <c r="CC3" s="78"/>
      <c r="CD3" s="78"/>
      <c r="CE3" s="78"/>
      <c r="CF3" s="78"/>
      <c r="CG3" s="78"/>
      <c r="CH3" s="78"/>
      <c r="CI3" s="78"/>
      <c r="CJ3" s="78"/>
      <c r="CK3" s="78"/>
      <c r="CL3" s="78"/>
      <c r="CM3" s="78"/>
      <c r="CN3" s="78"/>
      <c r="CO3" s="78"/>
      <c r="CP3" s="78"/>
      <c r="CQ3" s="78"/>
      <c r="CR3" s="78"/>
      <c r="CS3" s="78"/>
      <c r="CT3" s="78"/>
      <c r="CU3" s="78"/>
      <c r="CV3" s="78"/>
      <c r="CW3" s="78"/>
      <c r="CX3" s="78"/>
      <c r="CY3" s="78"/>
      <c r="CZ3" s="78"/>
      <c r="DA3" s="78"/>
      <c r="DB3" s="78"/>
      <c r="DC3" s="78"/>
      <c r="DD3" s="78"/>
      <c r="DE3" s="78"/>
      <c r="DF3" s="78"/>
      <c r="DG3" s="78"/>
      <c r="DH3" s="78"/>
      <c r="DI3" s="78"/>
      <c r="DJ3" s="78"/>
      <c r="DK3" s="78"/>
      <c r="DL3" s="78"/>
      <c r="DM3" s="78"/>
      <c r="DN3" s="78"/>
      <c r="DO3" s="78"/>
      <c r="DP3" s="78"/>
      <c r="DQ3" s="78"/>
      <c r="DR3" s="78"/>
      <c r="DS3" s="78"/>
      <c r="DT3" s="67">
        <f>AX3+7</f>
        <v>45190</v>
      </c>
      <c r="DU3" s="67">
        <v>45183</v>
      </c>
      <c r="DV3" s="13">
        <f>EDATE(AS4,3)</f>
        <v>45247</v>
      </c>
      <c r="DW3" s="13">
        <f t="shared" ref="DW3" si="0">EDATE(AT4,3)</f>
        <v>45254</v>
      </c>
      <c r="DX3" s="13">
        <f>EDATE(DW3,3)</f>
        <v>45346</v>
      </c>
      <c r="DY3" s="13">
        <f t="shared" ref="DY3:EA3" si="1">EDATE(DX3,3)</f>
        <v>45436</v>
      </c>
      <c r="DZ3" s="13">
        <f t="shared" si="1"/>
        <v>45528</v>
      </c>
      <c r="EA3" s="13">
        <f t="shared" si="1"/>
        <v>45620</v>
      </c>
      <c r="EB3" s="13">
        <f>EDATE(EA3,3)</f>
        <v>45712</v>
      </c>
      <c r="EC3" s="13">
        <f>EDATE(EB3,3)</f>
        <v>45801</v>
      </c>
      <c r="ED3" s="24"/>
      <c r="EE3" s="14"/>
      <c r="EF3" s="378"/>
      <c r="EG3" s="338"/>
      <c r="EH3" s="339"/>
    </row>
    <row r="4" spans="1:138" s="1" customFormat="1" ht="60.6" customHeight="1">
      <c r="A4" s="12"/>
      <c r="B4" s="357"/>
      <c r="C4" s="359"/>
      <c r="D4" s="361"/>
      <c r="E4" s="361"/>
      <c r="F4" s="361"/>
      <c r="G4" s="361"/>
      <c r="H4" s="330" t="s">
        <v>150</v>
      </c>
      <c r="I4" s="79">
        <v>44963</v>
      </c>
      <c r="J4" s="330"/>
      <c r="K4" s="75">
        <v>44980</v>
      </c>
      <c r="L4" s="274" t="s">
        <v>148</v>
      </c>
      <c r="M4" s="75">
        <v>44987</v>
      </c>
      <c r="N4" s="75">
        <v>44994</v>
      </c>
      <c r="O4" s="330" t="s">
        <v>148</v>
      </c>
      <c r="P4" s="75">
        <v>45001</v>
      </c>
      <c r="Q4" s="75">
        <v>45008</v>
      </c>
      <c r="R4" s="75">
        <v>45015</v>
      </c>
      <c r="S4" s="330" t="s">
        <v>148</v>
      </c>
      <c r="T4" s="75">
        <v>45022</v>
      </c>
      <c r="U4" s="75">
        <v>45029</v>
      </c>
      <c r="V4" s="75">
        <v>45036</v>
      </c>
      <c r="W4" s="330" t="s">
        <v>148</v>
      </c>
      <c r="X4" s="75">
        <v>45043</v>
      </c>
      <c r="Y4" s="75">
        <v>45050</v>
      </c>
      <c r="Z4" s="75">
        <v>45057</v>
      </c>
      <c r="AA4" s="330" t="s">
        <v>148</v>
      </c>
      <c r="AB4" s="75">
        <v>45064</v>
      </c>
      <c r="AC4" s="75">
        <v>45071</v>
      </c>
      <c r="AD4" s="75">
        <v>45078</v>
      </c>
      <c r="AE4" s="330" t="s">
        <v>148</v>
      </c>
      <c r="AF4" s="75">
        <v>45085</v>
      </c>
      <c r="AG4" s="75">
        <v>45092</v>
      </c>
      <c r="AH4" s="75">
        <v>45099</v>
      </c>
      <c r="AI4" s="330" t="s">
        <v>148</v>
      </c>
      <c r="AJ4" s="75">
        <v>45106</v>
      </c>
      <c r="AK4" s="75">
        <v>45113</v>
      </c>
      <c r="AL4" s="75">
        <v>45120</v>
      </c>
      <c r="AM4" s="330" t="s">
        <v>148</v>
      </c>
      <c r="AN4" s="75">
        <v>45127</v>
      </c>
      <c r="AO4" s="75">
        <v>45134</v>
      </c>
      <c r="AP4" s="75">
        <v>45141</v>
      </c>
      <c r="AQ4" s="330" t="s">
        <v>148</v>
      </c>
      <c r="AR4" s="75">
        <v>45148</v>
      </c>
      <c r="AS4" s="116">
        <v>45155</v>
      </c>
      <c r="AT4" s="75">
        <v>45162</v>
      </c>
      <c r="AU4" s="80" t="s">
        <v>148</v>
      </c>
      <c r="AV4" s="75"/>
      <c r="AW4" s="75"/>
      <c r="AX4" s="75"/>
      <c r="AY4" s="80"/>
      <c r="AZ4" s="75"/>
      <c r="BA4" s="75"/>
      <c r="BB4" s="75"/>
      <c r="BC4" s="80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82"/>
      <c r="CD4" s="82"/>
      <c r="CE4" s="82"/>
      <c r="CF4" s="82"/>
      <c r="CG4" s="82"/>
      <c r="CH4" s="82"/>
      <c r="CI4" s="82"/>
      <c r="CJ4" s="82"/>
      <c r="CK4" s="82"/>
      <c r="CL4" s="82"/>
      <c r="CM4" s="82"/>
      <c r="CN4" s="82"/>
      <c r="CO4" s="82"/>
      <c r="CP4" s="82"/>
      <c r="CQ4" s="82"/>
      <c r="CR4" s="82"/>
      <c r="CS4" s="82"/>
      <c r="CT4" s="82"/>
      <c r="CU4" s="82"/>
      <c r="CV4" s="82"/>
      <c r="CW4" s="82"/>
      <c r="CX4" s="82"/>
      <c r="CY4" s="82"/>
      <c r="CZ4" s="82"/>
      <c r="DA4" s="82"/>
      <c r="DB4" s="82"/>
      <c r="DC4" s="82"/>
      <c r="DD4" s="82"/>
      <c r="DE4" s="82"/>
      <c r="DF4" s="82"/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/>
      <c r="DS4" s="82"/>
      <c r="DT4" s="6">
        <v>45169</v>
      </c>
      <c r="DU4" s="6">
        <v>45180</v>
      </c>
      <c r="DV4" s="321">
        <v>45243</v>
      </c>
      <c r="DW4" s="66">
        <v>45334</v>
      </c>
      <c r="DX4" s="321">
        <v>45421</v>
      </c>
      <c r="DY4" s="321">
        <v>45516</v>
      </c>
      <c r="DZ4" s="321">
        <v>45614</v>
      </c>
      <c r="EA4" s="321">
        <v>45707</v>
      </c>
      <c r="EB4" s="321">
        <v>45789</v>
      </c>
      <c r="EC4" s="321">
        <v>45876</v>
      </c>
      <c r="ED4" s="25">
        <v>45980</v>
      </c>
      <c r="EE4" s="15"/>
      <c r="EF4" s="339"/>
      <c r="EG4" s="338"/>
      <c r="EH4" s="338"/>
    </row>
    <row r="5" spans="1:138" s="1" customFormat="1" ht="60.6" customHeight="1">
      <c r="A5" s="12"/>
      <c r="B5" s="352" t="s">
        <v>151</v>
      </c>
      <c r="C5" s="340" t="s">
        <v>152</v>
      </c>
      <c r="D5" s="342" t="s">
        <v>143</v>
      </c>
      <c r="E5" s="342" t="s">
        <v>153</v>
      </c>
      <c r="F5" s="340" t="s">
        <v>154</v>
      </c>
      <c r="G5" s="340" t="s">
        <v>148</v>
      </c>
      <c r="H5" s="32" t="s">
        <v>147</v>
      </c>
      <c r="I5" s="56">
        <v>45008</v>
      </c>
      <c r="J5" s="33"/>
      <c r="K5" s="31">
        <v>45015</v>
      </c>
      <c r="L5" s="276" t="s">
        <v>148</v>
      </c>
      <c r="M5" s="33">
        <f>K5+7</f>
        <v>45022</v>
      </c>
      <c r="N5" s="33">
        <f>M5+7</f>
        <v>45029</v>
      </c>
      <c r="O5" s="33" t="s">
        <v>149</v>
      </c>
      <c r="P5" s="33">
        <f>N5+7</f>
        <v>45036</v>
      </c>
      <c r="Q5" s="33">
        <f>P5+7</f>
        <v>45043</v>
      </c>
      <c r="R5" s="33">
        <f>Q5+7</f>
        <v>45050</v>
      </c>
      <c r="S5" s="34" t="s">
        <v>149</v>
      </c>
      <c r="T5" s="34">
        <f>R5+7</f>
        <v>45057</v>
      </c>
      <c r="U5" s="34">
        <f>T5+7</f>
        <v>45064</v>
      </c>
      <c r="V5" s="34">
        <f>U5+7</f>
        <v>45071</v>
      </c>
      <c r="W5" s="34" t="s">
        <v>149</v>
      </c>
      <c r="X5" s="34">
        <f>V5+7</f>
        <v>45078</v>
      </c>
      <c r="Y5" s="34">
        <f>X5+7</f>
        <v>45085</v>
      </c>
      <c r="Z5" s="34">
        <f>Y5+7</f>
        <v>45092</v>
      </c>
      <c r="AA5" s="34" t="s">
        <v>149</v>
      </c>
      <c r="AB5" s="34">
        <f>Z5+7</f>
        <v>45099</v>
      </c>
      <c r="AC5" s="34">
        <f>AB5+7</f>
        <v>45106</v>
      </c>
      <c r="AD5" s="34">
        <f>AC5+7</f>
        <v>45113</v>
      </c>
      <c r="AE5" s="34" t="s">
        <v>149</v>
      </c>
      <c r="AF5" s="34">
        <f>AD5+7</f>
        <v>45120</v>
      </c>
      <c r="AG5" s="34">
        <f>AF5+7</f>
        <v>45127</v>
      </c>
      <c r="AH5" s="34">
        <f>AG5+7</f>
        <v>45134</v>
      </c>
      <c r="AI5" s="34" t="s">
        <v>149</v>
      </c>
      <c r="AJ5" s="34">
        <f>AH5+7</f>
        <v>45141</v>
      </c>
      <c r="AK5" s="34">
        <f>AJ5+7</f>
        <v>45148</v>
      </c>
      <c r="AL5" s="34">
        <f>AK5+7</f>
        <v>45155</v>
      </c>
      <c r="AM5" s="34" t="s">
        <v>149</v>
      </c>
      <c r="AN5" s="34">
        <f>AL5+7</f>
        <v>45162</v>
      </c>
      <c r="AO5" s="34">
        <f>AN5+7</f>
        <v>45169</v>
      </c>
      <c r="AP5" s="34">
        <f>AO5+7</f>
        <v>45176</v>
      </c>
      <c r="AQ5" s="34" t="s">
        <v>149</v>
      </c>
      <c r="AR5" s="34">
        <f>AP5+7</f>
        <v>45183</v>
      </c>
      <c r="AS5" s="34">
        <f>AR5+7</f>
        <v>45190</v>
      </c>
      <c r="AT5" s="34">
        <f>AS5+7</f>
        <v>45197</v>
      </c>
      <c r="AU5" s="34" t="s">
        <v>149</v>
      </c>
      <c r="AV5" s="34">
        <f>AT5+7</f>
        <v>45204</v>
      </c>
      <c r="AW5" s="34">
        <f>AV5+7</f>
        <v>45211</v>
      </c>
      <c r="AX5" s="34">
        <f>AW5+7</f>
        <v>45218</v>
      </c>
      <c r="AY5" s="34" t="s">
        <v>149</v>
      </c>
      <c r="AZ5" s="34">
        <f>AX5+7</f>
        <v>45225</v>
      </c>
      <c r="BA5" s="34">
        <f>AZ5+7</f>
        <v>45232</v>
      </c>
      <c r="BB5" s="34">
        <f>BA5+7</f>
        <v>45239</v>
      </c>
      <c r="BC5" s="34" t="s">
        <v>149</v>
      </c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>
        <f>Q5+7</f>
        <v>45050</v>
      </c>
      <c r="DU5" s="34">
        <f>P6+28</f>
        <v>28</v>
      </c>
      <c r="DV5" s="53">
        <v>45107</v>
      </c>
      <c r="DW5" s="53">
        <v>45199</v>
      </c>
      <c r="DX5" s="53">
        <v>45290</v>
      </c>
      <c r="DY5" s="53"/>
      <c r="DZ5" s="53"/>
      <c r="EA5" s="53"/>
      <c r="EB5" s="53"/>
      <c r="EC5" s="53"/>
      <c r="ED5" s="262"/>
      <c r="EE5" s="71"/>
      <c r="EF5" s="344"/>
      <c r="EG5" s="345"/>
      <c r="EH5" s="344"/>
    </row>
    <row r="6" spans="1:138" s="1" customFormat="1" ht="60.6" customHeight="1">
      <c r="A6" s="12"/>
      <c r="B6" s="353"/>
      <c r="C6" s="341"/>
      <c r="D6" s="343"/>
      <c r="E6" s="343"/>
      <c r="F6" s="341"/>
      <c r="G6" s="341"/>
      <c r="H6" s="327" t="s">
        <v>150</v>
      </c>
      <c r="I6" s="56">
        <v>45008</v>
      </c>
      <c r="J6" s="327"/>
      <c r="K6" s="31">
        <v>45015</v>
      </c>
      <c r="L6" s="277" t="s">
        <v>148</v>
      </c>
      <c r="M6" s="327" t="s">
        <v>155</v>
      </c>
      <c r="N6" s="58"/>
      <c r="O6" s="327"/>
      <c r="P6" s="58"/>
      <c r="Q6" s="327"/>
      <c r="R6" s="327"/>
      <c r="S6" s="327"/>
      <c r="T6" s="331"/>
      <c r="U6" s="331"/>
      <c r="V6" s="331"/>
      <c r="W6" s="331"/>
      <c r="X6" s="331"/>
      <c r="Y6" s="331"/>
      <c r="Z6" s="331"/>
      <c r="AA6" s="331"/>
      <c r="AB6" s="331"/>
      <c r="AC6" s="331"/>
      <c r="AD6" s="331"/>
      <c r="AE6" s="331"/>
      <c r="AF6" s="331"/>
      <c r="AG6" s="331"/>
      <c r="AH6" s="331"/>
      <c r="AI6" s="331"/>
      <c r="AJ6" s="331"/>
      <c r="AK6" s="331"/>
      <c r="AL6" s="331"/>
      <c r="AM6" s="331"/>
      <c r="AN6" s="331"/>
      <c r="AO6" s="331"/>
      <c r="AP6" s="331"/>
      <c r="AQ6" s="331"/>
      <c r="AR6" s="331"/>
      <c r="AS6" s="331"/>
      <c r="AT6" s="331"/>
      <c r="AU6" s="331"/>
      <c r="AV6" s="331"/>
      <c r="AW6" s="331"/>
      <c r="AX6" s="331"/>
      <c r="AY6" s="331"/>
      <c r="AZ6" s="331"/>
      <c r="BA6" s="331"/>
      <c r="BB6" s="331"/>
      <c r="BC6" s="331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1">
        <v>45027</v>
      </c>
      <c r="DU6" s="31">
        <v>45043</v>
      </c>
      <c r="DV6" s="36">
        <v>45057</v>
      </c>
      <c r="DW6" s="331">
        <v>45061</v>
      </c>
      <c r="DX6" s="331" t="s">
        <v>148</v>
      </c>
      <c r="DY6" s="331"/>
      <c r="DZ6" s="331"/>
      <c r="EA6" s="331"/>
      <c r="EB6" s="331"/>
      <c r="EC6" s="331"/>
      <c r="ED6" s="263"/>
      <c r="EE6" s="72"/>
      <c r="EF6" s="344"/>
      <c r="EG6" s="345"/>
      <c r="EH6" s="345"/>
    </row>
    <row r="7" spans="1:138" s="36" customFormat="1" ht="35.1" customHeight="1">
      <c r="A7" s="31"/>
      <c r="B7" s="352" t="s">
        <v>151</v>
      </c>
      <c r="C7" s="340" t="s">
        <v>156</v>
      </c>
      <c r="D7" s="342" t="s">
        <v>157</v>
      </c>
      <c r="E7" s="340"/>
      <c r="F7" s="340" t="s">
        <v>158</v>
      </c>
      <c r="G7" s="340" t="s">
        <v>148</v>
      </c>
      <c r="H7" s="40" t="s">
        <v>147</v>
      </c>
      <c r="I7" s="31">
        <v>45035</v>
      </c>
      <c r="J7" s="41"/>
      <c r="K7" s="33"/>
      <c r="L7" s="276" t="s">
        <v>148</v>
      </c>
      <c r="M7" s="33"/>
      <c r="N7" s="33"/>
      <c r="O7" s="33"/>
      <c r="P7" s="33"/>
      <c r="Q7" s="33"/>
      <c r="R7" s="33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141"/>
      <c r="EE7" s="64" t="s">
        <v>159</v>
      </c>
      <c r="EF7" s="344"/>
      <c r="EG7" s="344"/>
      <c r="EH7" s="345"/>
    </row>
    <row r="8" spans="1:138" s="36" customFormat="1" ht="35.1" customHeight="1">
      <c r="A8" s="31"/>
      <c r="B8" s="353"/>
      <c r="C8" s="341"/>
      <c r="D8" s="343"/>
      <c r="E8" s="365"/>
      <c r="F8" s="341"/>
      <c r="G8" s="341"/>
      <c r="H8" s="327" t="s">
        <v>150</v>
      </c>
      <c r="I8" s="31">
        <v>45035</v>
      </c>
      <c r="J8" s="46"/>
      <c r="K8" s="46"/>
      <c r="L8" s="277" t="s">
        <v>148</v>
      </c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65" t="s">
        <v>159</v>
      </c>
      <c r="EF8" s="344"/>
      <c r="EG8" s="344"/>
      <c r="EH8" s="345"/>
    </row>
    <row r="9" spans="1:138" s="1" customFormat="1" ht="47.45" customHeight="1">
      <c r="A9" s="12"/>
      <c r="B9" s="356" t="s">
        <v>151</v>
      </c>
      <c r="C9" s="358" t="s">
        <v>160</v>
      </c>
      <c r="D9" s="360" t="s">
        <v>157</v>
      </c>
      <c r="E9" s="358" t="s">
        <v>161</v>
      </c>
      <c r="F9" s="358" t="s">
        <v>162</v>
      </c>
      <c r="G9" s="358" t="s">
        <v>146</v>
      </c>
      <c r="H9" s="74" t="s">
        <v>147</v>
      </c>
      <c r="I9" s="75">
        <v>45042</v>
      </c>
      <c r="J9" s="150"/>
      <c r="K9" s="75">
        <v>45057</v>
      </c>
      <c r="L9" s="273" t="s">
        <v>148</v>
      </c>
      <c r="M9" s="151">
        <f>K9+7</f>
        <v>45064</v>
      </c>
      <c r="N9" s="151">
        <f>M9+7</f>
        <v>45071</v>
      </c>
      <c r="O9" s="151" t="s">
        <v>148</v>
      </c>
      <c r="P9" s="151">
        <f>N9+7</f>
        <v>45078</v>
      </c>
      <c r="Q9" s="151">
        <f>P9+7</f>
        <v>45085</v>
      </c>
      <c r="R9" s="151">
        <f>Q9+7</f>
        <v>45092</v>
      </c>
      <c r="S9" s="78" t="s">
        <v>148</v>
      </c>
      <c r="T9" s="78">
        <f>R9+7</f>
        <v>45099</v>
      </c>
      <c r="U9" s="78">
        <f>T9+7</f>
        <v>45106</v>
      </c>
      <c r="V9" s="78">
        <f>U9+7</f>
        <v>45113</v>
      </c>
      <c r="W9" s="78" t="s">
        <v>148</v>
      </c>
      <c r="X9" s="78">
        <f>V9+7</f>
        <v>45120</v>
      </c>
      <c r="Y9" s="78">
        <f>X9+7</f>
        <v>45127</v>
      </c>
      <c r="Z9" s="78">
        <f>Y9+7</f>
        <v>45134</v>
      </c>
      <c r="AA9" s="78" t="s">
        <v>148</v>
      </c>
      <c r="AB9" s="78">
        <f>Z9+7</f>
        <v>45141</v>
      </c>
      <c r="AC9" s="78">
        <f>AB9+7</f>
        <v>45148</v>
      </c>
      <c r="AD9" s="78">
        <f>AC9+7</f>
        <v>45155</v>
      </c>
      <c r="AE9" s="78" t="s">
        <v>148</v>
      </c>
      <c r="AF9" s="78">
        <f>AD9+7</f>
        <v>45162</v>
      </c>
      <c r="AG9" s="78">
        <f>AF9+7</f>
        <v>45169</v>
      </c>
      <c r="AH9" s="78">
        <f>AG9+7</f>
        <v>45176</v>
      </c>
      <c r="AI9" s="78" t="s">
        <v>148</v>
      </c>
      <c r="AJ9" s="78">
        <f>AH9+7</f>
        <v>45183</v>
      </c>
      <c r="AK9" s="78">
        <f>AJ9+7</f>
        <v>45190</v>
      </c>
      <c r="AL9" s="78">
        <f>AK9+7</f>
        <v>45197</v>
      </c>
      <c r="AM9" s="78" t="s">
        <v>148</v>
      </c>
      <c r="AN9" s="78">
        <f>AL9+7</f>
        <v>45204</v>
      </c>
      <c r="AO9" s="78">
        <f>AN9+7</f>
        <v>45211</v>
      </c>
      <c r="AP9" s="78">
        <f>AO9+7</f>
        <v>45218</v>
      </c>
      <c r="AQ9" s="78" t="s">
        <v>148</v>
      </c>
      <c r="AR9" s="78">
        <f>AP9+7</f>
        <v>45225</v>
      </c>
      <c r="AS9" s="78">
        <f>AR9+7</f>
        <v>45232</v>
      </c>
      <c r="AT9" s="78">
        <f>AS9+7</f>
        <v>45239</v>
      </c>
      <c r="AU9" s="78" t="s">
        <v>148</v>
      </c>
      <c r="AV9" s="78">
        <f>AT9+7</f>
        <v>45246</v>
      </c>
      <c r="AW9" s="78">
        <f>AV9+7</f>
        <v>45253</v>
      </c>
      <c r="AX9" s="78">
        <f>AW9+7</f>
        <v>45260</v>
      </c>
      <c r="AY9" s="78" t="s">
        <v>148</v>
      </c>
      <c r="AZ9" s="78">
        <f>AX9+7</f>
        <v>45267</v>
      </c>
      <c r="BA9" s="78">
        <f>AZ9+7</f>
        <v>45274</v>
      </c>
      <c r="BB9" s="78">
        <f>BA9+7</f>
        <v>45281</v>
      </c>
      <c r="BC9" s="78" t="s">
        <v>148</v>
      </c>
      <c r="BD9" s="78"/>
      <c r="BE9" s="78"/>
      <c r="BF9" s="78"/>
      <c r="BG9" s="78"/>
      <c r="BH9" s="78"/>
      <c r="BI9" s="78"/>
      <c r="BJ9" s="78"/>
      <c r="BK9" s="152"/>
      <c r="BL9" s="153"/>
      <c r="BM9" s="153"/>
      <c r="BN9" s="153"/>
      <c r="BO9" s="153"/>
      <c r="BP9" s="78"/>
      <c r="BQ9" s="78"/>
      <c r="BR9" s="78"/>
      <c r="BS9" s="152"/>
      <c r="BT9" s="153"/>
      <c r="BU9" s="153"/>
      <c r="BV9" s="153"/>
      <c r="BW9" s="153"/>
      <c r="BX9" s="153"/>
      <c r="BY9" s="153"/>
      <c r="BZ9" s="153"/>
      <c r="CA9" s="153"/>
      <c r="CB9" s="153"/>
      <c r="CC9" s="153"/>
      <c r="CD9" s="153"/>
      <c r="CE9" s="153"/>
      <c r="CF9" s="153"/>
      <c r="CG9" s="153"/>
      <c r="CH9" s="153"/>
      <c r="CI9" s="153"/>
      <c r="CJ9" s="153"/>
      <c r="CK9" s="153"/>
      <c r="CL9" s="153"/>
      <c r="CM9" s="153"/>
      <c r="CN9" s="153"/>
      <c r="CO9" s="153"/>
      <c r="CP9" s="153"/>
      <c r="CQ9" s="153"/>
      <c r="CR9" s="153"/>
      <c r="CS9" s="153"/>
      <c r="CT9" s="153"/>
      <c r="CU9" s="153"/>
      <c r="CV9" s="153"/>
      <c r="CW9" s="153"/>
      <c r="CX9" s="153"/>
      <c r="CY9" s="153"/>
      <c r="CZ9" s="153"/>
      <c r="DA9" s="153"/>
      <c r="DB9" s="153"/>
      <c r="DC9" s="153"/>
      <c r="DD9" s="153"/>
      <c r="DE9" s="153"/>
      <c r="DF9" s="153"/>
      <c r="DG9" s="153"/>
      <c r="DH9" s="153"/>
      <c r="DI9" s="153"/>
      <c r="DJ9" s="153"/>
      <c r="DK9" s="153"/>
      <c r="DL9" s="153"/>
      <c r="DM9" s="153"/>
      <c r="DN9" s="153"/>
      <c r="DO9" s="153"/>
      <c r="DP9" s="153"/>
      <c r="DQ9" s="153"/>
      <c r="DR9" s="153"/>
      <c r="DS9" s="153"/>
      <c r="DT9" s="19" t="s">
        <v>148</v>
      </c>
      <c r="DU9" s="19">
        <v>45260</v>
      </c>
      <c r="DV9" s="131">
        <f>EDATE(AS10,3)</f>
        <v>45324</v>
      </c>
      <c r="DW9" s="131">
        <f>EDATE(DV9,3)</f>
        <v>45414</v>
      </c>
      <c r="DX9" s="131">
        <f t="shared" ref="DX9:EC9" si="2">EDATE(DW9,3)</f>
        <v>45506</v>
      </c>
      <c r="DY9" s="131">
        <f t="shared" si="2"/>
        <v>45598</v>
      </c>
      <c r="DZ9" s="131">
        <f t="shared" si="2"/>
        <v>45690</v>
      </c>
      <c r="EA9" s="131">
        <f t="shared" si="2"/>
        <v>45779</v>
      </c>
      <c r="EB9" s="131">
        <f t="shared" si="2"/>
        <v>45871</v>
      </c>
      <c r="EC9" s="131">
        <f t="shared" si="2"/>
        <v>45963</v>
      </c>
      <c r="ED9" s="131"/>
      <c r="EE9" s="18"/>
      <c r="EF9" s="339"/>
      <c r="EG9" s="339"/>
      <c r="EH9" s="348"/>
    </row>
    <row r="10" spans="1:138" s="1" customFormat="1" ht="48" customHeight="1">
      <c r="A10" s="12"/>
      <c r="B10" s="357"/>
      <c r="C10" s="359"/>
      <c r="D10" s="361"/>
      <c r="E10" s="359"/>
      <c r="F10" s="359"/>
      <c r="G10" s="359"/>
      <c r="H10" s="155" t="s">
        <v>150</v>
      </c>
      <c r="I10" s="75">
        <v>45042</v>
      </c>
      <c r="J10" s="80"/>
      <c r="K10" s="156">
        <v>45057</v>
      </c>
      <c r="L10" s="274" t="s">
        <v>148</v>
      </c>
      <c r="M10" s="156">
        <v>45064</v>
      </c>
      <c r="N10" s="156">
        <v>45071</v>
      </c>
      <c r="O10" s="80" t="s">
        <v>148</v>
      </c>
      <c r="P10" s="156">
        <v>45078</v>
      </c>
      <c r="Q10" s="156">
        <v>45085</v>
      </c>
      <c r="R10" s="156">
        <v>45092</v>
      </c>
      <c r="S10" s="80" t="s">
        <v>149</v>
      </c>
      <c r="T10" s="156">
        <v>45099</v>
      </c>
      <c r="U10" s="156">
        <v>45106</v>
      </c>
      <c r="V10" s="156">
        <v>45113</v>
      </c>
      <c r="W10" s="80" t="s">
        <v>149</v>
      </c>
      <c r="X10" s="156">
        <v>45120</v>
      </c>
      <c r="Y10" s="156">
        <v>45127</v>
      </c>
      <c r="Z10" s="156">
        <v>45134</v>
      </c>
      <c r="AA10" s="80" t="s">
        <v>149</v>
      </c>
      <c r="AB10" s="156">
        <v>45141</v>
      </c>
      <c r="AC10" s="156">
        <v>45148</v>
      </c>
      <c r="AD10" s="156">
        <v>45155</v>
      </c>
      <c r="AE10" s="80" t="s">
        <v>148</v>
      </c>
      <c r="AF10" s="156">
        <v>45162</v>
      </c>
      <c r="AG10" s="156">
        <v>45169</v>
      </c>
      <c r="AH10" s="156">
        <v>45176</v>
      </c>
      <c r="AI10" s="80" t="s">
        <v>149</v>
      </c>
      <c r="AJ10" s="156">
        <v>45183</v>
      </c>
      <c r="AK10" s="156">
        <v>45190</v>
      </c>
      <c r="AL10" s="156">
        <v>45197</v>
      </c>
      <c r="AM10" s="80" t="s">
        <v>148</v>
      </c>
      <c r="AN10" s="156">
        <v>45204</v>
      </c>
      <c r="AO10" s="156">
        <v>45211</v>
      </c>
      <c r="AP10" s="156">
        <v>45218</v>
      </c>
      <c r="AQ10" s="80" t="s">
        <v>149</v>
      </c>
      <c r="AR10" s="156">
        <v>45225</v>
      </c>
      <c r="AS10" s="192">
        <v>45232</v>
      </c>
      <c r="AT10" s="158">
        <v>45239</v>
      </c>
      <c r="AU10" s="80" t="s">
        <v>149</v>
      </c>
      <c r="AV10" s="156"/>
      <c r="AW10" s="157"/>
      <c r="AX10" s="158"/>
      <c r="AY10" s="80"/>
      <c r="AZ10" s="156"/>
      <c r="BA10" s="157"/>
      <c r="BB10" s="158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I10" s="80"/>
      <c r="CJ10" s="80"/>
      <c r="CK10" s="80"/>
      <c r="CL10" s="80"/>
      <c r="CM10" s="80"/>
      <c r="CN10" s="80"/>
      <c r="CO10" s="80"/>
      <c r="CP10" s="80"/>
      <c r="CQ10" s="80"/>
      <c r="CR10" s="80"/>
      <c r="CS10" s="80"/>
      <c r="CT10" s="80"/>
      <c r="CU10" s="80"/>
      <c r="CV10" s="80"/>
      <c r="CW10" s="80"/>
      <c r="CX10" s="80"/>
      <c r="CY10" s="80"/>
      <c r="CZ10" s="80"/>
      <c r="DA10" s="80"/>
      <c r="DB10" s="80"/>
      <c r="DC10" s="80"/>
      <c r="DD10" s="80"/>
      <c r="DE10" s="80"/>
      <c r="DF10" s="80"/>
      <c r="DG10" s="80"/>
      <c r="DH10" s="80"/>
      <c r="DI10" s="80"/>
      <c r="DJ10" s="80"/>
      <c r="DK10" s="80"/>
      <c r="DL10" s="80"/>
      <c r="DM10" s="80"/>
      <c r="DN10" s="80"/>
      <c r="DO10" s="80"/>
      <c r="DP10" s="80"/>
      <c r="DQ10" s="80"/>
      <c r="DR10" s="80"/>
      <c r="DS10" s="80"/>
      <c r="DT10" s="322">
        <v>45246</v>
      </c>
      <c r="DU10" s="73">
        <v>45264</v>
      </c>
      <c r="DV10" s="73">
        <v>45299</v>
      </c>
      <c r="DW10" s="322">
        <v>45327</v>
      </c>
      <c r="DX10" s="322">
        <v>45418</v>
      </c>
      <c r="DY10" s="322">
        <v>45523</v>
      </c>
      <c r="DZ10" s="203">
        <v>45609</v>
      </c>
      <c r="EA10" s="322">
        <v>45706</v>
      </c>
      <c r="EB10" s="322">
        <v>45796</v>
      </c>
      <c r="EC10" s="203">
        <v>45888</v>
      </c>
      <c r="ED10" s="264"/>
      <c r="EE10" s="20"/>
      <c r="EF10" s="339"/>
      <c r="EG10" s="338"/>
      <c r="EH10" s="349"/>
    </row>
    <row r="11" spans="1:138" s="36" customFormat="1" ht="35.1" customHeight="1">
      <c r="A11" s="31"/>
      <c r="B11" s="352" t="s">
        <v>163</v>
      </c>
      <c r="C11" s="340" t="s">
        <v>164</v>
      </c>
      <c r="D11" s="342" t="s">
        <v>165</v>
      </c>
      <c r="E11" s="340" t="s">
        <v>166</v>
      </c>
      <c r="F11" s="340" t="s">
        <v>154</v>
      </c>
      <c r="G11" s="340" t="s">
        <v>146</v>
      </c>
      <c r="H11" s="32" t="s">
        <v>147</v>
      </c>
      <c r="I11" s="31">
        <v>45103</v>
      </c>
      <c r="J11" s="33"/>
      <c r="K11" s="31">
        <v>45113</v>
      </c>
      <c r="L11" s="276" t="s">
        <v>148</v>
      </c>
      <c r="M11" s="33">
        <f>K11+7</f>
        <v>45120</v>
      </c>
      <c r="N11" s="33">
        <f>M11+7</f>
        <v>45127</v>
      </c>
      <c r="O11" s="33" t="s">
        <v>149</v>
      </c>
      <c r="P11" s="33">
        <f>N11+7</f>
        <v>45134</v>
      </c>
      <c r="Q11" s="33">
        <f>P11+7</f>
        <v>45141</v>
      </c>
      <c r="R11" s="33">
        <f>Q11+7</f>
        <v>45148</v>
      </c>
      <c r="S11" s="34" t="s">
        <v>149</v>
      </c>
      <c r="T11" s="34">
        <f>R11+7</f>
        <v>45155</v>
      </c>
      <c r="U11" s="34">
        <f>T11+7</f>
        <v>45162</v>
      </c>
      <c r="V11" s="34">
        <f>U11+7</f>
        <v>45169</v>
      </c>
      <c r="W11" s="34" t="s">
        <v>149</v>
      </c>
      <c r="X11" s="34">
        <f>V11+7</f>
        <v>45176</v>
      </c>
      <c r="Y11" s="34">
        <f>X11+7</f>
        <v>45183</v>
      </c>
      <c r="Z11" s="34">
        <f>Y11+7</f>
        <v>45190</v>
      </c>
      <c r="AA11" s="34" t="s">
        <v>149</v>
      </c>
      <c r="AB11" s="34">
        <f>Z11+7</f>
        <v>45197</v>
      </c>
      <c r="AC11" s="34">
        <f>AB11+7</f>
        <v>45204</v>
      </c>
      <c r="AD11" s="34">
        <f>AC11+7</f>
        <v>45211</v>
      </c>
      <c r="AE11" s="34" t="s">
        <v>149</v>
      </c>
      <c r="AF11" s="34">
        <f>AD11+7</f>
        <v>45218</v>
      </c>
      <c r="AG11" s="34">
        <f>AF11+7</f>
        <v>45225</v>
      </c>
      <c r="AH11" s="34">
        <f>AG11+7</f>
        <v>45232</v>
      </c>
      <c r="AI11" s="34" t="s">
        <v>149</v>
      </c>
      <c r="AJ11" s="34">
        <f>AH11+7</f>
        <v>45239</v>
      </c>
      <c r="AK11" s="34">
        <f>AJ11+7</f>
        <v>45246</v>
      </c>
      <c r="AL11" s="34">
        <f>AK11+7</f>
        <v>45253</v>
      </c>
      <c r="AM11" s="34" t="s">
        <v>149</v>
      </c>
      <c r="AN11" s="34">
        <f>AL11+7</f>
        <v>45260</v>
      </c>
      <c r="AO11" s="34">
        <f>AN11+7</f>
        <v>45267</v>
      </c>
      <c r="AP11" s="34">
        <f>AO11+7</f>
        <v>45274</v>
      </c>
      <c r="AQ11" s="34" t="s">
        <v>149</v>
      </c>
      <c r="AR11" s="34">
        <f>AP11+7</f>
        <v>45281</v>
      </c>
      <c r="AS11" s="34">
        <f>AR11+7</f>
        <v>45288</v>
      </c>
      <c r="AT11" s="34">
        <f>AS11+7</f>
        <v>45295</v>
      </c>
      <c r="AU11" s="34" t="s">
        <v>149</v>
      </c>
      <c r="AV11" s="34">
        <f>AT11+7</f>
        <v>45302</v>
      </c>
      <c r="AW11" s="34">
        <f>AV11+7</f>
        <v>45309</v>
      </c>
      <c r="AX11" s="34">
        <f>AW11+7</f>
        <v>45316</v>
      </c>
      <c r="AY11" s="34" t="s">
        <v>149</v>
      </c>
      <c r="AZ11" s="34">
        <f>AX11+7</f>
        <v>45323</v>
      </c>
      <c r="BA11" s="34">
        <f>AZ11+7</f>
        <v>45330</v>
      </c>
      <c r="BB11" s="34">
        <f>BA11+7</f>
        <v>45337</v>
      </c>
      <c r="BC11" s="34" t="s">
        <v>149</v>
      </c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>
        <f>T12+7</f>
        <v>7</v>
      </c>
      <c r="DU11" s="34">
        <v>45162</v>
      </c>
      <c r="DV11" s="81">
        <f>EDATE(DT12,3)</f>
        <v>45227</v>
      </c>
      <c r="DW11" s="81">
        <f>EDATE(DV11,3)</f>
        <v>45319</v>
      </c>
      <c r="DX11" s="81">
        <f>EDATE(CA11,3)</f>
        <v>91</v>
      </c>
      <c r="DY11" s="81">
        <f t="shared" ref="DY11:EC11" si="3">EDATE(DX11,3)</f>
        <v>182</v>
      </c>
      <c r="DZ11" s="81">
        <f t="shared" si="3"/>
        <v>274</v>
      </c>
      <c r="EA11" s="81">
        <f t="shared" si="3"/>
        <v>365</v>
      </c>
      <c r="EB11" s="81">
        <f t="shared" si="3"/>
        <v>455</v>
      </c>
      <c r="EC11" s="81">
        <f t="shared" si="3"/>
        <v>547</v>
      </c>
      <c r="ED11" s="265"/>
      <c r="EE11" s="35"/>
      <c r="EF11" s="344" t="s">
        <v>167</v>
      </c>
      <c r="EG11" s="345" t="s">
        <v>168</v>
      </c>
      <c r="EH11" s="344" t="s">
        <v>148</v>
      </c>
    </row>
    <row r="12" spans="1:138" s="36" customFormat="1" ht="39.950000000000003" customHeight="1">
      <c r="A12" s="31"/>
      <c r="B12" s="353"/>
      <c r="C12" s="341"/>
      <c r="D12" s="343"/>
      <c r="E12" s="341"/>
      <c r="F12" s="341"/>
      <c r="G12" s="341"/>
      <c r="H12" s="327" t="s">
        <v>150</v>
      </c>
      <c r="I12" s="31">
        <v>45103</v>
      </c>
      <c r="J12" s="31"/>
      <c r="K12" s="31">
        <v>45113</v>
      </c>
      <c r="L12" s="277" t="s">
        <v>148</v>
      </c>
      <c r="M12" s="31">
        <v>45120</v>
      </c>
      <c r="N12" s="31">
        <v>45126</v>
      </c>
      <c r="O12" s="327" t="s">
        <v>148</v>
      </c>
      <c r="P12" s="31">
        <v>45134</v>
      </c>
      <c r="Q12" s="31" t="s">
        <v>169</v>
      </c>
      <c r="R12" s="327"/>
      <c r="S12" s="331"/>
      <c r="T12" s="37"/>
      <c r="U12" s="38"/>
      <c r="V12" s="31"/>
      <c r="W12" s="38"/>
      <c r="X12" s="38"/>
      <c r="Y12" s="38"/>
      <c r="Z12" s="38"/>
      <c r="AA12" s="38"/>
      <c r="AB12" s="39"/>
      <c r="AC12" s="38"/>
      <c r="AD12" s="38"/>
      <c r="AE12" s="38"/>
      <c r="AF12" s="39"/>
      <c r="AG12" s="38"/>
      <c r="AH12" s="38"/>
      <c r="AI12" s="38"/>
      <c r="AJ12" s="39"/>
      <c r="AK12" s="38"/>
      <c r="AL12" s="38"/>
      <c r="AM12" s="38"/>
      <c r="AN12" s="39"/>
      <c r="AO12" s="38"/>
      <c r="AP12" s="38"/>
      <c r="AQ12" s="38"/>
      <c r="AR12" s="39"/>
      <c r="AS12" s="38"/>
      <c r="AT12" s="38"/>
      <c r="AU12" s="38"/>
      <c r="AV12" s="39"/>
      <c r="AW12" s="38"/>
      <c r="AX12" s="38"/>
      <c r="AY12" s="38"/>
      <c r="AZ12" s="39"/>
      <c r="BA12" s="38"/>
      <c r="BB12" s="38"/>
      <c r="BC12" s="38"/>
      <c r="DT12" s="31">
        <v>45135</v>
      </c>
      <c r="DU12" s="38" t="s">
        <v>170</v>
      </c>
      <c r="DV12" s="38">
        <v>45225</v>
      </c>
      <c r="DW12" s="38" t="s">
        <v>148</v>
      </c>
      <c r="DX12" s="38"/>
      <c r="DY12" s="38"/>
      <c r="DZ12" s="38"/>
      <c r="EA12" s="38"/>
      <c r="EB12" s="38"/>
      <c r="EC12" s="38"/>
      <c r="EE12" s="31" t="s">
        <v>171</v>
      </c>
      <c r="EF12" s="344"/>
      <c r="EG12" s="345"/>
      <c r="EH12" s="345"/>
    </row>
    <row r="13" spans="1:138" s="1" customFormat="1" ht="60.6" customHeight="1">
      <c r="A13" s="12"/>
      <c r="B13" s="356" t="s">
        <v>163</v>
      </c>
      <c r="C13" s="358" t="s">
        <v>172</v>
      </c>
      <c r="D13" s="360" t="s">
        <v>143</v>
      </c>
      <c r="E13" s="358" t="s">
        <v>173</v>
      </c>
      <c r="F13" s="358" t="s">
        <v>174</v>
      </c>
      <c r="G13" s="358" t="s">
        <v>146</v>
      </c>
      <c r="H13" s="74" t="s">
        <v>147</v>
      </c>
      <c r="I13" s="75">
        <v>45120</v>
      </c>
      <c r="J13" s="76"/>
      <c r="K13" s="75">
        <v>45127</v>
      </c>
      <c r="L13" s="273" t="s">
        <v>148</v>
      </c>
      <c r="M13" s="76">
        <f>K13+7</f>
        <v>45134</v>
      </c>
      <c r="N13" s="76">
        <f>M13+7</f>
        <v>45141</v>
      </c>
      <c r="O13" s="76" t="s">
        <v>149</v>
      </c>
      <c r="P13" s="76">
        <f>N13+7</f>
        <v>45148</v>
      </c>
      <c r="Q13" s="76">
        <f>P13+7</f>
        <v>45155</v>
      </c>
      <c r="R13" s="76">
        <f>Q13+7</f>
        <v>45162</v>
      </c>
      <c r="S13" s="77" t="s">
        <v>149</v>
      </c>
      <c r="T13" s="77">
        <f>R13+7</f>
        <v>45169</v>
      </c>
      <c r="U13" s="77">
        <f>T13+7</f>
        <v>45176</v>
      </c>
      <c r="V13" s="77">
        <f>U13+7</f>
        <v>45183</v>
      </c>
      <c r="W13" s="77" t="s">
        <v>149</v>
      </c>
      <c r="X13" s="77">
        <f>V13+7</f>
        <v>45190</v>
      </c>
      <c r="Y13" s="77">
        <f>X13+7</f>
        <v>45197</v>
      </c>
      <c r="Z13" s="77">
        <f>Y13+7</f>
        <v>45204</v>
      </c>
      <c r="AA13" s="77" t="s">
        <v>149</v>
      </c>
      <c r="AB13" s="77">
        <f>Z13+7</f>
        <v>45211</v>
      </c>
      <c r="AC13" s="77">
        <f>AB13+7</f>
        <v>45218</v>
      </c>
      <c r="AD13" s="77">
        <f>AC13+7</f>
        <v>45225</v>
      </c>
      <c r="AE13" s="77" t="s">
        <v>149</v>
      </c>
      <c r="AF13" s="77">
        <f>AD13+7</f>
        <v>45232</v>
      </c>
      <c r="AG13" s="77">
        <f>AF13+7</f>
        <v>45239</v>
      </c>
      <c r="AH13" s="77">
        <f>AG13+7</f>
        <v>45246</v>
      </c>
      <c r="AI13" s="77" t="s">
        <v>149</v>
      </c>
      <c r="AJ13" s="77">
        <f>AH13+7</f>
        <v>45253</v>
      </c>
      <c r="AK13" s="77">
        <f>AJ13+7</f>
        <v>45260</v>
      </c>
      <c r="AL13" s="77">
        <f>AK13+7</f>
        <v>45267</v>
      </c>
      <c r="AM13" s="77" t="s">
        <v>149</v>
      </c>
      <c r="AN13" s="77">
        <f>AL13+7</f>
        <v>45274</v>
      </c>
      <c r="AO13" s="77">
        <f>AN13+7</f>
        <v>45281</v>
      </c>
      <c r="AP13" s="77">
        <f>AO13+7</f>
        <v>45288</v>
      </c>
      <c r="AQ13" s="77" t="s">
        <v>149</v>
      </c>
      <c r="AR13" s="77">
        <f>AP13+7</f>
        <v>45295</v>
      </c>
      <c r="AS13" s="77">
        <f>AR13+7</f>
        <v>45302</v>
      </c>
      <c r="AT13" s="77">
        <f>AS13+7</f>
        <v>45309</v>
      </c>
      <c r="AU13" s="77" t="s">
        <v>149</v>
      </c>
      <c r="AV13" s="77">
        <f>AT13+7</f>
        <v>45316</v>
      </c>
      <c r="AW13" s="77">
        <f>AV13+7</f>
        <v>45323</v>
      </c>
      <c r="AX13" s="77">
        <f>AW13+7</f>
        <v>45330</v>
      </c>
      <c r="AY13" s="77" t="s">
        <v>149</v>
      </c>
      <c r="AZ13" s="77">
        <f>AX13+7</f>
        <v>45337</v>
      </c>
      <c r="BA13" s="77">
        <f>AZ13+7</f>
        <v>45344</v>
      </c>
      <c r="BB13" s="77">
        <f>BA13+7</f>
        <v>45351</v>
      </c>
      <c r="BC13" s="77" t="s">
        <v>149</v>
      </c>
      <c r="BD13" s="77">
        <f>BB13+7</f>
        <v>45358</v>
      </c>
      <c r="BE13" s="77">
        <f>BD13+7</f>
        <v>45365</v>
      </c>
      <c r="BF13" s="77">
        <f>BE13+7</f>
        <v>45372</v>
      </c>
      <c r="BG13" s="77" t="s">
        <v>148</v>
      </c>
      <c r="BH13" s="77">
        <f>BF13+7</f>
        <v>45379</v>
      </c>
      <c r="BI13" s="77">
        <f>BH13+7</f>
        <v>45386</v>
      </c>
      <c r="BJ13" s="77">
        <f>BI13+7</f>
        <v>45393</v>
      </c>
      <c r="BK13" s="77" t="s">
        <v>148</v>
      </c>
      <c r="BL13" s="77">
        <f>BJ13+7</f>
        <v>45400</v>
      </c>
      <c r="BM13" s="77">
        <f>BL13+7</f>
        <v>45407</v>
      </c>
      <c r="BN13" s="77">
        <f>BM13+7</f>
        <v>45414</v>
      </c>
      <c r="BO13" s="77" t="s">
        <v>149</v>
      </c>
      <c r="BP13" s="77">
        <f>BN13+7</f>
        <v>45421</v>
      </c>
      <c r="BQ13" s="77">
        <f>BP13+7</f>
        <v>45428</v>
      </c>
      <c r="BR13" s="77">
        <f>BQ13+7</f>
        <v>45435</v>
      </c>
      <c r="BS13" s="77" t="s">
        <v>148</v>
      </c>
      <c r="BT13" s="77">
        <f>BR13+7</f>
        <v>45442</v>
      </c>
      <c r="BU13" s="77">
        <f>BT13+7</f>
        <v>45449</v>
      </c>
      <c r="BV13" s="77">
        <f>BU13+7</f>
        <v>45456</v>
      </c>
      <c r="BW13" s="77" t="s">
        <v>149</v>
      </c>
      <c r="BX13" s="77">
        <f>BV13+7</f>
        <v>45463</v>
      </c>
      <c r="BY13" s="77">
        <f>BX13+7</f>
        <v>45470</v>
      </c>
      <c r="BZ13" s="77">
        <f>BY13+7</f>
        <v>45477</v>
      </c>
      <c r="CA13" s="77" t="s">
        <v>149</v>
      </c>
      <c r="CB13" s="77">
        <f>BZ13+7</f>
        <v>45484</v>
      </c>
      <c r="CC13" s="77">
        <f>CB13+7</f>
        <v>45491</v>
      </c>
      <c r="CD13" s="77">
        <f>CC13+7</f>
        <v>45498</v>
      </c>
      <c r="CE13" s="77" t="s">
        <v>148</v>
      </c>
      <c r="CF13" s="77">
        <f>CD13+7</f>
        <v>45505</v>
      </c>
      <c r="CG13" s="77"/>
      <c r="CH13" s="77"/>
      <c r="CI13" s="77" t="s">
        <v>148</v>
      </c>
      <c r="CJ13" s="77"/>
      <c r="CK13" s="77"/>
      <c r="CL13" s="77"/>
      <c r="CM13" s="77" t="s">
        <v>148</v>
      </c>
      <c r="CN13" s="77"/>
      <c r="CO13" s="77"/>
      <c r="CP13" s="77"/>
      <c r="CQ13" s="77"/>
      <c r="CR13" s="77"/>
      <c r="CS13" s="77"/>
      <c r="CT13" s="77"/>
      <c r="CU13" s="77"/>
      <c r="CV13" s="77"/>
      <c r="CW13" s="77"/>
      <c r="CX13" s="77"/>
      <c r="CY13" s="77"/>
      <c r="CZ13" s="77"/>
      <c r="DA13" s="77"/>
      <c r="DB13" s="77"/>
      <c r="DC13" s="77"/>
      <c r="DD13" s="77"/>
      <c r="DE13" s="77"/>
      <c r="DF13" s="77"/>
      <c r="DG13" s="77"/>
      <c r="DH13" s="77"/>
      <c r="DI13" s="77"/>
      <c r="DJ13" s="77"/>
      <c r="DK13" s="77"/>
      <c r="DL13" s="77"/>
      <c r="DM13" s="77"/>
      <c r="DN13" s="77"/>
      <c r="DO13" s="77"/>
      <c r="DP13" s="77"/>
      <c r="DQ13" s="77"/>
      <c r="DR13" s="77"/>
      <c r="DS13" s="77"/>
      <c r="DT13" s="17"/>
      <c r="DU13" s="17"/>
      <c r="DV13" s="13"/>
      <c r="DW13" s="13"/>
      <c r="DX13" s="13"/>
      <c r="DY13" s="13"/>
      <c r="DZ13" s="13"/>
      <c r="EA13" s="13"/>
      <c r="EB13" s="13"/>
      <c r="EC13" s="13"/>
      <c r="ED13" s="24"/>
      <c r="EE13" s="21"/>
      <c r="EF13" s="339"/>
      <c r="EG13" s="338"/>
      <c r="EH13" s="339"/>
    </row>
    <row r="14" spans="1:138" s="1" customFormat="1" ht="60.6" customHeight="1">
      <c r="A14" s="68"/>
      <c r="B14" s="357"/>
      <c r="C14" s="359"/>
      <c r="D14" s="361"/>
      <c r="E14" s="359"/>
      <c r="F14" s="359"/>
      <c r="G14" s="359"/>
      <c r="H14" s="324" t="s">
        <v>150</v>
      </c>
      <c r="I14" s="173">
        <v>45120</v>
      </c>
      <c r="J14" s="324"/>
      <c r="K14" s="173">
        <v>45127</v>
      </c>
      <c r="L14" s="274" t="s">
        <v>148</v>
      </c>
      <c r="M14" s="173">
        <v>45134</v>
      </c>
      <c r="N14" s="173">
        <v>45141</v>
      </c>
      <c r="O14" s="324" t="s">
        <v>148</v>
      </c>
      <c r="P14" s="173">
        <v>45148</v>
      </c>
      <c r="Q14" s="173">
        <v>45155</v>
      </c>
      <c r="R14" s="173">
        <v>45162</v>
      </c>
      <c r="S14" s="324" t="s">
        <v>148</v>
      </c>
      <c r="T14" s="173">
        <v>45169</v>
      </c>
      <c r="U14" s="173">
        <v>45176</v>
      </c>
      <c r="V14" s="173">
        <v>45183</v>
      </c>
      <c r="W14" s="152" t="s">
        <v>148</v>
      </c>
      <c r="X14" s="173">
        <v>45190</v>
      </c>
      <c r="Y14" s="173">
        <v>45197</v>
      </c>
      <c r="Z14" s="173">
        <v>45204</v>
      </c>
      <c r="AA14" s="176" t="s">
        <v>148</v>
      </c>
      <c r="AB14" s="173">
        <v>45208</v>
      </c>
      <c r="AC14" s="173">
        <v>45215</v>
      </c>
      <c r="AD14" s="173">
        <v>45222</v>
      </c>
      <c r="AE14" s="177" t="s">
        <v>148</v>
      </c>
      <c r="AF14" s="177">
        <v>45229</v>
      </c>
      <c r="AG14" s="177">
        <v>45236</v>
      </c>
      <c r="AH14" s="177">
        <v>45244</v>
      </c>
      <c r="AI14" s="177" t="s">
        <v>148</v>
      </c>
      <c r="AJ14" s="177">
        <v>45250</v>
      </c>
      <c r="AK14" s="177">
        <v>45257</v>
      </c>
      <c r="AL14" s="177">
        <v>45264</v>
      </c>
      <c r="AM14" s="177" t="s">
        <v>148</v>
      </c>
      <c r="AN14" s="177">
        <v>45271</v>
      </c>
      <c r="AO14" s="177">
        <v>45278</v>
      </c>
      <c r="AP14" s="177">
        <v>45287</v>
      </c>
      <c r="AQ14" s="167" t="s">
        <v>149</v>
      </c>
      <c r="AR14" s="177">
        <v>45293</v>
      </c>
      <c r="AS14" s="177">
        <v>45300</v>
      </c>
      <c r="AT14" s="177">
        <v>45310</v>
      </c>
      <c r="AU14" s="177" t="s">
        <v>148</v>
      </c>
      <c r="AV14" s="177">
        <v>45313</v>
      </c>
      <c r="AW14" s="177">
        <v>45320</v>
      </c>
      <c r="AX14" s="177">
        <v>45328</v>
      </c>
      <c r="AY14" s="177" t="s">
        <v>148</v>
      </c>
      <c r="AZ14" s="177">
        <v>45331</v>
      </c>
      <c r="BA14" s="177">
        <v>45338</v>
      </c>
      <c r="BB14" s="177">
        <v>45345</v>
      </c>
      <c r="BC14" s="177" t="s">
        <v>148</v>
      </c>
      <c r="BD14" s="177">
        <v>45355</v>
      </c>
      <c r="BE14" s="177">
        <v>45362</v>
      </c>
      <c r="BF14" s="177">
        <v>45370</v>
      </c>
      <c r="BG14" s="177" t="s">
        <v>148</v>
      </c>
      <c r="BH14" s="177">
        <v>45376</v>
      </c>
      <c r="BI14" s="177">
        <v>45383</v>
      </c>
      <c r="BJ14" s="177">
        <v>45391</v>
      </c>
      <c r="BK14" s="177" t="s">
        <v>148</v>
      </c>
      <c r="BL14" s="177">
        <v>45397</v>
      </c>
      <c r="BM14" s="177">
        <v>45404</v>
      </c>
      <c r="BN14" s="177">
        <v>45412</v>
      </c>
      <c r="BO14" s="177" t="s">
        <v>148</v>
      </c>
      <c r="BP14" s="177">
        <v>45418</v>
      </c>
      <c r="BQ14" s="177">
        <v>45425</v>
      </c>
      <c r="BR14" s="177">
        <v>45434</v>
      </c>
      <c r="BS14" s="177" t="s">
        <v>148</v>
      </c>
      <c r="BT14" s="177">
        <v>45440</v>
      </c>
      <c r="BU14" s="177">
        <v>45449</v>
      </c>
      <c r="BV14" s="177">
        <v>45453</v>
      </c>
      <c r="BW14" s="177" t="s">
        <v>148</v>
      </c>
      <c r="BX14" s="177">
        <v>45460</v>
      </c>
      <c r="BY14" s="177">
        <v>45481</v>
      </c>
      <c r="BZ14" s="177">
        <v>45487</v>
      </c>
      <c r="CA14" s="177" t="s">
        <v>148</v>
      </c>
      <c r="CB14" s="177">
        <v>45495</v>
      </c>
      <c r="CC14" s="177">
        <v>45502</v>
      </c>
      <c r="CD14" s="177">
        <v>45510</v>
      </c>
      <c r="CE14" s="177" t="s">
        <v>148</v>
      </c>
      <c r="CF14" s="177">
        <v>45516</v>
      </c>
      <c r="CG14" s="177">
        <v>45523</v>
      </c>
      <c r="CH14" s="177">
        <v>45531</v>
      </c>
      <c r="CI14" s="177" t="s">
        <v>148</v>
      </c>
      <c r="CJ14" s="177">
        <v>45538</v>
      </c>
      <c r="CK14" s="177">
        <v>45545</v>
      </c>
      <c r="CL14" s="177">
        <v>45553</v>
      </c>
      <c r="CM14" s="177" t="s">
        <v>148</v>
      </c>
      <c r="CN14" s="177">
        <v>45558</v>
      </c>
      <c r="CO14" s="177"/>
      <c r="CP14" s="177"/>
      <c r="CQ14" s="177"/>
      <c r="CR14" s="177"/>
      <c r="CS14" s="177"/>
      <c r="CT14" s="177"/>
      <c r="CU14" s="177"/>
      <c r="CV14" s="177"/>
      <c r="CW14" s="177"/>
      <c r="CX14" s="177"/>
      <c r="CY14" s="177"/>
      <c r="CZ14" s="177"/>
      <c r="DA14" s="177"/>
      <c r="DB14" s="177"/>
      <c r="DC14" s="177"/>
      <c r="DD14" s="177"/>
      <c r="DE14" s="177"/>
      <c r="DF14" s="177"/>
      <c r="DG14" s="177"/>
      <c r="DH14" s="177"/>
      <c r="DI14" s="177"/>
      <c r="DJ14" s="177"/>
      <c r="DK14" s="177"/>
      <c r="DL14" s="177"/>
      <c r="DM14" s="177"/>
      <c r="DN14" s="177"/>
      <c r="DO14" s="177"/>
      <c r="DP14" s="177"/>
      <c r="DQ14" s="177"/>
      <c r="DR14" s="177"/>
      <c r="DS14" s="177"/>
      <c r="DT14" s="28">
        <v>45579</v>
      </c>
      <c r="DU14" s="132">
        <v>45593</v>
      </c>
      <c r="DV14" s="204">
        <v>45656</v>
      </c>
      <c r="DW14" s="69">
        <v>45747</v>
      </c>
      <c r="DX14" s="69">
        <v>45831</v>
      </c>
      <c r="DY14" s="69">
        <v>45926</v>
      </c>
      <c r="DZ14" s="69">
        <v>46020</v>
      </c>
      <c r="EA14" s="69">
        <v>46107</v>
      </c>
      <c r="EB14" s="69"/>
      <c r="EC14" s="69"/>
      <c r="ED14" s="22"/>
      <c r="EE14" s="22"/>
      <c r="EF14" s="339"/>
      <c r="EG14" s="338"/>
      <c r="EH14" s="338"/>
    </row>
    <row r="15" spans="1:138" s="36" customFormat="1" ht="59.45" customHeight="1">
      <c r="A15" s="31"/>
      <c r="B15" s="352" t="s">
        <v>163</v>
      </c>
      <c r="C15" s="340" t="s">
        <v>175</v>
      </c>
      <c r="D15" s="342" t="s">
        <v>157</v>
      </c>
      <c r="E15" s="340" t="s">
        <v>176</v>
      </c>
      <c r="F15" s="340" t="s">
        <v>154</v>
      </c>
      <c r="G15" s="340" t="s">
        <v>146</v>
      </c>
      <c r="H15" s="40" t="s">
        <v>147</v>
      </c>
      <c r="I15" s="31">
        <v>45119</v>
      </c>
      <c r="J15" s="41"/>
      <c r="K15" s="31">
        <v>45134</v>
      </c>
      <c r="L15" s="276" t="s">
        <v>148</v>
      </c>
      <c r="M15" s="33">
        <f>K15+7</f>
        <v>45141</v>
      </c>
      <c r="N15" s="33">
        <f>M15+7</f>
        <v>45148</v>
      </c>
      <c r="O15" s="33" t="s">
        <v>148</v>
      </c>
      <c r="P15" s="33">
        <f>N15+7</f>
        <v>45155</v>
      </c>
      <c r="Q15" s="33">
        <f>P15+7</f>
        <v>45162</v>
      </c>
      <c r="R15" s="33">
        <f>Q15+7</f>
        <v>45169</v>
      </c>
      <c r="S15" s="34" t="s">
        <v>148</v>
      </c>
      <c r="T15" s="42">
        <f>R15+7</f>
        <v>45176</v>
      </c>
      <c r="U15" s="42">
        <f>T15+7</f>
        <v>45183</v>
      </c>
      <c r="V15" s="42">
        <f>U15+7</f>
        <v>45190</v>
      </c>
      <c r="W15" s="42" t="s">
        <v>148</v>
      </c>
      <c r="X15" s="42"/>
      <c r="Y15" s="42"/>
      <c r="Z15" s="42"/>
      <c r="AA15" s="42">
        <f t="shared" ref="AA15" si="4">Z15+21</f>
        <v>21</v>
      </c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>
        <f>U15+7</f>
        <v>45190</v>
      </c>
      <c r="DU15" s="36">
        <v>45183</v>
      </c>
      <c r="DV15" s="37">
        <v>45247</v>
      </c>
      <c r="DW15" s="37"/>
      <c r="DX15" s="43"/>
      <c r="DY15" s="43"/>
      <c r="DZ15" s="43"/>
      <c r="EA15" s="43"/>
      <c r="EB15" s="43"/>
      <c r="EC15" s="43"/>
      <c r="ED15" s="43"/>
      <c r="EE15" s="44"/>
      <c r="EF15" s="344"/>
      <c r="EG15" s="344"/>
      <c r="EH15" s="344"/>
    </row>
    <row r="16" spans="1:138" s="36" customFormat="1" ht="63.6" customHeight="1">
      <c r="A16" s="31"/>
      <c r="B16" s="353"/>
      <c r="C16" s="341"/>
      <c r="D16" s="343"/>
      <c r="E16" s="365"/>
      <c r="F16" s="341"/>
      <c r="G16" s="341"/>
      <c r="H16" s="45" t="s">
        <v>150</v>
      </c>
      <c r="I16" s="31">
        <v>45119</v>
      </c>
      <c r="J16" s="46"/>
      <c r="K16" s="31">
        <v>45134</v>
      </c>
      <c r="L16" s="277" t="s">
        <v>148</v>
      </c>
      <c r="M16" s="31">
        <v>45141</v>
      </c>
      <c r="N16" s="31">
        <v>45148</v>
      </c>
      <c r="O16" s="46">
        <v>43395</v>
      </c>
      <c r="P16" s="31">
        <v>45155</v>
      </c>
      <c r="Q16" s="46" t="s">
        <v>155</v>
      </c>
      <c r="R16" s="46" t="s">
        <v>155</v>
      </c>
      <c r="S16" s="46" t="s">
        <v>155</v>
      </c>
      <c r="T16" s="335"/>
      <c r="U16" s="335"/>
      <c r="V16" s="335"/>
      <c r="W16" s="335"/>
      <c r="X16" s="335"/>
      <c r="Y16" s="335"/>
      <c r="Z16" s="335"/>
      <c r="AA16" s="335"/>
      <c r="AB16" s="335"/>
      <c r="AC16" s="335"/>
      <c r="AD16" s="335"/>
      <c r="AE16" s="335"/>
      <c r="AF16" s="335"/>
      <c r="AG16" s="335"/>
      <c r="AH16" s="335"/>
      <c r="AI16" s="335"/>
      <c r="AJ16" s="335"/>
      <c r="AK16" s="335"/>
      <c r="AL16" s="335"/>
      <c r="AM16" s="335"/>
      <c r="AN16" s="335"/>
      <c r="AO16" s="335"/>
      <c r="AP16" s="335"/>
      <c r="AQ16" s="335"/>
      <c r="AR16" s="335"/>
      <c r="AS16" s="335"/>
      <c r="AT16" s="335"/>
      <c r="AU16" s="335"/>
      <c r="AV16" s="335"/>
      <c r="AW16" s="335"/>
      <c r="AX16" s="335"/>
      <c r="AY16" s="335"/>
      <c r="AZ16" s="335"/>
      <c r="BA16" s="335"/>
      <c r="BB16" s="335"/>
      <c r="BC16" s="335"/>
      <c r="BD16" s="335"/>
      <c r="BE16" s="335"/>
      <c r="BF16" s="335"/>
      <c r="BG16" s="335"/>
      <c r="BH16" s="335"/>
      <c r="BI16" s="335"/>
      <c r="BJ16" s="335"/>
      <c r="BK16" s="335"/>
      <c r="BL16" s="335"/>
      <c r="BM16" s="335"/>
      <c r="BN16" s="335"/>
      <c r="BO16" s="335"/>
      <c r="BP16" s="335"/>
      <c r="BQ16" s="335"/>
      <c r="BR16" s="335"/>
      <c r="BS16" s="335"/>
      <c r="BT16" s="335"/>
      <c r="BU16" s="335"/>
      <c r="BV16" s="335"/>
      <c r="BW16" s="335"/>
      <c r="BX16" s="335"/>
      <c r="BY16" s="335"/>
      <c r="BZ16" s="335"/>
      <c r="CA16" s="335"/>
      <c r="CB16" s="335"/>
      <c r="CC16" s="335"/>
      <c r="CD16" s="335"/>
      <c r="CE16" s="335"/>
      <c r="CF16" s="335"/>
      <c r="CG16" s="335"/>
      <c r="CH16" s="335"/>
      <c r="CI16" s="335"/>
      <c r="CJ16" s="335"/>
      <c r="CK16" s="335"/>
      <c r="CL16" s="335"/>
      <c r="CM16" s="335"/>
      <c r="CN16" s="335"/>
      <c r="CO16" s="335"/>
      <c r="CP16" s="335"/>
      <c r="CQ16" s="335"/>
      <c r="CR16" s="335"/>
      <c r="CS16" s="335"/>
      <c r="CT16" s="335"/>
      <c r="CU16" s="335"/>
      <c r="CV16" s="335"/>
      <c r="CW16" s="335"/>
      <c r="CX16" s="335"/>
      <c r="CY16" s="335"/>
      <c r="CZ16" s="335"/>
      <c r="DA16" s="335"/>
      <c r="DB16" s="335"/>
      <c r="DC16" s="335"/>
      <c r="DD16" s="335"/>
      <c r="DE16" s="335"/>
      <c r="DF16" s="335"/>
      <c r="DG16" s="335"/>
      <c r="DH16" s="335"/>
      <c r="DI16" s="335"/>
      <c r="DJ16" s="335"/>
      <c r="DK16" s="335"/>
      <c r="DL16" s="335"/>
      <c r="DM16" s="335"/>
      <c r="DN16" s="335"/>
      <c r="DO16" s="335"/>
      <c r="DP16" s="335"/>
      <c r="DQ16" s="335"/>
      <c r="DR16" s="335"/>
      <c r="DS16" s="335"/>
      <c r="DT16" s="133">
        <v>45162</v>
      </c>
      <c r="DU16" s="332" t="s">
        <v>177</v>
      </c>
      <c r="DV16" s="328">
        <v>45214</v>
      </c>
      <c r="DW16" s="328" t="s">
        <v>148</v>
      </c>
      <c r="DX16" s="335"/>
      <c r="DY16" s="335"/>
      <c r="DZ16" s="335"/>
      <c r="EA16" s="335"/>
      <c r="EB16" s="335"/>
      <c r="EC16" s="335"/>
      <c r="ED16" s="335"/>
      <c r="EE16" s="335"/>
      <c r="EF16" s="344"/>
      <c r="EG16" s="345"/>
      <c r="EH16" s="345"/>
    </row>
    <row r="17" spans="1:138" s="36" customFormat="1" ht="35.1" customHeight="1">
      <c r="A17" s="31"/>
      <c r="B17" s="352" t="s">
        <v>178</v>
      </c>
      <c r="C17" s="364" t="s">
        <v>179</v>
      </c>
      <c r="D17" s="342" t="s">
        <v>165</v>
      </c>
      <c r="E17" s="342" t="s">
        <v>180</v>
      </c>
      <c r="F17" s="342" t="s">
        <v>174</v>
      </c>
      <c r="G17" s="342" t="s">
        <v>146</v>
      </c>
      <c r="H17" s="32" t="s">
        <v>147</v>
      </c>
      <c r="I17" s="56">
        <v>45170</v>
      </c>
      <c r="J17" s="33"/>
      <c r="K17" s="31">
        <v>45176</v>
      </c>
      <c r="L17" s="276" t="s">
        <v>148</v>
      </c>
      <c r="M17" s="259">
        <f>K17+7</f>
        <v>45183</v>
      </c>
      <c r="N17" s="259">
        <f>M17+7</f>
        <v>45190</v>
      </c>
      <c r="O17" s="259" t="s">
        <v>148</v>
      </c>
      <c r="P17" s="259">
        <f>N17+7</f>
        <v>45197</v>
      </c>
      <c r="Q17" s="259">
        <f>P17+7</f>
        <v>45204</v>
      </c>
      <c r="R17" s="259">
        <f>Q17+7</f>
        <v>45211</v>
      </c>
      <c r="S17" s="42" t="s">
        <v>148</v>
      </c>
      <c r="T17" s="42">
        <f>R17+7</f>
        <v>45218</v>
      </c>
      <c r="U17" s="42">
        <f>T17+7</f>
        <v>45225</v>
      </c>
      <c r="V17" s="42">
        <f>U17+7</f>
        <v>45232</v>
      </c>
      <c r="W17" s="42" t="s">
        <v>148</v>
      </c>
      <c r="X17" s="42">
        <f>V17+7</f>
        <v>45239</v>
      </c>
      <c r="Y17" s="42">
        <f>X17+7</f>
        <v>45246</v>
      </c>
      <c r="Z17" s="42">
        <f>Y17+7</f>
        <v>45253</v>
      </c>
      <c r="AA17" s="42" t="s">
        <v>148</v>
      </c>
      <c r="AB17" s="42">
        <f>Z17+7</f>
        <v>45260</v>
      </c>
      <c r="AC17" s="42">
        <f>AB17+7</f>
        <v>45267</v>
      </c>
      <c r="AD17" s="42">
        <f>AC17+7</f>
        <v>45274</v>
      </c>
      <c r="AE17" s="42" t="s">
        <v>148</v>
      </c>
      <c r="AF17" s="42">
        <f>AD17+7</f>
        <v>45281</v>
      </c>
      <c r="AG17" s="42">
        <f>AF17+7</f>
        <v>45288</v>
      </c>
      <c r="AH17" s="42">
        <f>AG17+7</f>
        <v>45295</v>
      </c>
      <c r="AI17" s="42" t="s">
        <v>148</v>
      </c>
      <c r="AJ17" s="260">
        <f>AH17+7</f>
        <v>45302</v>
      </c>
      <c r="AK17" s="260">
        <f>AJ17+7</f>
        <v>45309</v>
      </c>
      <c r="AL17" s="42">
        <f>AK17+7</f>
        <v>45316</v>
      </c>
      <c r="AM17" s="42" t="s">
        <v>148</v>
      </c>
      <c r="AN17" s="42">
        <f>AL17+7</f>
        <v>45323</v>
      </c>
      <c r="AO17" s="42">
        <f>AN17+7</f>
        <v>45330</v>
      </c>
      <c r="AP17" s="42">
        <f>AO17+7</f>
        <v>45337</v>
      </c>
      <c r="AQ17" s="42" t="s">
        <v>148</v>
      </c>
      <c r="AR17" s="42">
        <f>AP17+7</f>
        <v>45344</v>
      </c>
      <c r="AS17" s="42">
        <f>AR17+7</f>
        <v>45351</v>
      </c>
      <c r="AT17" s="42">
        <f>AS17+7</f>
        <v>45358</v>
      </c>
      <c r="AU17" s="42" t="s">
        <v>148</v>
      </c>
      <c r="AV17" s="42">
        <f>AT17+7</f>
        <v>45365</v>
      </c>
      <c r="AW17" s="42">
        <f>AV17+7</f>
        <v>45372</v>
      </c>
      <c r="AX17" s="42">
        <f>AW17+7</f>
        <v>45379</v>
      </c>
      <c r="AY17" s="42" t="s">
        <v>148</v>
      </c>
      <c r="AZ17" s="42">
        <f>AX17+7</f>
        <v>45386</v>
      </c>
      <c r="BA17" s="42">
        <f>AZ17+7</f>
        <v>45393</v>
      </c>
      <c r="BB17" s="42">
        <f>BA17+7</f>
        <v>45400</v>
      </c>
      <c r="BC17" s="42" t="s">
        <v>148</v>
      </c>
      <c r="BD17" s="34">
        <f>BB17+7</f>
        <v>45407</v>
      </c>
      <c r="BE17" s="34">
        <f>BD17+7</f>
        <v>45414</v>
      </c>
      <c r="BF17" s="34">
        <f>BE17+7</f>
        <v>45421</v>
      </c>
      <c r="BG17" s="34" t="s">
        <v>148</v>
      </c>
      <c r="BH17" s="34">
        <f>BF17+7</f>
        <v>45428</v>
      </c>
      <c r="BI17" s="34">
        <f>BH17+7</f>
        <v>45435</v>
      </c>
      <c r="BJ17" s="34">
        <f>BI17+7</f>
        <v>45442</v>
      </c>
      <c r="BK17" s="34" t="s">
        <v>148</v>
      </c>
      <c r="BL17" s="34">
        <f>BJ17+7</f>
        <v>45449</v>
      </c>
      <c r="BM17" s="34">
        <f>BL17+7</f>
        <v>45456</v>
      </c>
      <c r="BN17" s="34">
        <f>BM17+7</f>
        <v>45463</v>
      </c>
      <c r="BO17" s="34" t="s">
        <v>149</v>
      </c>
      <c r="BP17" s="34">
        <f>BN17+7</f>
        <v>45470</v>
      </c>
      <c r="BQ17" s="34">
        <f>BP17+7</f>
        <v>45477</v>
      </c>
      <c r="BR17" s="34">
        <f>BQ17+7</f>
        <v>45484</v>
      </c>
      <c r="BS17" s="34" t="s">
        <v>148</v>
      </c>
      <c r="BT17" s="34">
        <f>BR17+7</f>
        <v>45491</v>
      </c>
      <c r="BU17" s="34">
        <f>BT17+7</f>
        <v>45498</v>
      </c>
      <c r="BV17" s="34">
        <f>BU17+7</f>
        <v>45505</v>
      </c>
      <c r="BW17" s="34" t="s">
        <v>149</v>
      </c>
      <c r="BX17" s="34">
        <f>BV17+7</f>
        <v>45512</v>
      </c>
      <c r="BY17" s="34">
        <f>BX17+7</f>
        <v>45519</v>
      </c>
      <c r="BZ17" s="34">
        <f>BY17+7</f>
        <v>45526</v>
      </c>
      <c r="CA17" s="34" t="s">
        <v>149</v>
      </c>
      <c r="CB17" s="34"/>
      <c r="CC17" s="34"/>
      <c r="CD17" s="34"/>
      <c r="CE17" s="34" t="s">
        <v>148</v>
      </c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2"/>
      <c r="DW17" s="32"/>
      <c r="DX17" s="32"/>
      <c r="DY17" s="32"/>
      <c r="DZ17" s="32"/>
      <c r="EA17" s="32"/>
      <c r="EB17" s="32"/>
      <c r="EC17" s="32"/>
      <c r="ED17" s="123"/>
      <c r="EE17" s="57"/>
      <c r="EF17" s="344"/>
      <c r="EG17" s="344"/>
      <c r="EH17" s="344"/>
    </row>
    <row r="18" spans="1:138" s="36" customFormat="1" ht="75.95" customHeight="1">
      <c r="A18" s="31"/>
      <c r="B18" s="353"/>
      <c r="C18" s="365"/>
      <c r="D18" s="343"/>
      <c r="E18" s="343"/>
      <c r="F18" s="343"/>
      <c r="G18" s="343"/>
      <c r="H18" s="327" t="s">
        <v>150</v>
      </c>
      <c r="I18" s="56">
        <v>45170</v>
      </c>
      <c r="J18" s="327"/>
      <c r="K18" s="31">
        <v>45176</v>
      </c>
      <c r="L18" s="277" t="s">
        <v>148</v>
      </c>
      <c r="M18" s="31">
        <v>45183</v>
      </c>
      <c r="N18" s="31">
        <v>45190</v>
      </c>
      <c r="O18" s="327" t="s">
        <v>148</v>
      </c>
      <c r="P18" s="31">
        <v>45196</v>
      </c>
      <c r="Q18" s="31">
        <v>45203</v>
      </c>
      <c r="R18" s="31">
        <v>45209</v>
      </c>
      <c r="S18" s="261" t="s">
        <v>148</v>
      </c>
      <c r="T18" s="31">
        <v>45218</v>
      </c>
      <c r="U18" s="31">
        <v>45225</v>
      </c>
      <c r="V18" s="327">
        <v>45232</v>
      </c>
      <c r="W18" s="327" t="s">
        <v>148</v>
      </c>
      <c r="X18" s="327">
        <v>45239</v>
      </c>
      <c r="Y18" s="327">
        <v>45246</v>
      </c>
      <c r="Z18" s="327">
        <v>45253</v>
      </c>
      <c r="AA18" s="327" t="s">
        <v>148</v>
      </c>
      <c r="AB18" s="327">
        <v>45258</v>
      </c>
      <c r="AC18" s="327">
        <v>45265</v>
      </c>
      <c r="AD18" s="327">
        <v>45272</v>
      </c>
      <c r="AE18" s="327" t="s">
        <v>148</v>
      </c>
      <c r="AF18" s="327">
        <v>45279</v>
      </c>
      <c r="AG18" s="327">
        <v>45286</v>
      </c>
      <c r="AH18" s="327">
        <v>45295</v>
      </c>
      <c r="AI18" s="327" t="s">
        <v>148</v>
      </c>
      <c r="AJ18" s="327">
        <v>45300</v>
      </c>
      <c r="AK18" s="327">
        <v>45307</v>
      </c>
      <c r="AL18" s="327">
        <v>45314</v>
      </c>
      <c r="AM18" s="327" t="s">
        <v>148</v>
      </c>
      <c r="AN18" s="327">
        <v>45321</v>
      </c>
      <c r="AO18" s="327">
        <v>45328</v>
      </c>
      <c r="AP18" s="327">
        <v>45335</v>
      </c>
      <c r="AQ18" s="327" t="s">
        <v>148</v>
      </c>
      <c r="AR18" s="327">
        <v>45342</v>
      </c>
      <c r="AS18" s="327">
        <v>45349</v>
      </c>
      <c r="AT18" s="327">
        <v>45358</v>
      </c>
      <c r="AU18" s="327" t="s">
        <v>148</v>
      </c>
      <c r="AV18" s="327">
        <v>45364</v>
      </c>
      <c r="AW18" s="327">
        <v>45370</v>
      </c>
      <c r="AX18" s="327">
        <v>45377</v>
      </c>
      <c r="AY18" s="327" t="s">
        <v>148</v>
      </c>
      <c r="AZ18" s="327">
        <v>45384</v>
      </c>
      <c r="BA18" s="327">
        <v>45391</v>
      </c>
      <c r="BB18" s="327">
        <v>45398</v>
      </c>
      <c r="BC18" s="327" t="s">
        <v>148</v>
      </c>
      <c r="BD18" s="327">
        <v>45405</v>
      </c>
      <c r="BE18" s="327">
        <v>45412</v>
      </c>
      <c r="BF18" s="327">
        <v>45419</v>
      </c>
      <c r="BG18" s="327" t="s">
        <v>148</v>
      </c>
      <c r="BH18" s="327">
        <v>45426</v>
      </c>
      <c r="BI18" s="327">
        <v>45433</v>
      </c>
      <c r="BJ18" s="327" t="s">
        <v>181</v>
      </c>
      <c r="BK18" s="327" t="s">
        <v>148</v>
      </c>
      <c r="BL18" s="327">
        <v>45447</v>
      </c>
      <c r="BM18" s="327">
        <v>45454</v>
      </c>
      <c r="BN18" s="327" t="s">
        <v>182</v>
      </c>
      <c r="BO18" s="327" t="s">
        <v>148</v>
      </c>
      <c r="BP18" s="327">
        <v>45468</v>
      </c>
      <c r="BQ18" s="327">
        <v>45475</v>
      </c>
      <c r="BR18" s="327" t="s">
        <v>181</v>
      </c>
      <c r="BS18" s="327" t="s">
        <v>148</v>
      </c>
      <c r="BT18" s="327">
        <v>45489</v>
      </c>
      <c r="BU18" s="327">
        <v>45496</v>
      </c>
      <c r="BV18" s="327" t="s">
        <v>182</v>
      </c>
      <c r="BW18" s="327" t="s">
        <v>148</v>
      </c>
      <c r="BX18" s="327">
        <v>45510</v>
      </c>
      <c r="BY18" s="327">
        <v>45517</v>
      </c>
      <c r="BZ18" s="327" t="s">
        <v>182</v>
      </c>
      <c r="CA18" s="327" t="s">
        <v>148</v>
      </c>
      <c r="CB18" s="327">
        <v>45531</v>
      </c>
      <c r="CC18" s="327">
        <v>45538</v>
      </c>
      <c r="CD18" s="327" t="s">
        <v>182</v>
      </c>
      <c r="CE18" s="327" t="s">
        <v>148</v>
      </c>
      <c r="CF18" s="327">
        <v>45554</v>
      </c>
      <c r="CG18" s="327">
        <v>45559</v>
      </c>
      <c r="CH18" s="327" t="s">
        <v>182</v>
      </c>
      <c r="CI18" s="327" t="s">
        <v>148</v>
      </c>
      <c r="CJ18" s="327">
        <v>45580</v>
      </c>
      <c r="CK18" s="327">
        <v>45587</v>
      </c>
      <c r="CL18" s="327" t="s">
        <v>182</v>
      </c>
      <c r="CM18" s="327" t="s">
        <v>148</v>
      </c>
      <c r="CN18" s="327">
        <v>45601</v>
      </c>
      <c r="CO18" s="327">
        <v>45608</v>
      </c>
      <c r="CP18" s="327" t="s">
        <v>182</v>
      </c>
      <c r="CQ18" s="327" t="s">
        <v>148</v>
      </c>
      <c r="CR18" s="327">
        <v>45629</v>
      </c>
      <c r="CS18" s="327">
        <v>45636</v>
      </c>
      <c r="CT18" s="327" t="s">
        <v>182</v>
      </c>
      <c r="CU18" s="327" t="s">
        <v>149</v>
      </c>
      <c r="CV18" s="327">
        <v>45650</v>
      </c>
      <c r="CW18" s="327">
        <v>45659</v>
      </c>
      <c r="CX18" s="327" t="s">
        <v>182</v>
      </c>
      <c r="CY18" s="327" t="s">
        <v>149</v>
      </c>
      <c r="CZ18" s="327">
        <v>45671</v>
      </c>
      <c r="DA18" s="327">
        <v>45678</v>
      </c>
      <c r="DB18" s="327" t="s">
        <v>182</v>
      </c>
      <c r="DC18" s="327" t="s">
        <v>149</v>
      </c>
      <c r="DD18" s="327"/>
      <c r="DE18" s="327"/>
      <c r="DF18" s="327"/>
      <c r="DG18" s="327"/>
      <c r="DH18" s="327"/>
      <c r="DI18" s="327"/>
      <c r="DJ18" s="327"/>
      <c r="DK18" s="327"/>
      <c r="DL18" s="327"/>
      <c r="DM18" s="327"/>
      <c r="DN18" s="327"/>
      <c r="DO18" s="327"/>
      <c r="DP18" s="327"/>
      <c r="DQ18" s="327"/>
      <c r="DR18" s="327"/>
      <c r="DS18" s="327"/>
      <c r="DT18" s="327">
        <v>45692</v>
      </c>
      <c r="DU18" s="327" t="s">
        <v>183</v>
      </c>
      <c r="DV18" s="327">
        <v>45768</v>
      </c>
      <c r="DW18" s="327">
        <v>45873</v>
      </c>
      <c r="DX18" s="327">
        <v>45966</v>
      </c>
      <c r="DY18" s="327"/>
      <c r="DZ18" s="327"/>
      <c r="EA18" s="327"/>
      <c r="EB18" s="327"/>
      <c r="EC18" s="327"/>
      <c r="ED18" s="124"/>
      <c r="EE18" s="55"/>
      <c r="EF18" s="344"/>
      <c r="EG18" s="345"/>
      <c r="EH18" s="345"/>
    </row>
    <row r="19" spans="1:138" s="36" customFormat="1" ht="35.1" customHeight="1">
      <c r="A19" s="31"/>
      <c r="B19" s="352" t="s">
        <v>178</v>
      </c>
      <c r="C19" s="340" t="s">
        <v>184</v>
      </c>
      <c r="D19" s="342" t="s">
        <v>157</v>
      </c>
      <c r="E19" s="340" t="s">
        <v>185</v>
      </c>
      <c r="F19" s="340" t="s">
        <v>158</v>
      </c>
      <c r="G19" s="340" t="s">
        <v>146</v>
      </c>
      <c r="H19" s="32" t="s">
        <v>147</v>
      </c>
      <c r="I19" s="31">
        <v>45176</v>
      </c>
      <c r="J19" s="47"/>
      <c r="K19" s="33"/>
      <c r="L19" s="276" t="s">
        <v>148</v>
      </c>
      <c r="M19" s="33">
        <f>K19+7</f>
        <v>7</v>
      </c>
      <c r="N19" s="33">
        <f>M19+7</f>
        <v>14</v>
      </c>
      <c r="O19" s="33">
        <f>N19+7</f>
        <v>21</v>
      </c>
      <c r="P19" s="33">
        <f>N19+7</f>
        <v>21</v>
      </c>
      <c r="Q19" s="33">
        <f>P19+7</f>
        <v>28</v>
      </c>
      <c r="R19" s="33">
        <f>Q19+7</f>
        <v>35</v>
      </c>
      <c r="S19" s="34">
        <f>R19+7</f>
        <v>42</v>
      </c>
      <c r="T19" s="34">
        <f t="shared" ref="T19:AU19" si="5">S19+21</f>
        <v>63</v>
      </c>
      <c r="U19" s="34">
        <f t="shared" si="5"/>
        <v>84</v>
      </c>
      <c r="V19" s="34">
        <f t="shared" si="5"/>
        <v>105</v>
      </c>
      <c r="W19" s="34">
        <f t="shared" si="5"/>
        <v>126</v>
      </c>
      <c r="X19" s="34">
        <f t="shared" si="5"/>
        <v>147</v>
      </c>
      <c r="Y19" s="34">
        <f t="shared" si="5"/>
        <v>168</v>
      </c>
      <c r="Z19" s="34">
        <f t="shared" si="5"/>
        <v>189</v>
      </c>
      <c r="AA19" s="34">
        <f t="shared" si="5"/>
        <v>210</v>
      </c>
      <c r="AB19" s="34">
        <f>W19+21</f>
        <v>147</v>
      </c>
      <c r="AC19" s="34">
        <f t="shared" ref="AC19:AE19" si="6">AB19+21</f>
        <v>168</v>
      </c>
      <c r="AD19" s="34">
        <f t="shared" si="6"/>
        <v>189</v>
      </c>
      <c r="AE19" s="34">
        <f t="shared" si="6"/>
        <v>210</v>
      </c>
      <c r="AF19" s="34">
        <f>W19+21</f>
        <v>147</v>
      </c>
      <c r="AG19" s="34">
        <f t="shared" ref="AG19:AI19" si="7">AF19+21</f>
        <v>168</v>
      </c>
      <c r="AH19" s="34">
        <f t="shared" si="7"/>
        <v>189</v>
      </c>
      <c r="AI19" s="34">
        <f t="shared" si="7"/>
        <v>210</v>
      </c>
      <c r="AJ19" s="34">
        <f>W19+21</f>
        <v>147</v>
      </c>
      <c r="AK19" s="34">
        <f t="shared" ref="AK19:AM19" si="8">AJ19+21</f>
        <v>168</v>
      </c>
      <c r="AL19" s="34">
        <f t="shared" si="8"/>
        <v>189</v>
      </c>
      <c r="AM19" s="34">
        <f t="shared" si="8"/>
        <v>210</v>
      </c>
      <c r="AN19" s="34">
        <f>W19+21</f>
        <v>147</v>
      </c>
      <c r="AO19" s="34">
        <f t="shared" ref="AO19:AQ19" si="9">AN19+21</f>
        <v>168</v>
      </c>
      <c r="AP19" s="34">
        <f t="shared" si="9"/>
        <v>189</v>
      </c>
      <c r="AQ19" s="34">
        <f t="shared" si="9"/>
        <v>210</v>
      </c>
      <c r="AR19" s="34">
        <f>AA19+21</f>
        <v>231</v>
      </c>
      <c r="AS19" s="34">
        <f t="shared" si="5"/>
        <v>252</v>
      </c>
      <c r="AT19" s="34">
        <f t="shared" si="5"/>
        <v>273</v>
      </c>
      <c r="AU19" s="34">
        <f t="shared" si="5"/>
        <v>294</v>
      </c>
      <c r="AV19" s="34">
        <f>AE19+21</f>
        <v>231</v>
      </c>
      <c r="AW19" s="34">
        <f t="shared" ref="AW19" si="10">AV19+21</f>
        <v>252</v>
      </c>
      <c r="AX19" s="34">
        <f t="shared" ref="AX19" si="11">AW19+21</f>
        <v>273</v>
      </c>
      <c r="AY19" s="34">
        <f t="shared" ref="AY19" si="12">AX19+21</f>
        <v>294</v>
      </c>
      <c r="AZ19" s="34">
        <f>AI19+21</f>
        <v>231</v>
      </c>
      <c r="BA19" s="34">
        <f t="shared" ref="BA19" si="13">AZ19+21</f>
        <v>252</v>
      </c>
      <c r="BB19" s="34">
        <f t="shared" ref="BB19" si="14">BA19+21</f>
        <v>273</v>
      </c>
      <c r="BC19" s="34">
        <f t="shared" ref="BC19" si="15">BB19+21</f>
        <v>294</v>
      </c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48"/>
      <c r="DW19" s="48"/>
      <c r="DX19" s="48"/>
      <c r="DY19" s="48"/>
      <c r="DZ19" s="48"/>
      <c r="EA19" s="48"/>
      <c r="EB19" s="48"/>
      <c r="EC19" s="48"/>
      <c r="ED19" s="48"/>
      <c r="EE19" s="49"/>
      <c r="EF19" s="340"/>
      <c r="EG19" s="364"/>
      <c r="EH19" s="344"/>
    </row>
    <row r="20" spans="1:138" s="36" customFormat="1" ht="35.1" customHeight="1">
      <c r="A20" s="31"/>
      <c r="B20" s="353"/>
      <c r="C20" s="341"/>
      <c r="D20" s="343"/>
      <c r="E20" s="365"/>
      <c r="F20" s="341"/>
      <c r="G20" s="341"/>
      <c r="H20" s="327" t="s">
        <v>150</v>
      </c>
      <c r="I20" s="31">
        <v>45176</v>
      </c>
      <c r="J20" s="46"/>
      <c r="K20" s="46"/>
      <c r="L20" s="277" t="s">
        <v>148</v>
      </c>
      <c r="M20" s="46"/>
      <c r="N20" s="46"/>
      <c r="O20" s="46"/>
      <c r="P20" s="46"/>
      <c r="Q20" s="46"/>
      <c r="R20" s="46"/>
      <c r="S20" s="46"/>
      <c r="T20" s="50"/>
      <c r="U20" s="46"/>
      <c r="V20" s="46"/>
      <c r="W20" s="46"/>
      <c r="X20" s="46"/>
      <c r="Y20" s="331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374"/>
      <c r="AT20" s="375"/>
      <c r="AU20" s="375"/>
      <c r="AV20" s="375"/>
      <c r="AW20" s="375"/>
      <c r="AX20" s="375"/>
      <c r="AY20" s="375"/>
      <c r="AZ20" s="375"/>
      <c r="BA20" s="375"/>
      <c r="BB20" s="375"/>
      <c r="BC20" s="375"/>
      <c r="BD20" s="375"/>
      <c r="BE20" s="375"/>
      <c r="BF20" s="375"/>
      <c r="BG20" s="375"/>
      <c r="BH20" s="375"/>
      <c r="BI20" s="375"/>
      <c r="BJ20" s="375"/>
      <c r="BK20" s="375"/>
      <c r="BL20" s="375"/>
      <c r="BM20" s="375"/>
      <c r="BN20" s="375"/>
      <c r="BO20" s="375"/>
      <c r="BP20" s="375"/>
      <c r="BQ20" s="375"/>
      <c r="BR20" s="375"/>
      <c r="BS20" s="375"/>
      <c r="BT20" s="375"/>
      <c r="BU20" s="375"/>
      <c r="BV20" s="375"/>
      <c r="BW20" s="375"/>
      <c r="BX20" s="375"/>
      <c r="BY20" s="376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  <c r="CM20" s="51"/>
      <c r="CN20" s="51"/>
      <c r="CO20" s="51"/>
      <c r="CP20" s="51"/>
      <c r="CQ20" s="51"/>
      <c r="CR20" s="51"/>
      <c r="CS20" s="51"/>
      <c r="CT20" s="51"/>
      <c r="CU20" s="51"/>
      <c r="CV20" s="51"/>
      <c r="CW20" s="51"/>
      <c r="CX20" s="51"/>
      <c r="CY20" s="51"/>
      <c r="CZ20" s="51"/>
      <c r="DA20" s="51"/>
      <c r="DB20" s="51"/>
      <c r="DC20" s="51"/>
      <c r="DD20" s="51"/>
      <c r="DE20" s="51"/>
      <c r="DF20" s="51"/>
      <c r="DG20" s="51"/>
      <c r="DH20" s="51"/>
      <c r="DI20" s="51"/>
      <c r="DJ20" s="51"/>
      <c r="DK20" s="51"/>
      <c r="DL20" s="51"/>
      <c r="DM20" s="51"/>
      <c r="DN20" s="51"/>
      <c r="DO20" s="51"/>
      <c r="DP20" s="51"/>
      <c r="DQ20" s="51"/>
      <c r="DR20" s="51"/>
      <c r="DS20" s="51"/>
      <c r="DT20" s="51"/>
      <c r="DU20" s="51"/>
      <c r="DV20" s="51"/>
      <c r="DW20" s="51"/>
      <c r="DX20" s="51"/>
      <c r="DY20" s="51"/>
      <c r="DZ20" s="51"/>
      <c r="EA20" s="51"/>
      <c r="EB20" s="51"/>
      <c r="EC20" s="51"/>
      <c r="ED20" s="51"/>
      <c r="EE20" s="52"/>
      <c r="EF20" s="341"/>
      <c r="EG20" s="365"/>
      <c r="EH20" s="345"/>
    </row>
    <row r="21" spans="1:138" s="36" customFormat="1" ht="35.1" customHeight="1">
      <c r="A21" s="31"/>
      <c r="B21" s="352" t="s">
        <v>178</v>
      </c>
      <c r="C21" s="340" t="s">
        <v>186</v>
      </c>
      <c r="D21" s="342" t="s">
        <v>187</v>
      </c>
      <c r="E21" s="340" t="s">
        <v>188</v>
      </c>
      <c r="F21" s="340" t="s">
        <v>158</v>
      </c>
      <c r="G21" s="340" t="s">
        <v>146</v>
      </c>
      <c r="H21" s="32" t="s">
        <v>147</v>
      </c>
      <c r="I21" s="31">
        <v>45176</v>
      </c>
      <c r="J21" s="33"/>
      <c r="K21" s="33"/>
      <c r="L21" s="33"/>
      <c r="M21" s="33">
        <f>K21+7</f>
        <v>7</v>
      </c>
      <c r="N21" s="33">
        <f>M21+7</f>
        <v>14</v>
      </c>
      <c r="O21" s="33" t="s">
        <v>149</v>
      </c>
      <c r="P21" s="33">
        <f>N21+7</f>
        <v>21</v>
      </c>
      <c r="Q21" s="33">
        <f>P21+7</f>
        <v>28</v>
      </c>
      <c r="R21" s="33">
        <f>Q21+7</f>
        <v>35</v>
      </c>
      <c r="S21" s="34" t="s">
        <v>149</v>
      </c>
      <c r="T21" s="34">
        <f>R21+7</f>
        <v>42</v>
      </c>
      <c r="U21" s="34">
        <f>T21+7</f>
        <v>49</v>
      </c>
      <c r="V21" s="34">
        <f>U21+7</f>
        <v>56</v>
      </c>
      <c r="W21" s="34" t="s">
        <v>149</v>
      </c>
      <c r="X21" s="34">
        <f>V21+7</f>
        <v>63</v>
      </c>
      <c r="Y21" s="34">
        <f>X21+7</f>
        <v>70</v>
      </c>
      <c r="Z21" s="34">
        <f>Y21+7</f>
        <v>77</v>
      </c>
      <c r="AA21" s="34" t="s">
        <v>149</v>
      </c>
      <c r="AB21" s="34">
        <f>Z21+7</f>
        <v>84</v>
      </c>
      <c r="AC21" s="34">
        <f>AB21+7</f>
        <v>91</v>
      </c>
      <c r="AD21" s="34">
        <f>AC21+7</f>
        <v>98</v>
      </c>
      <c r="AE21" s="34" t="s">
        <v>149</v>
      </c>
      <c r="AF21" s="34">
        <f>AD21+7</f>
        <v>105</v>
      </c>
      <c r="AG21" s="34">
        <f>AF21+7</f>
        <v>112</v>
      </c>
      <c r="AH21" s="34">
        <f>AG21+7</f>
        <v>119</v>
      </c>
      <c r="AI21" s="34" t="s">
        <v>149</v>
      </c>
      <c r="AJ21" s="34">
        <f>AH21+7</f>
        <v>126</v>
      </c>
      <c r="AK21" s="34">
        <f>AJ21+7</f>
        <v>133</v>
      </c>
      <c r="AL21" s="34">
        <f>AK21+7</f>
        <v>140</v>
      </c>
      <c r="AM21" s="34" t="s">
        <v>149</v>
      </c>
      <c r="AN21" s="34">
        <f>AL21+7</f>
        <v>147</v>
      </c>
      <c r="AO21" s="34">
        <f>AN21+7</f>
        <v>154</v>
      </c>
      <c r="AP21" s="34">
        <f>AO21+7</f>
        <v>161</v>
      </c>
      <c r="AQ21" s="34" t="s">
        <v>149</v>
      </c>
      <c r="AR21" s="34">
        <f>AP21+7</f>
        <v>168</v>
      </c>
      <c r="AS21" s="34">
        <f>AR21+7</f>
        <v>175</v>
      </c>
      <c r="AT21" s="34">
        <f>AS21+7</f>
        <v>182</v>
      </c>
      <c r="AU21" s="34" t="s">
        <v>149</v>
      </c>
      <c r="AV21" s="34">
        <f>AT21+7</f>
        <v>189</v>
      </c>
      <c r="AW21" s="34">
        <f>AV21+7</f>
        <v>196</v>
      </c>
      <c r="AX21" s="34">
        <f>AW21+7</f>
        <v>203</v>
      </c>
      <c r="AY21" s="34" t="s">
        <v>149</v>
      </c>
      <c r="AZ21" s="34">
        <f>AX21+7</f>
        <v>210</v>
      </c>
      <c r="BA21" s="34">
        <f>AZ21+7</f>
        <v>217</v>
      </c>
      <c r="BB21" s="34">
        <f>BA21+7</f>
        <v>224</v>
      </c>
      <c r="BC21" s="34" t="s">
        <v>149</v>
      </c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53"/>
      <c r="DW21" s="53"/>
      <c r="DX21" s="53"/>
      <c r="DY21" s="53"/>
      <c r="DZ21" s="53"/>
      <c r="EA21" s="53"/>
      <c r="EB21" s="53"/>
      <c r="EC21" s="53"/>
      <c r="ED21" s="262"/>
      <c r="EE21" s="54"/>
      <c r="EF21" s="340"/>
      <c r="EG21" s="340"/>
      <c r="EH21" s="344"/>
    </row>
    <row r="22" spans="1:138" s="36" customFormat="1" ht="84.95" customHeight="1">
      <c r="A22" s="31"/>
      <c r="B22" s="353"/>
      <c r="C22" s="341"/>
      <c r="D22" s="343"/>
      <c r="E22" s="341"/>
      <c r="F22" s="341"/>
      <c r="G22" s="341"/>
      <c r="H22" s="327" t="s">
        <v>150</v>
      </c>
      <c r="I22" s="31">
        <v>45176</v>
      </c>
      <c r="J22" s="327"/>
      <c r="K22" s="327"/>
      <c r="L22" s="276" t="s">
        <v>148</v>
      </c>
      <c r="M22" s="327"/>
      <c r="N22" s="327"/>
      <c r="O22" s="327"/>
      <c r="P22" s="327"/>
      <c r="Q22" s="327"/>
      <c r="R22" s="327"/>
      <c r="S22" s="327"/>
      <c r="T22" s="331"/>
      <c r="U22" s="331"/>
      <c r="V22" s="331"/>
      <c r="W22" s="331"/>
      <c r="X22" s="331"/>
      <c r="Y22" s="331"/>
      <c r="Z22" s="331"/>
      <c r="AA22" s="331"/>
      <c r="AB22" s="331"/>
      <c r="AC22" s="331"/>
      <c r="AD22" s="331"/>
      <c r="AE22" s="331"/>
      <c r="AF22" s="331"/>
      <c r="AG22" s="331"/>
      <c r="AH22" s="331"/>
      <c r="AI22" s="331"/>
      <c r="AJ22" s="331"/>
      <c r="AK22" s="331"/>
      <c r="AL22" s="331"/>
      <c r="AM22" s="331"/>
      <c r="AN22" s="331"/>
      <c r="AO22" s="331"/>
      <c r="AP22" s="331"/>
      <c r="AQ22" s="331"/>
      <c r="AR22" s="331"/>
      <c r="AS22" s="331"/>
      <c r="AT22" s="331"/>
      <c r="AU22" s="331"/>
      <c r="AV22" s="331"/>
      <c r="AW22" s="331"/>
      <c r="AX22" s="331"/>
      <c r="AY22" s="331"/>
      <c r="AZ22" s="331"/>
      <c r="BA22" s="331"/>
      <c r="BB22" s="331"/>
      <c r="BC22" s="331"/>
      <c r="BD22" s="331"/>
      <c r="BE22" s="331"/>
      <c r="BF22" s="331"/>
      <c r="BG22" s="331"/>
      <c r="BH22" s="331"/>
      <c r="BI22" s="331"/>
      <c r="BJ22" s="331"/>
      <c r="BK22" s="331"/>
      <c r="BL22" s="331"/>
      <c r="BM22" s="331"/>
      <c r="BN22" s="331"/>
      <c r="BO22" s="331"/>
      <c r="BP22" s="331"/>
      <c r="BQ22" s="331"/>
      <c r="BR22" s="331"/>
      <c r="BS22" s="331"/>
      <c r="BT22" s="331"/>
      <c r="BU22" s="331"/>
      <c r="BV22" s="331"/>
      <c r="BW22" s="331"/>
      <c r="BX22" s="331"/>
      <c r="BY22" s="331"/>
      <c r="BZ22" s="331"/>
      <c r="CA22" s="331"/>
      <c r="CB22" s="331"/>
      <c r="CC22" s="331"/>
      <c r="CD22" s="331"/>
      <c r="CE22" s="331"/>
      <c r="CF22" s="331"/>
      <c r="CG22" s="331"/>
      <c r="CH22" s="331"/>
      <c r="CI22" s="331"/>
      <c r="CJ22" s="331"/>
      <c r="CK22" s="331"/>
      <c r="CL22" s="331"/>
      <c r="CM22" s="331"/>
      <c r="CN22" s="331"/>
      <c r="CO22" s="331"/>
      <c r="CP22" s="331"/>
      <c r="CQ22" s="331"/>
      <c r="CR22" s="331"/>
      <c r="CS22" s="331"/>
      <c r="CT22" s="331"/>
      <c r="CU22" s="331"/>
      <c r="CV22" s="331"/>
      <c r="CW22" s="331"/>
      <c r="CX22" s="331"/>
      <c r="CY22" s="331"/>
      <c r="CZ22" s="331"/>
      <c r="DA22" s="331"/>
      <c r="DB22" s="331"/>
      <c r="DC22" s="331"/>
      <c r="DD22" s="331"/>
      <c r="DE22" s="331"/>
      <c r="DF22" s="331"/>
      <c r="DG22" s="331"/>
      <c r="DH22" s="331"/>
      <c r="DI22" s="331"/>
      <c r="DJ22" s="331"/>
      <c r="DK22" s="331"/>
      <c r="DL22" s="331"/>
      <c r="DM22" s="331"/>
      <c r="DN22" s="331"/>
      <c r="DO22" s="331"/>
      <c r="DP22" s="331"/>
      <c r="DQ22" s="331"/>
      <c r="DR22" s="331"/>
      <c r="DS22" s="331"/>
      <c r="DT22" s="331"/>
      <c r="DU22" s="331"/>
      <c r="DV22" s="331"/>
      <c r="DW22" s="331"/>
      <c r="DX22" s="331"/>
      <c r="DY22" s="331"/>
      <c r="DZ22" s="331"/>
      <c r="EA22" s="331"/>
      <c r="EB22" s="331"/>
      <c r="EC22" s="331"/>
      <c r="ED22" s="263"/>
      <c r="EE22" s="55"/>
      <c r="EF22" s="341"/>
      <c r="EG22" s="365"/>
      <c r="EH22" s="345"/>
    </row>
    <row r="23" spans="1:138" s="36" customFormat="1" ht="35.1" customHeight="1">
      <c r="A23" s="31"/>
      <c r="B23" s="352" t="s">
        <v>178</v>
      </c>
      <c r="C23" s="364" t="s">
        <v>189</v>
      </c>
      <c r="D23" s="342" t="s">
        <v>143</v>
      </c>
      <c r="E23" s="340" t="s">
        <v>190</v>
      </c>
      <c r="F23" s="340" t="s">
        <v>158</v>
      </c>
      <c r="G23" s="340" t="s">
        <v>146</v>
      </c>
      <c r="H23" s="32" t="s">
        <v>147</v>
      </c>
      <c r="I23" s="56">
        <v>45183</v>
      </c>
      <c r="J23" s="33"/>
      <c r="K23" s="33"/>
      <c r="L23" s="277" t="s">
        <v>148</v>
      </c>
      <c r="M23" s="33">
        <f>K23+7</f>
        <v>7</v>
      </c>
      <c r="N23" s="33">
        <f>M23+7</f>
        <v>14</v>
      </c>
      <c r="O23" s="33" t="s">
        <v>149</v>
      </c>
      <c r="P23" s="33">
        <f>N23+7</f>
        <v>21</v>
      </c>
      <c r="Q23" s="33">
        <f>P23+7</f>
        <v>28</v>
      </c>
      <c r="R23" s="33">
        <f>Q23+7</f>
        <v>35</v>
      </c>
      <c r="S23" s="34" t="s">
        <v>149</v>
      </c>
      <c r="T23" s="34">
        <f>R23+7</f>
        <v>42</v>
      </c>
      <c r="U23" s="34">
        <f>T23+7</f>
        <v>49</v>
      </c>
      <c r="V23" s="34">
        <f>U23+7</f>
        <v>56</v>
      </c>
      <c r="W23" s="34" t="s">
        <v>149</v>
      </c>
      <c r="X23" s="34">
        <f>V23+7</f>
        <v>63</v>
      </c>
      <c r="Y23" s="34">
        <f>X23+7</f>
        <v>70</v>
      </c>
      <c r="Z23" s="34">
        <f>Y23+7</f>
        <v>77</v>
      </c>
      <c r="AA23" s="34" t="s">
        <v>149</v>
      </c>
      <c r="AB23" s="34">
        <f>Z23+7</f>
        <v>84</v>
      </c>
      <c r="AC23" s="34">
        <f>AB23+7</f>
        <v>91</v>
      </c>
      <c r="AD23" s="34">
        <f>AC23+7</f>
        <v>98</v>
      </c>
      <c r="AE23" s="34" t="s">
        <v>149</v>
      </c>
      <c r="AF23" s="34">
        <f>AD23+7</f>
        <v>105</v>
      </c>
      <c r="AG23" s="34">
        <f>AF23+7</f>
        <v>112</v>
      </c>
      <c r="AH23" s="34">
        <f>AG23+7</f>
        <v>119</v>
      </c>
      <c r="AI23" s="34" t="s">
        <v>149</v>
      </c>
      <c r="AJ23" s="34">
        <f>AH23+7</f>
        <v>126</v>
      </c>
      <c r="AK23" s="34">
        <f>AJ23+7</f>
        <v>133</v>
      </c>
      <c r="AL23" s="34">
        <f>AK23+7</f>
        <v>140</v>
      </c>
      <c r="AM23" s="34" t="s">
        <v>149</v>
      </c>
      <c r="AN23" s="34">
        <f>AL23+7</f>
        <v>147</v>
      </c>
      <c r="AO23" s="34">
        <f>AN23+7</f>
        <v>154</v>
      </c>
      <c r="AP23" s="34">
        <f>AO23+7</f>
        <v>161</v>
      </c>
      <c r="AQ23" s="34" t="s">
        <v>149</v>
      </c>
      <c r="AR23" s="34">
        <f>AP23+7</f>
        <v>168</v>
      </c>
      <c r="AS23" s="34">
        <f>AR23+7</f>
        <v>175</v>
      </c>
      <c r="AT23" s="34">
        <f>AS23+7</f>
        <v>182</v>
      </c>
      <c r="AU23" s="34" t="s">
        <v>149</v>
      </c>
      <c r="AV23" s="34">
        <f>AT23+7</f>
        <v>189</v>
      </c>
      <c r="AW23" s="34">
        <f>AV23+7</f>
        <v>196</v>
      </c>
      <c r="AX23" s="34">
        <f>AW23+7</f>
        <v>203</v>
      </c>
      <c r="AY23" s="34" t="s">
        <v>149</v>
      </c>
      <c r="AZ23" s="34">
        <f>AX23+7</f>
        <v>210</v>
      </c>
      <c r="BA23" s="34">
        <f>AZ23+7</f>
        <v>217</v>
      </c>
      <c r="BB23" s="34">
        <f>BA23+7</f>
        <v>224</v>
      </c>
      <c r="BC23" s="34" t="s">
        <v>149</v>
      </c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53"/>
      <c r="DW23" s="53"/>
      <c r="DX23" s="53"/>
      <c r="DY23" s="53"/>
      <c r="DZ23" s="53"/>
      <c r="EA23" s="53"/>
      <c r="EB23" s="53"/>
      <c r="EC23" s="53"/>
      <c r="ED23" s="262"/>
      <c r="EE23" s="57"/>
      <c r="EF23" s="344"/>
      <c r="EG23" s="344"/>
      <c r="EH23" s="344"/>
    </row>
    <row r="24" spans="1:138" s="36" customFormat="1" ht="69.599999999999994" customHeight="1">
      <c r="A24" s="31"/>
      <c r="B24" s="353"/>
      <c r="C24" s="365"/>
      <c r="D24" s="343"/>
      <c r="E24" s="341"/>
      <c r="F24" s="341"/>
      <c r="G24" s="341"/>
      <c r="H24" s="327" t="s">
        <v>150</v>
      </c>
      <c r="I24" s="56">
        <v>45183</v>
      </c>
      <c r="J24" s="327"/>
      <c r="K24" s="327"/>
      <c r="L24" s="277" t="s">
        <v>148</v>
      </c>
      <c r="M24" s="327"/>
      <c r="N24" s="327"/>
      <c r="O24" s="327"/>
      <c r="P24" s="327"/>
      <c r="Q24" s="327"/>
      <c r="R24" s="327"/>
      <c r="S24" s="327"/>
      <c r="T24" s="331"/>
      <c r="U24" s="331"/>
      <c r="V24" s="331"/>
      <c r="W24" s="331"/>
      <c r="X24" s="331"/>
      <c r="Y24" s="331"/>
      <c r="Z24" s="331"/>
      <c r="AA24" s="331"/>
      <c r="AB24" s="331"/>
      <c r="AC24" s="331"/>
      <c r="AD24" s="58"/>
      <c r="AE24" s="331"/>
      <c r="AF24" s="331"/>
      <c r="AG24" s="331"/>
      <c r="AH24" s="58"/>
      <c r="AI24" s="331"/>
      <c r="AJ24" s="331"/>
      <c r="AK24" s="331"/>
      <c r="AL24" s="58"/>
      <c r="AM24" s="331"/>
      <c r="AN24" s="331"/>
      <c r="AO24" s="331"/>
      <c r="AP24" s="58"/>
      <c r="AQ24" s="331"/>
      <c r="AR24" s="331"/>
      <c r="AS24" s="331"/>
      <c r="AT24" s="58"/>
      <c r="AU24" s="331"/>
      <c r="AV24" s="331"/>
      <c r="AW24" s="331"/>
      <c r="AX24" s="58"/>
      <c r="AY24" s="331"/>
      <c r="AZ24" s="331"/>
      <c r="BA24" s="331"/>
      <c r="BB24" s="58"/>
      <c r="BC24" s="331"/>
      <c r="BD24" s="331"/>
      <c r="BE24" s="331"/>
      <c r="BF24" s="331"/>
      <c r="BG24" s="331"/>
      <c r="BH24" s="331"/>
      <c r="BI24" s="331"/>
      <c r="BJ24" s="331"/>
      <c r="BK24" s="331"/>
      <c r="BL24" s="331"/>
      <c r="BM24" s="331"/>
      <c r="BN24" s="331"/>
      <c r="BO24" s="331"/>
      <c r="BP24" s="331"/>
      <c r="BQ24" s="331"/>
      <c r="BR24" s="331"/>
      <c r="BS24" s="331"/>
      <c r="BT24" s="331"/>
      <c r="BU24" s="331"/>
      <c r="BV24" s="331"/>
      <c r="BW24" s="331"/>
      <c r="BX24" s="331"/>
      <c r="BY24" s="331"/>
      <c r="BZ24" s="331"/>
      <c r="CA24" s="331"/>
      <c r="CB24" s="331"/>
      <c r="CC24" s="331"/>
      <c r="CD24" s="331"/>
      <c r="CE24" s="331"/>
      <c r="CF24" s="331"/>
      <c r="CG24" s="331"/>
      <c r="CH24" s="331"/>
      <c r="CI24" s="331"/>
      <c r="CJ24" s="331"/>
      <c r="CK24" s="331"/>
      <c r="CL24" s="331"/>
      <c r="CM24" s="331"/>
      <c r="CN24" s="331"/>
      <c r="CO24" s="331"/>
      <c r="CP24" s="331"/>
      <c r="CQ24" s="331"/>
      <c r="CR24" s="331"/>
      <c r="CS24" s="331"/>
      <c r="CT24" s="331"/>
      <c r="CU24" s="331"/>
      <c r="CV24" s="331"/>
      <c r="CW24" s="331"/>
      <c r="CX24" s="331"/>
      <c r="CY24" s="331"/>
      <c r="CZ24" s="331"/>
      <c r="DA24" s="331"/>
      <c r="DB24" s="331"/>
      <c r="DC24" s="331"/>
      <c r="DD24" s="331"/>
      <c r="DE24" s="331"/>
      <c r="DF24" s="331"/>
      <c r="DG24" s="331"/>
      <c r="DH24" s="331"/>
      <c r="DI24" s="331"/>
      <c r="DJ24" s="331"/>
      <c r="DK24" s="331"/>
      <c r="DL24" s="331"/>
      <c r="DM24" s="331"/>
      <c r="DN24" s="331"/>
      <c r="DO24" s="331"/>
      <c r="DP24" s="331"/>
      <c r="DQ24" s="331"/>
      <c r="DR24" s="331"/>
      <c r="DS24" s="331"/>
      <c r="DT24" s="331"/>
      <c r="DU24" s="331"/>
      <c r="DV24" s="331"/>
      <c r="DW24" s="331"/>
      <c r="DX24" s="331"/>
      <c r="DY24" s="331"/>
      <c r="DZ24" s="331"/>
      <c r="EA24" s="331"/>
      <c r="EB24" s="331"/>
      <c r="EC24" s="331"/>
      <c r="ED24" s="263"/>
      <c r="EE24" s="59"/>
      <c r="EF24" s="344"/>
      <c r="EG24" s="345"/>
      <c r="EH24" s="345"/>
    </row>
    <row r="25" spans="1:138" s="36" customFormat="1" ht="35.1" customHeight="1">
      <c r="A25" s="31"/>
      <c r="B25" s="352" t="s">
        <v>178</v>
      </c>
      <c r="C25" s="340" t="s">
        <v>191</v>
      </c>
      <c r="D25" s="342" t="s">
        <v>157</v>
      </c>
      <c r="E25" s="342" t="s">
        <v>192</v>
      </c>
      <c r="F25" s="340" t="s">
        <v>158</v>
      </c>
      <c r="G25" s="340" t="s">
        <v>146</v>
      </c>
      <c r="H25" s="40" t="s">
        <v>147</v>
      </c>
      <c r="I25" s="31">
        <v>45189</v>
      </c>
      <c r="J25" s="41"/>
      <c r="K25" s="41"/>
      <c r="L25" s="276" t="s">
        <v>148</v>
      </c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60"/>
      <c r="DW25" s="60"/>
      <c r="DX25" s="60"/>
      <c r="DY25" s="60"/>
      <c r="DZ25" s="60"/>
      <c r="EA25" s="60"/>
      <c r="EB25" s="60"/>
      <c r="EC25" s="60"/>
      <c r="ED25" s="35"/>
      <c r="EE25" s="35"/>
      <c r="EF25" s="344"/>
      <c r="EG25" s="344"/>
      <c r="EH25" s="344"/>
    </row>
    <row r="26" spans="1:138" s="36" customFormat="1" ht="35.1" customHeight="1">
      <c r="A26" s="31"/>
      <c r="B26" s="353"/>
      <c r="C26" s="341"/>
      <c r="D26" s="343"/>
      <c r="E26" s="343"/>
      <c r="F26" s="341"/>
      <c r="G26" s="341"/>
      <c r="H26" s="327" t="s">
        <v>150</v>
      </c>
      <c r="I26" s="31">
        <v>45189</v>
      </c>
      <c r="J26" s="327"/>
      <c r="K26" s="327"/>
      <c r="L26" s="277" t="s">
        <v>148</v>
      </c>
      <c r="M26" s="327"/>
      <c r="N26" s="327"/>
      <c r="O26" s="327"/>
      <c r="P26" s="327"/>
      <c r="Q26" s="327"/>
      <c r="R26" s="327"/>
      <c r="S26" s="331"/>
      <c r="T26" s="331"/>
      <c r="U26" s="331"/>
      <c r="V26" s="46"/>
      <c r="W26" s="325"/>
      <c r="X26" s="331"/>
      <c r="Y26" s="331"/>
      <c r="Z26" s="331"/>
      <c r="AA26" s="331"/>
      <c r="AB26" s="331"/>
      <c r="AC26" s="331"/>
      <c r="AD26" s="331"/>
      <c r="AE26" s="331"/>
      <c r="AF26" s="331"/>
      <c r="AG26" s="331"/>
      <c r="AH26" s="331"/>
      <c r="AI26" s="331"/>
      <c r="AJ26" s="331"/>
      <c r="AK26" s="331"/>
      <c r="AL26" s="331"/>
      <c r="AM26" s="331"/>
      <c r="AN26" s="331"/>
      <c r="AO26" s="331"/>
      <c r="AP26" s="331"/>
      <c r="AQ26" s="331"/>
      <c r="AR26" s="331"/>
      <c r="AS26" s="331"/>
      <c r="AT26" s="331"/>
      <c r="AU26" s="331"/>
      <c r="AV26" s="331"/>
      <c r="AW26" s="331"/>
      <c r="AX26" s="331"/>
      <c r="AY26" s="331"/>
      <c r="AZ26" s="331"/>
      <c r="BA26" s="331"/>
      <c r="BB26" s="331"/>
      <c r="BC26" s="331"/>
      <c r="BD26" s="331"/>
      <c r="BE26" s="331"/>
      <c r="BF26" s="331"/>
      <c r="BG26" s="331"/>
      <c r="BH26" s="331"/>
      <c r="BI26" s="331"/>
      <c r="BJ26" s="331"/>
      <c r="BK26" s="331"/>
      <c r="BL26" s="331"/>
      <c r="BM26" s="331"/>
      <c r="BN26" s="331"/>
      <c r="BO26" s="331"/>
      <c r="BP26" s="331"/>
      <c r="BQ26" s="331"/>
      <c r="BR26" s="331"/>
      <c r="BS26" s="331"/>
      <c r="BT26" s="331"/>
      <c r="BU26" s="331"/>
      <c r="BV26" s="331"/>
      <c r="BW26" s="331"/>
      <c r="BX26" s="331"/>
      <c r="BY26" s="331"/>
      <c r="BZ26" s="331"/>
      <c r="CA26" s="331"/>
      <c r="CB26" s="331"/>
      <c r="CC26" s="331"/>
      <c r="CD26" s="331"/>
      <c r="CE26" s="331"/>
      <c r="CF26" s="331"/>
      <c r="CG26" s="331"/>
      <c r="CH26" s="331"/>
      <c r="CI26" s="331"/>
      <c r="CJ26" s="331"/>
      <c r="CK26" s="331"/>
      <c r="CL26" s="331"/>
      <c r="CM26" s="331"/>
      <c r="CN26" s="331"/>
      <c r="CO26" s="331"/>
      <c r="CP26" s="331"/>
      <c r="CQ26" s="331"/>
      <c r="CR26" s="331"/>
      <c r="CS26" s="331"/>
      <c r="CT26" s="331"/>
      <c r="CU26" s="331"/>
      <c r="CV26" s="331"/>
      <c r="CW26" s="331"/>
      <c r="CX26" s="331"/>
      <c r="CY26" s="331"/>
      <c r="CZ26" s="331"/>
      <c r="DA26" s="331"/>
      <c r="DB26" s="331"/>
      <c r="DC26" s="331"/>
      <c r="DD26" s="331"/>
      <c r="DE26" s="331"/>
      <c r="DF26" s="331"/>
      <c r="DG26" s="331"/>
      <c r="DH26" s="331"/>
      <c r="DI26" s="331"/>
      <c r="DJ26" s="331"/>
      <c r="DK26" s="331"/>
      <c r="DL26" s="331"/>
      <c r="DM26" s="331"/>
      <c r="DN26" s="331"/>
      <c r="DO26" s="331"/>
      <c r="DP26" s="331"/>
      <c r="DQ26" s="331"/>
      <c r="DR26" s="331"/>
      <c r="DS26" s="331"/>
      <c r="DT26" s="331"/>
      <c r="DU26" s="331"/>
      <c r="DV26" s="331"/>
      <c r="DW26" s="331"/>
      <c r="DX26" s="331"/>
      <c r="DY26" s="331"/>
      <c r="DZ26" s="331"/>
      <c r="EA26" s="331"/>
      <c r="EB26" s="331"/>
      <c r="EC26" s="331"/>
      <c r="ED26" s="263"/>
      <c r="EE26" s="61"/>
      <c r="EF26" s="344"/>
      <c r="EG26" s="345"/>
      <c r="EH26" s="345"/>
    </row>
    <row r="27" spans="1:138" s="36" customFormat="1" ht="35.1" customHeight="1">
      <c r="A27" s="31"/>
      <c r="B27" s="352" t="s">
        <v>178</v>
      </c>
      <c r="C27" s="340" t="s">
        <v>193</v>
      </c>
      <c r="D27" s="342" t="s">
        <v>157</v>
      </c>
      <c r="E27" s="342" t="s">
        <v>194</v>
      </c>
      <c r="F27" s="340" t="s">
        <v>158</v>
      </c>
      <c r="G27" s="340" t="s">
        <v>146</v>
      </c>
      <c r="H27" s="32" t="s">
        <v>147</v>
      </c>
      <c r="I27" s="31">
        <v>45194</v>
      </c>
      <c r="J27" s="33"/>
      <c r="K27" s="33"/>
      <c r="L27" s="276" t="s">
        <v>148</v>
      </c>
      <c r="M27" s="33">
        <f>K27+7</f>
        <v>7</v>
      </c>
      <c r="N27" s="33">
        <f>M27+7</f>
        <v>14</v>
      </c>
      <c r="O27" s="33">
        <f>N27+7</f>
        <v>21</v>
      </c>
      <c r="P27" s="33">
        <f>O27+7</f>
        <v>28</v>
      </c>
      <c r="Q27" s="33">
        <f>P27+21</f>
        <v>49</v>
      </c>
      <c r="R27" s="33">
        <f>Q27+14</f>
        <v>63</v>
      </c>
      <c r="S27" s="34">
        <f>R27+7</f>
        <v>70</v>
      </c>
      <c r="T27" s="34">
        <f t="shared" ref="T27:AU27" si="16">S27+21</f>
        <v>91</v>
      </c>
      <c r="U27" s="34">
        <f t="shared" si="16"/>
        <v>112</v>
      </c>
      <c r="V27" s="34">
        <f t="shared" si="16"/>
        <v>133</v>
      </c>
      <c r="W27" s="34">
        <f t="shared" si="16"/>
        <v>154</v>
      </c>
      <c r="X27" s="34">
        <f t="shared" si="16"/>
        <v>175</v>
      </c>
      <c r="Y27" s="34">
        <f t="shared" si="16"/>
        <v>196</v>
      </c>
      <c r="Z27" s="34">
        <f t="shared" si="16"/>
        <v>217</v>
      </c>
      <c r="AA27" s="34">
        <f t="shared" si="16"/>
        <v>238</v>
      </c>
      <c r="AB27" s="34">
        <f>W27+21</f>
        <v>175</v>
      </c>
      <c r="AC27" s="34">
        <f t="shared" ref="AC27:AE27" si="17">AB27+21</f>
        <v>196</v>
      </c>
      <c r="AD27" s="34">
        <f t="shared" si="17"/>
        <v>217</v>
      </c>
      <c r="AE27" s="34">
        <f t="shared" si="17"/>
        <v>238</v>
      </c>
      <c r="AF27" s="34">
        <f>W27+21</f>
        <v>175</v>
      </c>
      <c r="AG27" s="34">
        <f t="shared" ref="AG27:AI27" si="18">AF27+21</f>
        <v>196</v>
      </c>
      <c r="AH27" s="34">
        <f t="shared" si="18"/>
        <v>217</v>
      </c>
      <c r="AI27" s="34">
        <f t="shared" si="18"/>
        <v>238</v>
      </c>
      <c r="AJ27" s="34">
        <f>W27+21</f>
        <v>175</v>
      </c>
      <c r="AK27" s="34">
        <f t="shared" ref="AK27:AM27" si="19">AJ27+21</f>
        <v>196</v>
      </c>
      <c r="AL27" s="34">
        <f t="shared" si="19"/>
        <v>217</v>
      </c>
      <c r="AM27" s="34">
        <f t="shared" si="19"/>
        <v>238</v>
      </c>
      <c r="AN27" s="34">
        <f>W27+21</f>
        <v>175</v>
      </c>
      <c r="AO27" s="34">
        <f t="shared" ref="AO27:AQ27" si="20">AN27+21</f>
        <v>196</v>
      </c>
      <c r="AP27" s="34">
        <f t="shared" si="20"/>
        <v>217</v>
      </c>
      <c r="AQ27" s="34">
        <f t="shared" si="20"/>
        <v>238</v>
      </c>
      <c r="AR27" s="34">
        <f>AA27+21</f>
        <v>259</v>
      </c>
      <c r="AS27" s="34">
        <f t="shared" si="16"/>
        <v>280</v>
      </c>
      <c r="AT27" s="34">
        <f t="shared" si="16"/>
        <v>301</v>
      </c>
      <c r="AU27" s="34">
        <f t="shared" si="16"/>
        <v>322</v>
      </c>
      <c r="AV27" s="34">
        <f>AE27+21</f>
        <v>259</v>
      </c>
      <c r="AW27" s="34">
        <f t="shared" ref="AW27" si="21">AV27+21</f>
        <v>280</v>
      </c>
      <c r="AX27" s="34">
        <f t="shared" ref="AX27" si="22">AW27+21</f>
        <v>301</v>
      </c>
      <c r="AY27" s="34">
        <f t="shared" ref="AY27" si="23">AX27+21</f>
        <v>322</v>
      </c>
      <c r="AZ27" s="34">
        <f>AI27+21</f>
        <v>259</v>
      </c>
      <c r="BA27" s="34">
        <f t="shared" ref="BA27" si="24">AZ27+21</f>
        <v>280</v>
      </c>
      <c r="BB27" s="34">
        <f t="shared" ref="BB27" si="25">BA27+21</f>
        <v>301</v>
      </c>
      <c r="BC27" s="34">
        <f t="shared" ref="BC27" si="26">BB27+21</f>
        <v>322</v>
      </c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53"/>
      <c r="DW27" s="53"/>
      <c r="DX27" s="53"/>
      <c r="DY27" s="53"/>
      <c r="DZ27" s="53"/>
      <c r="EA27" s="53"/>
      <c r="EB27" s="53"/>
      <c r="EC27" s="53"/>
      <c r="ED27" s="262"/>
      <c r="EE27" s="62"/>
      <c r="EF27" s="344"/>
      <c r="EG27" s="345"/>
      <c r="EH27" s="344"/>
    </row>
    <row r="28" spans="1:138" s="36" customFormat="1" ht="35.1" customHeight="1">
      <c r="A28" s="31"/>
      <c r="B28" s="353"/>
      <c r="C28" s="341"/>
      <c r="D28" s="343"/>
      <c r="E28" s="343"/>
      <c r="F28" s="341"/>
      <c r="G28" s="341"/>
      <c r="H28" s="327" t="s">
        <v>150</v>
      </c>
      <c r="I28" s="31">
        <v>45194</v>
      </c>
      <c r="J28" s="327"/>
      <c r="K28" s="327"/>
      <c r="L28" s="277" t="s">
        <v>148</v>
      </c>
      <c r="M28" s="327"/>
      <c r="N28" s="327"/>
      <c r="O28" s="327"/>
      <c r="P28" s="327"/>
      <c r="Q28" s="327"/>
      <c r="R28" s="327"/>
      <c r="S28" s="331"/>
      <c r="T28" s="331"/>
      <c r="U28" s="331"/>
      <c r="V28" s="371"/>
      <c r="W28" s="372"/>
      <c r="X28" s="372"/>
      <c r="Y28" s="372"/>
      <c r="Z28" s="372"/>
      <c r="AA28" s="372"/>
      <c r="AB28" s="372"/>
      <c r="AC28" s="372"/>
      <c r="AD28" s="372"/>
      <c r="AE28" s="372"/>
      <c r="AF28" s="372"/>
      <c r="AG28" s="372"/>
      <c r="AH28" s="372"/>
      <c r="AI28" s="372"/>
      <c r="AJ28" s="372"/>
      <c r="AK28" s="372"/>
      <c r="AL28" s="372"/>
      <c r="AM28" s="372"/>
      <c r="AN28" s="372"/>
      <c r="AO28" s="372"/>
      <c r="AP28" s="372"/>
      <c r="AQ28" s="372"/>
      <c r="AR28" s="372"/>
      <c r="AS28" s="372"/>
      <c r="AT28" s="372"/>
      <c r="AU28" s="372"/>
      <c r="AV28" s="372"/>
      <c r="AW28" s="372"/>
      <c r="AX28" s="372"/>
      <c r="AY28" s="372"/>
      <c r="AZ28" s="372"/>
      <c r="BA28" s="372"/>
      <c r="BB28" s="372"/>
      <c r="BC28" s="372"/>
      <c r="BD28" s="372"/>
      <c r="BE28" s="372"/>
      <c r="BF28" s="372"/>
      <c r="BG28" s="372"/>
      <c r="BH28" s="372"/>
      <c r="BI28" s="372"/>
      <c r="BJ28" s="372"/>
      <c r="BK28" s="372"/>
      <c r="BL28" s="372"/>
      <c r="BM28" s="372"/>
      <c r="BN28" s="372"/>
      <c r="BO28" s="372"/>
      <c r="BP28" s="372"/>
      <c r="BQ28" s="372"/>
      <c r="BR28" s="372"/>
      <c r="BS28" s="372"/>
      <c r="BT28" s="372"/>
      <c r="BU28" s="372"/>
      <c r="BV28" s="372"/>
      <c r="BW28" s="372"/>
      <c r="BX28" s="372"/>
      <c r="BY28" s="373"/>
      <c r="BZ28" s="331"/>
      <c r="CA28" s="331"/>
      <c r="CB28" s="331"/>
      <c r="CC28" s="331"/>
      <c r="CD28" s="331"/>
      <c r="CE28" s="331"/>
      <c r="CF28" s="331"/>
      <c r="CG28" s="331"/>
      <c r="CH28" s="331"/>
      <c r="CI28" s="331"/>
      <c r="CJ28" s="331"/>
      <c r="CK28" s="331"/>
      <c r="CL28" s="331"/>
      <c r="CM28" s="331"/>
      <c r="CN28" s="331"/>
      <c r="CO28" s="331"/>
      <c r="CP28" s="331"/>
      <c r="CQ28" s="331"/>
      <c r="CR28" s="331"/>
      <c r="CS28" s="331"/>
      <c r="CT28" s="331"/>
      <c r="CU28" s="331"/>
      <c r="CV28" s="331"/>
      <c r="CW28" s="331"/>
      <c r="CX28" s="331"/>
      <c r="CY28" s="331"/>
      <c r="CZ28" s="331"/>
      <c r="DA28" s="331"/>
      <c r="DB28" s="331"/>
      <c r="DC28" s="331"/>
      <c r="DD28" s="331"/>
      <c r="DE28" s="331"/>
      <c r="DF28" s="331"/>
      <c r="DG28" s="331"/>
      <c r="DH28" s="331"/>
      <c r="DI28" s="331"/>
      <c r="DJ28" s="331"/>
      <c r="DK28" s="331"/>
      <c r="DL28" s="331"/>
      <c r="DM28" s="331"/>
      <c r="DN28" s="331"/>
      <c r="DO28" s="331"/>
      <c r="DP28" s="331"/>
      <c r="DQ28" s="331"/>
      <c r="DR28" s="331"/>
      <c r="DS28" s="331"/>
      <c r="DT28" s="331"/>
      <c r="DU28" s="331"/>
      <c r="DV28" s="331"/>
      <c r="DW28" s="331"/>
      <c r="DX28" s="331"/>
      <c r="DY28" s="331"/>
      <c r="DZ28" s="331"/>
      <c r="EA28" s="331"/>
      <c r="EB28" s="331"/>
      <c r="EC28" s="331"/>
      <c r="ED28" s="263"/>
      <c r="EE28" s="63"/>
      <c r="EF28" s="344"/>
      <c r="EG28" s="345"/>
      <c r="EH28" s="345"/>
    </row>
    <row r="29" spans="1:138" s="36" customFormat="1" ht="35.1" customHeight="1">
      <c r="A29" s="31"/>
      <c r="B29" s="352" t="s">
        <v>178</v>
      </c>
      <c r="C29" s="340" t="s">
        <v>195</v>
      </c>
      <c r="D29" s="342" t="s">
        <v>157</v>
      </c>
      <c r="E29" s="342" t="s">
        <v>196</v>
      </c>
      <c r="F29" s="342" t="s">
        <v>197</v>
      </c>
      <c r="G29" s="342" t="s">
        <v>146</v>
      </c>
      <c r="H29" s="32" t="s">
        <v>147</v>
      </c>
      <c r="I29" s="31">
        <v>45196</v>
      </c>
      <c r="J29" s="33">
        <v>43571</v>
      </c>
      <c r="K29" s="31">
        <v>45211</v>
      </c>
      <c r="L29" s="276" t="s">
        <v>148</v>
      </c>
      <c r="M29" s="33">
        <f>K29+7</f>
        <v>45218</v>
      </c>
      <c r="N29" s="33">
        <f>M29+7</f>
        <v>45225</v>
      </c>
      <c r="O29" s="33" t="s">
        <v>149</v>
      </c>
      <c r="P29" s="33">
        <f>N29+7</f>
        <v>45232</v>
      </c>
      <c r="Q29" s="33">
        <f>P29+7</f>
        <v>45239</v>
      </c>
      <c r="R29" s="33">
        <f>Q29+7</f>
        <v>45246</v>
      </c>
      <c r="S29" s="34" t="s">
        <v>149</v>
      </c>
      <c r="T29" s="34">
        <f>R29+7</f>
        <v>45253</v>
      </c>
      <c r="U29" s="34">
        <f>T29+7</f>
        <v>45260</v>
      </c>
      <c r="V29" s="34">
        <f>U29+7</f>
        <v>45267</v>
      </c>
      <c r="W29" s="34" t="s">
        <v>149</v>
      </c>
      <c r="X29" s="34">
        <f>V29+7</f>
        <v>45274</v>
      </c>
      <c r="Y29" s="34">
        <f>X29+7</f>
        <v>45281</v>
      </c>
      <c r="Z29" s="34">
        <f>Y29+7</f>
        <v>45288</v>
      </c>
      <c r="AA29" s="34" t="s">
        <v>149</v>
      </c>
      <c r="AB29" s="34">
        <f>Z29+7</f>
        <v>45295</v>
      </c>
      <c r="AC29" s="34">
        <f>AB29+7</f>
        <v>45302</v>
      </c>
      <c r="AD29" s="34">
        <f>AC29+7</f>
        <v>45309</v>
      </c>
      <c r="AE29" s="34" t="s">
        <v>149</v>
      </c>
      <c r="AF29" s="34">
        <f>AD29+7</f>
        <v>45316</v>
      </c>
      <c r="AG29" s="34">
        <f>AF29+7</f>
        <v>45323</v>
      </c>
      <c r="AH29" s="34">
        <f>AG29+7</f>
        <v>45330</v>
      </c>
      <c r="AI29" s="34" t="s">
        <v>149</v>
      </c>
      <c r="AJ29" s="34">
        <f>AH29+7</f>
        <v>45337</v>
      </c>
      <c r="AK29" s="34">
        <f>AJ29+7</f>
        <v>45344</v>
      </c>
      <c r="AL29" s="34">
        <f>AK29+7</f>
        <v>45351</v>
      </c>
      <c r="AM29" s="34" t="s">
        <v>149</v>
      </c>
      <c r="AN29" s="34">
        <f>AL29+7</f>
        <v>45358</v>
      </c>
      <c r="AO29" s="34">
        <f>AN29+7</f>
        <v>45365</v>
      </c>
      <c r="AP29" s="34">
        <f>AO29+7</f>
        <v>45372</v>
      </c>
      <c r="AQ29" s="34" t="s">
        <v>149</v>
      </c>
      <c r="AR29" s="34">
        <f>AP29+7</f>
        <v>45379</v>
      </c>
      <c r="AS29" s="34">
        <f>AR29+7</f>
        <v>45386</v>
      </c>
      <c r="AT29" s="34">
        <f>AS29+7</f>
        <v>45393</v>
      </c>
      <c r="AU29" s="34">
        <f t="shared" ref="AU29" si="27">AT29+21</f>
        <v>45414</v>
      </c>
      <c r="AV29" s="34">
        <f>AT29+7</f>
        <v>45400</v>
      </c>
      <c r="AW29" s="34">
        <f>AV29+7</f>
        <v>45407</v>
      </c>
      <c r="AX29" s="34">
        <f>AW29+7</f>
        <v>45414</v>
      </c>
      <c r="AY29" s="34">
        <f t="shared" ref="AY29" si="28">AX29+21</f>
        <v>45435</v>
      </c>
      <c r="AZ29" s="34">
        <f>AX29+7</f>
        <v>45421</v>
      </c>
      <c r="BA29" s="34">
        <f>AZ29+7</f>
        <v>45428</v>
      </c>
      <c r="BB29" s="34">
        <f>BA29+7</f>
        <v>45435</v>
      </c>
      <c r="BC29" s="34">
        <f t="shared" ref="BC29" si="29">BB29+21</f>
        <v>45456</v>
      </c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>
        <v>45280</v>
      </c>
      <c r="DU29" s="34">
        <f>Y30+28</f>
        <v>28</v>
      </c>
      <c r="DV29" s="32">
        <f>EDATE(U30,3)</f>
        <v>45359</v>
      </c>
      <c r="DW29" s="32">
        <f>EDATE(DV29,3)</f>
        <v>45451</v>
      </c>
      <c r="DX29" s="32">
        <f t="shared" ref="DX29:EC29" si="30">EDATE(DW29,3)</f>
        <v>45543</v>
      </c>
      <c r="DY29" s="32">
        <f t="shared" si="30"/>
        <v>45634</v>
      </c>
      <c r="DZ29" s="32">
        <f t="shared" si="30"/>
        <v>45724</v>
      </c>
      <c r="EA29" s="32">
        <f t="shared" si="30"/>
        <v>45816</v>
      </c>
      <c r="EB29" s="32">
        <f t="shared" si="30"/>
        <v>45908</v>
      </c>
      <c r="EC29" s="32">
        <f t="shared" si="30"/>
        <v>45999</v>
      </c>
      <c r="ED29" s="123"/>
      <c r="EE29" s="123"/>
      <c r="EF29" s="344"/>
      <c r="EG29" s="345"/>
      <c r="EH29" s="345"/>
    </row>
    <row r="30" spans="1:138" s="36" customFormat="1" ht="35.1" customHeight="1">
      <c r="A30" s="31"/>
      <c r="B30" s="353"/>
      <c r="C30" s="341"/>
      <c r="D30" s="343"/>
      <c r="E30" s="343"/>
      <c r="F30" s="343"/>
      <c r="G30" s="343"/>
      <c r="H30" s="327" t="s">
        <v>150</v>
      </c>
      <c r="I30" s="31">
        <v>45196</v>
      </c>
      <c r="J30" s="327">
        <v>43571</v>
      </c>
      <c r="K30" s="31">
        <v>45211</v>
      </c>
      <c r="L30" s="277" t="s">
        <v>148</v>
      </c>
      <c r="M30" s="31">
        <v>45218</v>
      </c>
      <c r="N30" s="327">
        <v>45225</v>
      </c>
      <c r="O30" s="327" t="s">
        <v>148</v>
      </c>
      <c r="P30" s="327">
        <v>45232</v>
      </c>
      <c r="Q30" s="327">
        <v>45239</v>
      </c>
      <c r="R30" s="327">
        <v>45246</v>
      </c>
      <c r="S30" s="327" t="s">
        <v>148</v>
      </c>
      <c r="T30" s="325">
        <v>45260</v>
      </c>
      <c r="U30" s="331">
        <v>45268</v>
      </c>
      <c r="V30" s="325">
        <v>45274</v>
      </c>
      <c r="W30" s="327" t="s">
        <v>148</v>
      </c>
      <c r="Y30" s="325"/>
      <c r="Z30" s="325"/>
      <c r="AA30" s="325"/>
      <c r="AB30" s="325"/>
      <c r="AC30" s="325"/>
      <c r="AD30" s="325"/>
      <c r="AE30" s="325"/>
      <c r="AF30" s="325"/>
      <c r="AG30" s="325"/>
      <c r="AH30" s="325"/>
      <c r="AI30" s="325"/>
      <c r="AJ30" s="325"/>
      <c r="AK30" s="325"/>
      <c r="AL30" s="325"/>
      <c r="AM30" s="325"/>
      <c r="AN30" s="325"/>
      <c r="AO30" s="325"/>
      <c r="AP30" s="325"/>
      <c r="AQ30" s="325"/>
      <c r="AR30" s="325"/>
      <c r="AS30" s="325"/>
      <c r="AT30" s="325"/>
      <c r="AU30" s="325"/>
      <c r="AV30" s="325"/>
      <c r="AW30" s="325"/>
      <c r="AX30" s="325"/>
      <c r="AY30" s="325"/>
      <c r="AZ30" s="325"/>
      <c r="BA30" s="325"/>
      <c r="BB30" s="325"/>
      <c r="BC30" s="325"/>
      <c r="BD30" s="325"/>
      <c r="BE30" s="325"/>
      <c r="BF30" s="325"/>
      <c r="BG30" s="325"/>
      <c r="BH30" s="325"/>
      <c r="BI30" s="325"/>
      <c r="BJ30" s="325"/>
      <c r="BK30" s="325"/>
      <c r="BL30" s="325"/>
      <c r="BM30" s="325"/>
      <c r="BN30" s="325"/>
      <c r="BO30" s="325"/>
      <c r="BP30" s="325"/>
      <c r="BQ30" s="325"/>
      <c r="BR30" s="325"/>
      <c r="BS30" s="325"/>
      <c r="BT30" s="325"/>
      <c r="BU30" s="325"/>
      <c r="BV30" s="325"/>
      <c r="BW30" s="325"/>
      <c r="BX30" s="325"/>
      <c r="BY30" s="325"/>
      <c r="BZ30" s="325"/>
      <c r="CA30" s="325"/>
      <c r="CB30" s="325"/>
      <c r="CC30" s="325"/>
      <c r="CD30" s="325"/>
      <c r="CE30" s="325"/>
      <c r="CF30" s="325"/>
      <c r="CG30" s="325"/>
      <c r="CH30" s="325"/>
      <c r="CI30" s="325"/>
      <c r="CJ30" s="325"/>
      <c r="CK30" s="325"/>
      <c r="CL30" s="325"/>
      <c r="CM30" s="325"/>
      <c r="CN30" s="325"/>
      <c r="CO30" s="325"/>
      <c r="CP30" s="325"/>
      <c r="CQ30" s="325"/>
      <c r="CR30" s="325"/>
      <c r="CS30" s="325"/>
      <c r="CT30" s="325"/>
      <c r="CU30" s="325"/>
      <c r="CV30" s="325"/>
      <c r="CW30" s="325"/>
      <c r="CX30" s="325"/>
      <c r="CY30" s="325"/>
      <c r="CZ30" s="325"/>
      <c r="DA30" s="325"/>
      <c r="DB30" s="325"/>
      <c r="DC30" s="325"/>
      <c r="DD30" s="325"/>
      <c r="DE30" s="325"/>
      <c r="DF30" s="325"/>
      <c r="DG30" s="325"/>
      <c r="DH30" s="325"/>
      <c r="DI30" s="325"/>
      <c r="DJ30" s="325"/>
      <c r="DK30" s="325"/>
      <c r="DL30" s="325"/>
      <c r="DM30" s="325"/>
      <c r="DN30" s="325"/>
      <c r="DO30" s="325"/>
      <c r="DP30" s="325"/>
      <c r="DQ30" s="325"/>
      <c r="DR30" s="325"/>
      <c r="DS30" s="325"/>
      <c r="DT30" s="327">
        <v>45280</v>
      </c>
      <c r="DU30" s="327">
        <v>45295</v>
      </c>
      <c r="DV30" s="327">
        <v>45359</v>
      </c>
      <c r="DW30" s="327">
        <v>45449</v>
      </c>
      <c r="DX30" s="327">
        <v>45463</v>
      </c>
      <c r="DY30" s="327"/>
      <c r="DZ30" s="327"/>
      <c r="EA30" s="327"/>
      <c r="EB30" s="327"/>
      <c r="EC30" s="327"/>
      <c r="ED30" s="124"/>
      <c r="EE30" s="124"/>
      <c r="EF30" s="344"/>
      <c r="EG30" s="345"/>
      <c r="EH30" s="345"/>
    </row>
    <row r="31" spans="1:138" s="1" customFormat="1" ht="35.1" customHeight="1">
      <c r="A31" s="12"/>
      <c r="B31" s="356" t="s">
        <v>178</v>
      </c>
      <c r="C31" s="358" t="s">
        <v>198</v>
      </c>
      <c r="D31" s="360" t="s">
        <v>199</v>
      </c>
      <c r="E31" s="360" t="s">
        <v>200</v>
      </c>
      <c r="F31" s="360" t="s">
        <v>162</v>
      </c>
      <c r="G31" s="360" t="s">
        <v>146</v>
      </c>
      <c r="H31" s="74" t="s">
        <v>147</v>
      </c>
      <c r="I31" s="75">
        <v>45232</v>
      </c>
      <c r="J31" s="76">
        <v>43571</v>
      </c>
      <c r="K31" s="75">
        <v>45239</v>
      </c>
      <c r="L31" s="273" t="s">
        <v>148</v>
      </c>
      <c r="M31" s="76">
        <v>45246</v>
      </c>
      <c r="N31" s="76">
        <f>M31+7</f>
        <v>45253</v>
      </c>
      <c r="O31" s="76" t="s">
        <v>149</v>
      </c>
      <c r="P31" s="76">
        <f>N31+7</f>
        <v>45260</v>
      </c>
      <c r="Q31" s="76">
        <f>P31+7</f>
        <v>45267</v>
      </c>
      <c r="R31" s="76">
        <f>Q31+7</f>
        <v>45274</v>
      </c>
      <c r="S31" s="77" t="s">
        <v>149</v>
      </c>
      <c r="T31" s="77">
        <f>R31+7</f>
        <v>45281</v>
      </c>
      <c r="U31" s="77">
        <f>T31+7</f>
        <v>45288</v>
      </c>
      <c r="V31" s="77">
        <f>U31+7</f>
        <v>45295</v>
      </c>
      <c r="W31" s="77" t="s">
        <v>149</v>
      </c>
      <c r="X31" s="77">
        <f>V31+7</f>
        <v>45302</v>
      </c>
      <c r="Y31" s="77">
        <f>X31+7</f>
        <v>45309</v>
      </c>
      <c r="Z31" s="77">
        <f>Y31+7</f>
        <v>45316</v>
      </c>
      <c r="AA31" s="77" t="s">
        <v>149</v>
      </c>
      <c r="AB31" s="77">
        <f>Z31+7</f>
        <v>45323</v>
      </c>
      <c r="AC31" s="77">
        <f>AB31+7</f>
        <v>45330</v>
      </c>
      <c r="AD31" s="77">
        <f>AC31+7</f>
        <v>45337</v>
      </c>
      <c r="AE31" s="77" t="s">
        <v>149</v>
      </c>
      <c r="AF31" s="77">
        <f>AD31+7</f>
        <v>45344</v>
      </c>
      <c r="AG31" s="77">
        <f>AF31+7</f>
        <v>45351</v>
      </c>
      <c r="AH31" s="77">
        <f>AG31+7</f>
        <v>45358</v>
      </c>
      <c r="AI31" s="77" t="s">
        <v>149</v>
      </c>
      <c r="AJ31" s="77">
        <f>AH31+7</f>
        <v>45365</v>
      </c>
      <c r="AK31" s="77">
        <f>AJ31+7</f>
        <v>45372</v>
      </c>
      <c r="AL31" s="77">
        <f>AK31+7</f>
        <v>45379</v>
      </c>
      <c r="AM31" s="77" t="s">
        <v>149</v>
      </c>
      <c r="AN31" s="77">
        <f>AL31+7</f>
        <v>45386</v>
      </c>
      <c r="AO31" s="77">
        <f>AN31+7</f>
        <v>45393</v>
      </c>
      <c r="AP31" s="77">
        <f>AO31+7</f>
        <v>45400</v>
      </c>
      <c r="AQ31" s="77" t="s">
        <v>149</v>
      </c>
      <c r="AR31" s="77">
        <f>AP31+7</f>
        <v>45407</v>
      </c>
      <c r="AS31" s="77">
        <f>AR31+7</f>
        <v>45414</v>
      </c>
      <c r="AT31" s="77">
        <f>AS31+7</f>
        <v>45421</v>
      </c>
      <c r="AU31" s="77" t="s">
        <v>148</v>
      </c>
      <c r="AV31" s="77">
        <f>AT31+7</f>
        <v>45428</v>
      </c>
      <c r="AW31" s="77">
        <f>AV31+7</f>
        <v>45435</v>
      </c>
      <c r="AX31" s="77">
        <f>AW31+7</f>
        <v>45442</v>
      </c>
      <c r="AY31" s="77">
        <f t="shared" ref="AY31" si="31">AX31+21</f>
        <v>45463</v>
      </c>
      <c r="AZ31" s="77">
        <f>AX31+7</f>
        <v>45449</v>
      </c>
      <c r="BA31" s="77">
        <f>AZ31+7</f>
        <v>45456</v>
      </c>
      <c r="BB31" s="77">
        <f>BA31+7</f>
        <v>45463</v>
      </c>
      <c r="BC31" s="77" t="s">
        <v>148</v>
      </c>
      <c r="BD31" s="77">
        <f>BB31+7</f>
        <v>45470</v>
      </c>
      <c r="BE31" s="77">
        <f>BD31+7</f>
        <v>45477</v>
      </c>
      <c r="BF31" s="77">
        <f>BE31+7</f>
        <v>45484</v>
      </c>
      <c r="BG31" s="77" t="s">
        <v>148</v>
      </c>
      <c r="BH31" s="77">
        <f>BF31+7</f>
        <v>45491</v>
      </c>
      <c r="BI31" s="77">
        <f>BH31+7</f>
        <v>45498</v>
      </c>
      <c r="BJ31" s="77">
        <f>BI31+7</f>
        <v>45505</v>
      </c>
      <c r="BK31" s="77" t="s">
        <v>148</v>
      </c>
      <c r="BL31" s="77">
        <f>BJ31+7</f>
        <v>45512</v>
      </c>
      <c r="BM31" s="77">
        <f>BL31+7</f>
        <v>45519</v>
      </c>
      <c r="BN31" s="77">
        <f>BM31+7</f>
        <v>45526</v>
      </c>
      <c r="BO31" s="77" t="s">
        <v>149</v>
      </c>
      <c r="BP31" s="77">
        <f>BN31+7</f>
        <v>45533</v>
      </c>
      <c r="BQ31" s="77">
        <f>BP31+7</f>
        <v>45540</v>
      </c>
      <c r="BR31" s="77">
        <f>BQ31+7</f>
        <v>45547</v>
      </c>
      <c r="BS31" s="77" t="s">
        <v>148</v>
      </c>
      <c r="BT31" s="77">
        <f>BR31+7</f>
        <v>45554</v>
      </c>
      <c r="BU31" s="77">
        <f>BT31+7</f>
        <v>45561</v>
      </c>
      <c r="BV31" s="77">
        <f>BU31+7</f>
        <v>45568</v>
      </c>
      <c r="BW31" s="77" t="s">
        <v>149</v>
      </c>
      <c r="BX31" s="77">
        <f>BV31+7</f>
        <v>45575</v>
      </c>
      <c r="BY31" s="77">
        <f>BX31+7</f>
        <v>45582</v>
      </c>
      <c r="BZ31" s="77">
        <f>BY31+7</f>
        <v>45589</v>
      </c>
      <c r="CA31" s="77" t="s">
        <v>149</v>
      </c>
      <c r="CB31" s="77"/>
      <c r="CC31" s="77"/>
      <c r="CD31" s="77"/>
      <c r="CE31" s="77"/>
      <c r="CF31" s="77"/>
      <c r="CG31" s="77"/>
      <c r="CH31" s="77"/>
      <c r="CI31" s="77"/>
      <c r="CJ31" s="77"/>
      <c r="CK31" s="77"/>
      <c r="CL31" s="77"/>
      <c r="CM31" s="77"/>
      <c r="CN31" s="77"/>
      <c r="CO31" s="77"/>
      <c r="CP31" s="77"/>
      <c r="CQ31" s="77"/>
      <c r="CR31" s="77"/>
      <c r="CS31" s="77"/>
      <c r="CT31" s="77"/>
      <c r="CU31" s="77"/>
      <c r="CV31" s="77"/>
      <c r="CW31" s="77"/>
      <c r="CX31" s="77"/>
      <c r="CY31" s="77"/>
      <c r="CZ31" s="77"/>
      <c r="DA31" s="77"/>
      <c r="DB31" s="77"/>
      <c r="DC31" s="77"/>
      <c r="DD31" s="77"/>
      <c r="DE31" s="77"/>
      <c r="DF31" s="77"/>
      <c r="DG31" s="77"/>
      <c r="DH31" s="77"/>
      <c r="DI31" s="77"/>
      <c r="DJ31" s="77"/>
      <c r="DK31" s="77"/>
      <c r="DL31" s="77"/>
      <c r="DM31" s="77"/>
      <c r="DN31" s="77"/>
      <c r="DO31" s="77"/>
      <c r="DP31" s="77"/>
      <c r="DQ31" s="77"/>
      <c r="DR31" s="77"/>
      <c r="DS31" s="77"/>
      <c r="DT31" s="17"/>
      <c r="DU31" s="17"/>
      <c r="DV31" s="13"/>
      <c r="DW31" s="13"/>
      <c r="DX31" s="13"/>
      <c r="DY31" s="13"/>
      <c r="DZ31" s="13"/>
      <c r="EA31" s="13"/>
      <c r="EB31" s="13"/>
      <c r="EC31" s="13"/>
      <c r="ED31" s="24"/>
      <c r="EE31" s="24"/>
      <c r="EF31" s="339"/>
      <c r="EG31" s="338"/>
      <c r="EH31" s="338"/>
    </row>
    <row r="32" spans="1:138" s="1" customFormat="1" ht="35.1" customHeight="1">
      <c r="A32" s="12"/>
      <c r="B32" s="357"/>
      <c r="C32" s="359"/>
      <c r="D32" s="361"/>
      <c r="E32" s="361"/>
      <c r="F32" s="361"/>
      <c r="G32" s="361"/>
      <c r="H32" s="330" t="s">
        <v>150</v>
      </c>
      <c r="I32" s="75">
        <v>45232</v>
      </c>
      <c r="J32" s="330">
        <v>43571</v>
      </c>
      <c r="K32" s="75">
        <v>45239</v>
      </c>
      <c r="L32" s="274" t="s">
        <v>148</v>
      </c>
      <c r="M32" s="159">
        <v>45246</v>
      </c>
      <c r="N32" s="330">
        <v>45253</v>
      </c>
      <c r="O32" s="330" t="s">
        <v>148</v>
      </c>
      <c r="P32" s="330">
        <v>45260</v>
      </c>
      <c r="Q32" s="330">
        <v>45267</v>
      </c>
      <c r="R32" s="324">
        <v>45274</v>
      </c>
      <c r="S32" s="330" t="s">
        <v>148</v>
      </c>
      <c r="T32" s="330">
        <v>45281</v>
      </c>
      <c r="U32" s="154">
        <v>45288</v>
      </c>
      <c r="V32" s="330">
        <v>45295</v>
      </c>
      <c r="W32" s="330" t="s">
        <v>148</v>
      </c>
      <c r="X32" s="160">
        <v>45302</v>
      </c>
      <c r="Y32" s="324">
        <v>45309</v>
      </c>
      <c r="Z32" s="330">
        <v>45316</v>
      </c>
      <c r="AA32" s="330" t="s">
        <v>148</v>
      </c>
      <c r="AB32" s="330">
        <v>45323</v>
      </c>
      <c r="AC32" s="330">
        <v>45330</v>
      </c>
      <c r="AD32" s="324">
        <v>45336</v>
      </c>
      <c r="AE32" s="330" t="s">
        <v>148</v>
      </c>
      <c r="AF32" s="330">
        <v>45344</v>
      </c>
      <c r="AG32" s="330">
        <v>45350</v>
      </c>
      <c r="AH32" s="324">
        <v>45359</v>
      </c>
      <c r="AI32" s="330" t="s">
        <v>148</v>
      </c>
      <c r="AJ32" s="330">
        <v>45365</v>
      </c>
      <c r="AK32" s="330">
        <v>45372</v>
      </c>
      <c r="AL32" s="324" t="s">
        <v>181</v>
      </c>
      <c r="AM32" s="330" t="s">
        <v>148</v>
      </c>
      <c r="AN32" s="330">
        <v>45386</v>
      </c>
      <c r="AO32" s="330">
        <v>45393</v>
      </c>
      <c r="AP32" s="324" t="s">
        <v>181</v>
      </c>
      <c r="AQ32" s="330" t="s">
        <v>148</v>
      </c>
      <c r="AR32" s="330">
        <v>45407</v>
      </c>
      <c r="AS32" s="330">
        <v>45414</v>
      </c>
      <c r="AT32" s="324" t="s">
        <v>181</v>
      </c>
      <c r="AU32" s="330" t="s">
        <v>148</v>
      </c>
      <c r="AV32" s="330">
        <v>45428</v>
      </c>
      <c r="AW32" s="330">
        <v>45435</v>
      </c>
      <c r="AX32" s="324" t="s">
        <v>181</v>
      </c>
      <c r="AY32" s="330" t="s">
        <v>148</v>
      </c>
      <c r="AZ32" s="161">
        <v>45453</v>
      </c>
      <c r="BA32" s="161">
        <v>45460</v>
      </c>
      <c r="BB32" s="324" t="s">
        <v>181</v>
      </c>
      <c r="BC32" s="330" t="s">
        <v>148</v>
      </c>
      <c r="BD32" s="138">
        <v>45477</v>
      </c>
      <c r="BE32" s="330"/>
      <c r="BF32" s="330"/>
      <c r="BG32" s="330"/>
      <c r="BH32" s="330"/>
      <c r="BI32" s="330"/>
      <c r="BJ32" s="330"/>
      <c r="BK32" s="330"/>
      <c r="BL32" s="330"/>
      <c r="BM32" s="330"/>
      <c r="BN32" s="330"/>
      <c r="BO32" s="330"/>
      <c r="BP32" s="330"/>
      <c r="BQ32" s="330"/>
      <c r="BR32" s="330"/>
      <c r="BS32" s="330"/>
      <c r="BT32" s="330"/>
      <c r="BU32" s="330"/>
      <c r="BV32" s="330"/>
      <c r="BW32" s="330"/>
      <c r="BX32" s="330"/>
      <c r="BY32" s="330"/>
      <c r="BZ32" s="330"/>
      <c r="CA32" s="330"/>
      <c r="CB32" s="330"/>
      <c r="CC32" s="330"/>
      <c r="CD32" s="330"/>
      <c r="CE32" s="330"/>
      <c r="CF32" s="330"/>
      <c r="CG32" s="330"/>
      <c r="CH32" s="330"/>
      <c r="CI32" s="330"/>
      <c r="CJ32" s="330"/>
      <c r="CK32" s="330"/>
      <c r="CL32" s="330"/>
      <c r="CM32" s="330"/>
      <c r="CN32" s="330"/>
      <c r="CO32" s="330"/>
      <c r="CP32" s="330"/>
      <c r="CQ32" s="330"/>
      <c r="CR32" s="330"/>
      <c r="CS32" s="330"/>
      <c r="CT32" s="330"/>
      <c r="CU32" s="330"/>
      <c r="CV32" s="330"/>
      <c r="CW32" s="330"/>
      <c r="CX32" s="330"/>
      <c r="CY32" s="330"/>
      <c r="CZ32" s="330"/>
      <c r="DA32" s="330"/>
      <c r="DB32" s="330"/>
      <c r="DC32" s="330"/>
      <c r="DD32" s="330"/>
      <c r="DE32" s="330"/>
      <c r="DF32" s="330"/>
      <c r="DG32" s="330"/>
      <c r="DH32" s="330"/>
      <c r="DI32" s="330"/>
      <c r="DJ32" s="330"/>
      <c r="DK32" s="330"/>
      <c r="DL32" s="330"/>
      <c r="DM32" s="330"/>
      <c r="DN32" s="330"/>
      <c r="DO32" s="330"/>
      <c r="DP32" s="330"/>
      <c r="DQ32" s="330"/>
      <c r="DR32" s="330"/>
      <c r="DS32" s="330"/>
      <c r="DT32" s="321">
        <v>45484</v>
      </c>
      <c r="DU32" s="321" t="s">
        <v>181</v>
      </c>
      <c r="DV32" s="321">
        <v>45569</v>
      </c>
      <c r="DW32" s="321">
        <v>45660</v>
      </c>
      <c r="DX32" s="321">
        <v>45764</v>
      </c>
      <c r="DY32" s="321">
        <v>45848</v>
      </c>
      <c r="DZ32" s="321">
        <v>45946</v>
      </c>
      <c r="EA32" s="321">
        <v>46037</v>
      </c>
      <c r="EB32" s="321">
        <v>46121</v>
      </c>
      <c r="EC32" s="321"/>
      <c r="ED32" s="25"/>
      <c r="EE32" s="25"/>
      <c r="EF32" s="339"/>
      <c r="EG32" s="338"/>
      <c r="EH32" s="338"/>
    </row>
    <row r="33" spans="1:138" s="1" customFormat="1" ht="35.1" customHeight="1">
      <c r="A33" s="12"/>
      <c r="B33" s="356" t="s">
        <v>178</v>
      </c>
      <c r="C33" s="358" t="s">
        <v>201</v>
      </c>
      <c r="D33" s="360" t="s">
        <v>157</v>
      </c>
      <c r="E33" s="360" t="s">
        <v>202</v>
      </c>
      <c r="F33" s="360" t="s">
        <v>162</v>
      </c>
      <c r="G33" s="360" t="s">
        <v>146</v>
      </c>
      <c r="H33" s="74" t="s">
        <v>147</v>
      </c>
      <c r="I33" s="162">
        <v>45266</v>
      </c>
      <c r="J33" s="76"/>
      <c r="K33" s="75">
        <v>45288</v>
      </c>
      <c r="L33" s="273" t="s">
        <v>148</v>
      </c>
      <c r="M33" s="76">
        <f>K34+7</f>
        <v>45281</v>
      </c>
      <c r="N33" s="76">
        <f t="shared" ref="N33" si="32">M33+7</f>
        <v>45288</v>
      </c>
      <c r="O33" s="76" t="s">
        <v>149</v>
      </c>
      <c r="P33" s="76">
        <f t="shared" ref="P33" si="33">N33+7</f>
        <v>45295</v>
      </c>
      <c r="Q33" s="76">
        <f t="shared" ref="Q33:R33" si="34">P33+7</f>
        <v>45302</v>
      </c>
      <c r="R33" s="76">
        <f t="shared" si="34"/>
        <v>45309</v>
      </c>
      <c r="S33" s="77" t="s">
        <v>149</v>
      </c>
      <c r="T33" s="77">
        <f t="shared" ref="T33" si="35">R33+7</f>
        <v>45316</v>
      </c>
      <c r="U33" s="77">
        <f t="shared" ref="U33:V33" si="36">T33+7</f>
        <v>45323</v>
      </c>
      <c r="V33" s="77">
        <f t="shared" si="36"/>
        <v>45330</v>
      </c>
      <c r="W33" s="77" t="s">
        <v>149</v>
      </c>
      <c r="X33" s="77">
        <f t="shared" ref="X33" si="37">V33+7</f>
        <v>45337</v>
      </c>
      <c r="Y33" s="77">
        <f t="shared" ref="Y33:Z33" si="38">X33+7</f>
        <v>45344</v>
      </c>
      <c r="Z33" s="77">
        <f t="shared" si="38"/>
        <v>45351</v>
      </c>
      <c r="AA33" s="77" t="s">
        <v>149</v>
      </c>
      <c r="AB33" s="77">
        <f t="shared" ref="AB33" si="39">Z33+7</f>
        <v>45358</v>
      </c>
      <c r="AC33" s="77">
        <f t="shared" ref="AC33:AD33" si="40">AB33+7</f>
        <v>45365</v>
      </c>
      <c r="AD33" s="77">
        <f t="shared" si="40"/>
        <v>45372</v>
      </c>
      <c r="AE33" s="77" t="s">
        <v>149</v>
      </c>
      <c r="AF33" s="77">
        <f t="shared" ref="AF33" si="41">AD33+7</f>
        <v>45379</v>
      </c>
      <c r="AG33" s="77">
        <f t="shared" ref="AG33:AH33" si="42">AF33+7</f>
        <v>45386</v>
      </c>
      <c r="AH33" s="77">
        <f t="shared" si="42"/>
        <v>45393</v>
      </c>
      <c r="AI33" s="77" t="s">
        <v>149</v>
      </c>
      <c r="AJ33" s="77">
        <f t="shared" ref="AJ33" si="43">AH33+7</f>
        <v>45400</v>
      </c>
      <c r="AK33" s="77">
        <f t="shared" ref="AK33:AL33" si="44">AJ33+7</f>
        <v>45407</v>
      </c>
      <c r="AL33" s="77">
        <f t="shared" si="44"/>
        <v>45414</v>
      </c>
      <c r="AM33" s="77" t="s">
        <v>149</v>
      </c>
      <c r="AN33" s="77">
        <f t="shared" ref="AN33" si="45">AL33+7</f>
        <v>45421</v>
      </c>
      <c r="AO33" s="77">
        <f t="shared" ref="AO33:AP33" si="46">AN33+7</f>
        <v>45428</v>
      </c>
      <c r="AP33" s="77">
        <f t="shared" si="46"/>
        <v>45435</v>
      </c>
      <c r="AQ33" s="77" t="s">
        <v>149</v>
      </c>
      <c r="AR33" s="77">
        <f t="shared" ref="AR33" si="47">AP33+7</f>
        <v>45442</v>
      </c>
      <c r="AS33" s="77">
        <f t="shared" ref="AS33:AT33" si="48">AR33+7</f>
        <v>45449</v>
      </c>
      <c r="AT33" s="77">
        <f t="shared" si="48"/>
        <v>45456</v>
      </c>
      <c r="AU33" s="77">
        <f t="shared" ref="AU33" si="49">AT33+21</f>
        <v>45477</v>
      </c>
      <c r="AV33" s="77">
        <f t="shared" ref="AV33" si="50">AT33+7</f>
        <v>45463</v>
      </c>
      <c r="AW33" s="77">
        <f t="shared" ref="AW33" si="51">AV33+7</f>
        <v>45470</v>
      </c>
      <c r="AX33" s="77">
        <f t="shared" ref="AX33" si="52">AW33+7</f>
        <v>45477</v>
      </c>
      <c r="AY33" s="77">
        <f t="shared" ref="AY33" si="53">AX33+21</f>
        <v>45498</v>
      </c>
      <c r="AZ33" s="77">
        <f t="shared" ref="AZ33" si="54">AX33+7</f>
        <v>45484</v>
      </c>
      <c r="BA33" s="77">
        <f t="shared" ref="BA33" si="55">AZ33+7</f>
        <v>45491</v>
      </c>
      <c r="BB33" s="77">
        <f t="shared" ref="BB33" si="56">BA33+7</f>
        <v>45498</v>
      </c>
      <c r="BC33" s="77" t="s">
        <v>148</v>
      </c>
      <c r="BD33" s="77">
        <f>BB33+7</f>
        <v>45505</v>
      </c>
      <c r="BE33" s="77">
        <f>BD33+7</f>
        <v>45512</v>
      </c>
      <c r="BF33" s="77">
        <f>BE33+7</f>
        <v>45519</v>
      </c>
      <c r="BG33" s="77" t="s">
        <v>148</v>
      </c>
      <c r="BH33" s="77">
        <f>BF33+7</f>
        <v>45526</v>
      </c>
      <c r="BI33" s="77">
        <f>BH33+7</f>
        <v>45533</v>
      </c>
      <c r="BJ33" s="77">
        <f>BI33+7</f>
        <v>45540</v>
      </c>
      <c r="BK33" s="77" t="s">
        <v>148</v>
      </c>
      <c r="BL33" s="77"/>
      <c r="BM33" s="77"/>
      <c r="BN33" s="77"/>
      <c r="BO33" s="77"/>
      <c r="BP33" s="77">
        <f>BN33+7</f>
        <v>7</v>
      </c>
      <c r="BQ33" s="77">
        <f>BP33+7</f>
        <v>14</v>
      </c>
      <c r="BR33" s="77">
        <f>BQ33+7</f>
        <v>21</v>
      </c>
      <c r="BS33" s="77" t="s">
        <v>148</v>
      </c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7"/>
      <c r="CI33" s="77"/>
      <c r="CJ33" s="77"/>
      <c r="CK33" s="77"/>
      <c r="CL33" s="77"/>
      <c r="CM33" s="77"/>
      <c r="CN33" s="77"/>
      <c r="CO33" s="77"/>
      <c r="CP33" s="77"/>
      <c r="CQ33" s="77"/>
      <c r="CR33" s="77"/>
      <c r="CS33" s="77"/>
      <c r="CT33" s="77"/>
      <c r="CU33" s="77"/>
      <c r="CV33" s="77"/>
      <c r="CW33" s="77"/>
      <c r="CX33" s="77"/>
      <c r="CY33" s="77"/>
      <c r="CZ33" s="77"/>
      <c r="DA33" s="77"/>
      <c r="DB33" s="77"/>
      <c r="DC33" s="77"/>
      <c r="DD33" s="77"/>
      <c r="DE33" s="77"/>
      <c r="DF33" s="77"/>
      <c r="DG33" s="77"/>
      <c r="DH33" s="77"/>
      <c r="DI33" s="77"/>
      <c r="DJ33" s="77"/>
      <c r="DK33" s="77"/>
      <c r="DL33" s="77"/>
      <c r="DM33" s="77"/>
      <c r="DN33" s="77"/>
      <c r="DO33" s="77"/>
      <c r="DP33" s="77"/>
      <c r="DQ33" s="77"/>
      <c r="DR33" s="77"/>
      <c r="DS33" s="77"/>
      <c r="DT33" s="17">
        <v>45337</v>
      </c>
      <c r="DU33" s="17">
        <v>45350</v>
      </c>
      <c r="DV33" s="13">
        <f>EDATE(U34,3)</f>
        <v>45413</v>
      </c>
      <c r="DW33" s="13">
        <f>EDATE(DV33,3)</f>
        <v>45505</v>
      </c>
      <c r="DX33" s="13">
        <f t="shared" ref="DX33:EC33" si="57">EDATE(DW33,3)</f>
        <v>45597</v>
      </c>
      <c r="DY33" s="13">
        <f t="shared" si="57"/>
        <v>45689</v>
      </c>
      <c r="DZ33" s="13">
        <f t="shared" si="57"/>
        <v>45778</v>
      </c>
      <c r="EA33" s="13">
        <f t="shared" si="57"/>
        <v>45870</v>
      </c>
      <c r="EB33" s="13">
        <f t="shared" si="57"/>
        <v>45962</v>
      </c>
      <c r="EC33" s="13">
        <f t="shared" si="57"/>
        <v>46054</v>
      </c>
      <c r="ED33" s="24"/>
      <c r="EE33" s="24"/>
      <c r="EF33" s="339"/>
      <c r="EG33" s="338"/>
      <c r="EH33" s="338"/>
    </row>
    <row r="34" spans="1:138" s="1" customFormat="1" ht="35.1" customHeight="1">
      <c r="A34" s="12"/>
      <c r="B34" s="357"/>
      <c r="C34" s="359"/>
      <c r="D34" s="361"/>
      <c r="E34" s="361"/>
      <c r="F34" s="361"/>
      <c r="G34" s="361"/>
      <c r="H34" s="330" t="s">
        <v>150</v>
      </c>
      <c r="I34" s="75">
        <v>45266</v>
      </c>
      <c r="J34" s="163"/>
      <c r="K34" s="162">
        <v>45274</v>
      </c>
      <c r="L34" s="274" t="s">
        <v>148</v>
      </c>
      <c r="M34" s="159">
        <v>45281</v>
      </c>
      <c r="N34" s="330">
        <v>45288</v>
      </c>
      <c r="O34" s="330" t="s">
        <v>148</v>
      </c>
      <c r="P34" s="330">
        <v>45295</v>
      </c>
      <c r="Q34" s="330">
        <v>45302</v>
      </c>
      <c r="R34" s="324">
        <v>45309</v>
      </c>
      <c r="S34" s="330" t="s">
        <v>148</v>
      </c>
      <c r="T34" s="330">
        <v>45316</v>
      </c>
      <c r="U34" s="191">
        <v>45323</v>
      </c>
      <c r="V34" s="330">
        <v>45330</v>
      </c>
      <c r="W34" s="330" t="s">
        <v>148</v>
      </c>
      <c r="X34" s="160"/>
      <c r="Y34" s="324"/>
      <c r="Z34" s="330"/>
      <c r="AA34" s="330"/>
      <c r="AB34" s="330"/>
      <c r="AC34" s="330"/>
      <c r="AD34" s="161"/>
      <c r="AE34" s="330"/>
      <c r="AF34" s="330"/>
      <c r="AG34" s="330"/>
      <c r="AH34" s="161"/>
      <c r="AI34" s="330"/>
      <c r="AJ34" s="330"/>
      <c r="AK34" s="330"/>
      <c r="AL34" s="161"/>
      <c r="AM34" s="330"/>
      <c r="AN34" s="330"/>
      <c r="AO34" s="330"/>
      <c r="AP34" s="161"/>
      <c r="AQ34" s="330"/>
      <c r="AR34" s="330"/>
      <c r="AS34" s="330"/>
      <c r="AT34" s="161"/>
      <c r="AU34" s="330"/>
      <c r="AV34" s="330"/>
      <c r="AW34" s="330"/>
      <c r="AX34" s="161"/>
      <c r="AY34" s="330"/>
      <c r="AZ34" s="330"/>
      <c r="BA34" s="330"/>
      <c r="BB34" s="161"/>
      <c r="BC34" s="330"/>
      <c r="BD34" s="330"/>
      <c r="BE34" s="330"/>
      <c r="BF34" s="330"/>
      <c r="BG34" s="330"/>
      <c r="BH34" s="330"/>
      <c r="BI34" s="330"/>
      <c r="BJ34" s="330"/>
      <c r="BK34" s="330"/>
      <c r="BL34" s="330"/>
      <c r="BM34" s="330"/>
      <c r="BN34" s="330"/>
      <c r="BO34" s="330"/>
      <c r="BP34" s="330"/>
      <c r="BQ34" s="330"/>
      <c r="BR34" s="330"/>
      <c r="BS34" s="330"/>
      <c r="BT34" s="330"/>
      <c r="BU34" s="330"/>
      <c r="BV34" s="330"/>
      <c r="BW34" s="330"/>
      <c r="BX34" s="330"/>
      <c r="BY34" s="330"/>
      <c r="BZ34" s="330"/>
      <c r="CA34" s="330"/>
      <c r="CB34" s="330"/>
      <c r="CC34" s="330"/>
      <c r="CD34" s="330"/>
      <c r="CE34" s="330"/>
      <c r="CF34" s="330"/>
      <c r="CG34" s="330"/>
      <c r="CH34" s="330"/>
      <c r="CI34" s="330"/>
      <c r="CJ34" s="330"/>
      <c r="CK34" s="330"/>
      <c r="CL34" s="330"/>
      <c r="CM34" s="330"/>
      <c r="CN34" s="330"/>
      <c r="CO34" s="330"/>
      <c r="CP34" s="330"/>
      <c r="CQ34" s="330"/>
      <c r="CR34" s="330"/>
      <c r="CS34" s="330"/>
      <c r="CT34" s="330"/>
      <c r="CU34" s="330"/>
      <c r="CV34" s="330"/>
      <c r="CW34" s="330"/>
      <c r="CX34" s="330"/>
      <c r="CY34" s="330"/>
      <c r="CZ34" s="330"/>
      <c r="DA34" s="330"/>
      <c r="DB34" s="330"/>
      <c r="DC34" s="330"/>
      <c r="DD34" s="330"/>
      <c r="DE34" s="330"/>
      <c r="DF34" s="330"/>
      <c r="DG34" s="330"/>
      <c r="DH34" s="330"/>
      <c r="DI34" s="330"/>
      <c r="DJ34" s="330"/>
      <c r="DK34" s="330"/>
      <c r="DL34" s="330"/>
      <c r="DM34" s="330"/>
      <c r="DN34" s="330"/>
      <c r="DO34" s="330"/>
      <c r="DP34" s="330"/>
      <c r="DQ34" s="330"/>
      <c r="DR34" s="330"/>
      <c r="DS34" s="330"/>
      <c r="DT34" s="321">
        <v>45337</v>
      </c>
      <c r="DU34" s="321" t="s">
        <v>181</v>
      </c>
      <c r="DV34" s="321">
        <v>45503</v>
      </c>
      <c r="DW34" s="321">
        <v>45608</v>
      </c>
      <c r="DX34" s="321">
        <v>45709</v>
      </c>
      <c r="DY34" s="321">
        <v>45796</v>
      </c>
      <c r="DZ34" s="302"/>
      <c r="EA34" s="321"/>
      <c r="EB34" s="321"/>
      <c r="EC34" s="321"/>
      <c r="ED34" s="25"/>
      <c r="EE34" s="25"/>
      <c r="EF34" s="339"/>
      <c r="EG34" s="338"/>
      <c r="EH34" s="338"/>
    </row>
    <row r="35" spans="1:138" s="1" customFormat="1" ht="31.15">
      <c r="A35" s="12"/>
      <c r="B35" s="352" t="s">
        <v>203</v>
      </c>
      <c r="C35" s="340" t="s">
        <v>204</v>
      </c>
      <c r="D35" s="342" t="s">
        <v>165</v>
      </c>
      <c r="E35" s="342" t="s">
        <v>205</v>
      </c>
      <c r="F35" s="342" t="s">
        <v>162</v>
      </c>
      <c r="G35" s="342" t="s">
        <v>146</v>
      </c>
      <c r="H35" s="32" t="s">
        <v>147</v>
      </c>
      <c r="I35" s="136">
        <v>45264</v>
      </c>
      <c r="J35" s="33"/>
      <c r="K35" s="137">
        <v>45274</v>
      </c>
      <c r="L35" s="276" t="s">
        <v>148</v>
      </c>
      <c r="M35" s="96">
        <f>K36+7</f>
        <v>45281</v>
      </c>
      <c r="N35" s="33">
        <f t="shared" ref="N35:N39" si="58">M35+7</f>
        <v>45288</v>
      </c>
      <c r="O35" s="33" t="s">
        <v>149</v>
      </c>
      <c r="P35" s="33">
        <f t="shared" ref="P35" si="59">N35+7</f>
        <v>45295</v>
      </c>
      <c r="Q35" s="33">
        <f t="shared" ref="Q35:R35" si="60">P35+7</f>
        <v>45302</v>
      </c>
      <c r="R35" s="33">
        <f t="shared" si="60"/>
        <v>45309</v>
      </c>
      <c r="S35" s="34" t="s">
        <v>149</v>
      </c>
      <c r="T35" s="34">
        <f t="shared" ref="T35" si="61">R35+7</f>
        <v>45316</v>
      </c>
      <c r="U35" s="34">
        <f t="shared" ref="U35:V35" si="62">T35+7</f>
        <v>45323</v>
      </c>
      <c r="V35" s="34">
        <f t="shared" si="62"/>
        <v>45330</v>
      </c>
      <c r="W35" s="34" t="s">
        <v>149</v>
      </c>
      <c r="X35" s="34">
        <f t="shared" ref="X35" si="63">V35+7</f>
        <v>45337</v>
      </c>
      <c r="Y35" s="34">
        <f t="shared" ref="Y35:Z35" si="64">X35+7</f>
        <v>45344</v>
      </c>
      <c r="Z35" s="34">
        <f t="shared" si="64"/>
        <v>45351</v>
      </c>
      <c r="AA35" s="34" t="s">
        <v>149</v>
      </c>
      <c r="AB35" s="34">
        <f t="shared" ref="AB35" si="65">Z35+7</f>
        <v>45358</v>
      </c>
      <c r="AC35" s="34">
        <f t="shared" ref="AC35:AD35" si="66">AB35+7</f>
        <v>45365</v>
      </c>
      <c r="AD35" s="34">
        <f t="shared" si="66"/>
        <v>45372</v>
      </c>
      <c r="AE35" s="34" t="s">
        <v>149</v>
      </c>
      <c r="AF35" s="34">
        <f t="shared" ref="AF35" si="67">AD35+7</f>
        <v>45379</v>
      </c>
      <c r="AG35" s="34">
        <f t="shared" ref="AG35:AH35" si="68">AF35+7</f>
        <v>45386</v>
      </c>
      <c r="AH35" s="34">
        <f t="shared" si="68"/>
        <v>45393</v>
      </c>
      <c r="AI35" s="34" t="s">
        <v>149</v>
      </c>
      <c r="AJ35" s="34">
        <f t="shared" ref="AJ35" si="69">AH35+7</f>
        <v>45400</v>
      </c>
      <c r="AK35" s="34">
        <f t="shared" ref="AK35:AL35" si="70">AJ35+7</f>
        <v>45407</v>
      </c>
      <c r="AL35" s="34">
        <f t="shared" si="70"/>
        <v>45414</v>
      </c>
      <c r="AM35" s="34" t="s">
        <v>149</v>
      </c>
      <c r="AN35" s="34">
        <f t="shared" ref="AN35" si="71">AL35+7</f>
        <v>45421</v>
      </c>
      <c r="AO35" s="34">
        <f t="shared" ref="AO35:AP35" si="72">AN35+7</f>
        <v>45428</v>
      </c>
      <c r="AP35" s="34">
        <f t="shared" si="72"/>
        <v>45435</v>
      </c>
      <c r="AQ35" s="34" t="s">
        <v>149</v>
      </c>
      <c r="AR35" s="34">
        <f t="shared" ref="AR35" si="73">AP35+7</f>
        <v>45442</v>
      </c>
      <c r="AS35" s="34">
        <f t="shared" ref="AS35:AT35" si="74">AR35+7</f>
        <v>45449</v>
      </c>
      <c r="AT35" s="34">
        <f t="shared" si="74"/>
        <v>45456</v>
      </c>
      <c r="AU35" s="34" t="s">
        <v>148</v>
      </c>
      <c r="AV35" s="34">
        <f t="shared" ref="AV35" si="75">AT35+7</f>
        <v>45463</v>
      </c>
      <c r="AW35" s="34">
        <f t="shared" ref="AW35" si="76">AV35+7</f>
        <v>45470</v>
      </c>
      <c r="AX35" s="34">
        <f t="shared" ref="AX35" si="77">AW35+7</f>
        <v>45477</v>
      </c>
      <c r="AY35" s="34">
        <f t="shared" ref="AY35" si="78">AX35+21</f>
        <v>45498</v>
      </c>
      <c r="AZ35" s="34">
        <f t="shared" ref="AZ35" si="79">AX35+7</f>
        <v>45484</v>
      </c>
      <c r="BA35" s="34">
        <f t="shared" ref="BA35" si="80">AZ35+7</f>
        <v>45491</v>
      </c>
      <c r="BB35" s="34">
        <f t="shared" ref="BB35" si="81">BA35+7</f>
        <v>45498</v>
      </c>
      <c r="BC35" s="34" t="s">
        <v>148</v>
      </c>
      <c r="BD35" s="34">
        <f>BB35+7</f>
        <v>45505</v>
      </c>
      <c r="BE35" s="34">
        <f>BD35+7</f>
        <v>45512</v>
      </c>
      <c r="BF35" s="34">
        <f>BE35+7</f>
        <v>45519</v>
      </c>
      <c r="BG35" s="34" t="s">
        <v>148</v>
      </c>
      <c r="BH35" s="34">
        <f>BF35+7</f>
        <v>45526</v>
      </c>
      <c r="BI35" s="34">
        <f>BH35+7</f>
        <v>45533</v>
      </c>
      <c r="BJ35" s="34">
        <f>BI35+7</f>
        <v>45540</v>
      </c>
      <c r="BK35" s="34" t="s">
        <v>148</v>
      </c>
      <c r="BL35" s="34">
        <f>BJ35+7</f>
        <v>45547</v>
      </c>
      <c r="BM35" s="34">
        <f>BL35+7</f>
        <v>45554</v>
      </c>
      <c r="BN35" s="34">
        <f>BM35+7</f>
        <v>45561</v>
      </c>
      <c r="BO35" s="34" t="s">
        <v>149</v>
      </c>
      <c r="BP35" s="34">
        <f>BN35+7</f>
        <v>45568</v>
      </c>
      <c r="BQ35" s="34">
        <f>BP35+7</f>
        <v>45575</v>
      </c>
      <c r="BR35" s="34">
        <f>BQ35+7</f>
        <v>45582</v>
      </c>
      <c r="BS35" s="34" t="s">
        <v>148</v>
      </c>
      <c r="BT35" s="34">
        <f>BR35+7</f>
        <v>45589</v>
      </c>
      <c r="BU35" s="34">
        <f>BT35+7</f>
        <v>45596</v>
      </c>
      <c r="BV35" s="34">
        <f>BU35+7</f>
        <v>45603</v>
      </c>
      <c r="BW35" s="34" t="s">
        <v>149</v>
      </c>
      <c r="BX35" s="34">
        <f>BV35+7</f>
        <v>45610</v>
      </c>
      <c r="BY35" s="34">
        <f>BX35+7</f>
        <v>45617</v>
      </c>
      <c r="BZ35" s="34">
        <f>BY35+7</f>
        <v>45624</v>
      </c>
      <c r="CA35" s="34" t="s">
        <v>149</v>
      </c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/>
      <c r="DR35" s="34"/>
      <c r="DS35" s="34"/>
      <c r="DT35" s="34">
        <v>45462</v>
      </c>
      <c r="DU35" s="34">
        <v>45474</v>
      </c>
      <c r="DV35" s="32"/>
      <c r="DW35" s="32"/>
      <c r="DX35" s="32"/>
      <c r="DY35" s="32"/>
      <c r="DZ35" s="32"/>
      <c r="EA35" s="32"/>
      <c r="EB35" s="32"/>
      <c r="EC35" s="32"/>
      <c r="ED35" s="123"/>
      <c r="EE35" s="123"/>
      <c r="EF35" s="344"/>
      <c r="EG35" s="345" t="s">
        <v>206</v>
      </c>
      <c r="EH35" s="345"/>
    </row>
    <row r="36" spans="1:138" s="1" customFormat="1" ht="31.15">
      <c r="A36" s="12"/>
      <c r="B36" s="353"/>
      <c r="C36" s="341"/>
      <c r="D36" s="343"/>
      <c r="E36" s="343"/>
      <c r="F36" s="343"/>
      <c r="G36" s="343"/>
      <c r="H36" s="327" t="s">
        <v>150</v>
      </c>
      <c r="I36" s="97">
        <v>45264</v>
      </c>
      <c r="J36" s="327"/>
      <c r="K36" s="98">
        <v>45274</v>
      </c>
      <c r="L36" s="277" t="s">
        <v>148</v>
      </c>
      <c r="M36" s="83">
        <v>45281</v>
      </c>
      <c r="N36" s="327">
        <v>45287</v>
      </c>
      <c r="O36" s="327" t="s">
        <v>148</v>
      </c>
      <c r="P36" s="327">
        <v>45295</v>
      </c>
      <c r="Q36" s="327">
        <v>45302</v>
      </c>
      <c r="R36" s="325">
        <v>45308</v>
      </c>
      <c r="S36" s="327" t="s">
        <v>148</v>
      </c>
      <c r="T36" s="327">
        <v>45315</v>
      </c>
      <c r="U36" s="331">
        <v>45322</v>
      </c>
      <c r="V36" s="327">
        <v>45329</v>
      </c>
      <c r="W36" s="327" t="s">
        <v>148</v>
      </c>
      <c r="X36" s="65">
        <v>45336</v>
      </c>
      <c r="Y36" s="325">
        <v>45343</v>
      </c>
      <c r="Z36" s="327">
        <v>45350</v>
      </c>
      <c r="AA36" s="327" t="s">
        <v>148</v>
      </c>
      <c r="AB36" s="327">
        <v>45357</v>
      </c>
      <c r="AC36" s="327">
        <v>45362</v>
      </c>
      <c r="AD36" s="325">
        <v>45369</v>
      </c>
      <c r="AE36" s="327" t="s">
        <v>148</v>
      </c>
      <c r="AF36" s="327">
        <v>45376</v>
      </c>
      <c r="AG36" s="327">
        <v>45383</v>
      </c>
      <c r="AH36" s="325">
        <v>45390</v>
      </c>
      <c r="AI36" s="327" t="s">
        <v>148</v>
      </c>
      <c r="AJ36" s="327">
        <v>45397</v>
      </c>
      <c r="AK36" s="327">
        <v>45404</v>
      </c>
      <c r="AL36" s="325">
        <v>45411</v>
      </c>
      <c r="AM36" s="327" t="s">
        <v>148</v>
      </c>
      <c r="AN36" s="327">
        <v>45420</v>
      </c>
      <c r="AO36" s="327">
        <v>45426</v>
      </c>
      <c r="AP36" s="325">
        <v>45432</v>
      </c>
      <c r="AQ36" s="327" t="s">
        <v>148</v>
      </c>
      <c r="AR36" s="327">
        <v>45439</v>
      </c>
      <c r="AS36" s="138">
        <v>45446</v>
      </c>
      <c r="AT36" s="325">
        <v>45456</v>
      </c>
      <c r="AU36" s="327" t="s">
        <v>148</v>
      </c>
      <c r="AV36" s="327"/>
      <c r="AW36" s="327"/>
      <c r="AX36" s="58"/>
      <c r="AY36" s="327"/>
      <c r="AZ36" s="327"/>
      <c r="BA36" s="327"/>
      <c r="BB36" s="58"/>
      <c r="BC36" s="327"/>
      <c r="BD36" s="327"/>
      <c r="BE36" s="327"/>
      <c r="BF36" s="327"/>
      <c r="BG36" s="327"/>
      <c r="BH36" s="327"/>
      <c r="BI36" s="327"/>
      <c r="BJ36" s="327"/>
      <c r="BK36" s="327"/>
      <c r="BL36" s="327"/>
      <c r="BM36" s="327"/>
      <c r="BN36" s="327"/>
      <c r="BO36" s="327"/>
      <c r="BP36" s="327"/>
      <c r="BQ36" s="327"/>
      <c r="BR36" s="327"/>
      <c r="BS36" s="327"/>
      <c r="BT36" s="327"/>
      <c r="BU36" s="327"/>
      <c r="BV36" s="327"/>
      <c r="BW36" s="327"/>
      <c r="BX36" s="327"/>
      <c r="BY36" s="327"/>
      <c r="BZ36" s="327"/>
      <c r="CA36" s="327"/>
      <c r="CB36" s="327"/>
      <c r="CC36" s="327"/>
      <c r="CD36" s="327"/>
      <c r="CE36" s="327"/>
      <c r="CF36" s="327"/>
      <c r="CG36" s="327"/>
      <c r="CH36" s="327"/>
      <c r="CI36" s="327"/>
      <c r="CJ36" s="327"/>
      <c r="CK36" s="327"/>
      <c r="CL36" s="327"/>
      <c r="CM36" s="327"/>
      <c r="CN36" s="327"/>
      <c r="CO36" s="327"/>
      <c r="CP36" s="327"/>
      <c r="CQ36" s="327"/>
      <c r="CR36" s="327"/>
      <c r="CS36" s="327"/>
      <c r="CT36" s="327"/>
      <c r="CU36" s="327"/>
      <c r="CV36" s="327"/>
      <c r="CW36" s="327"/>
      <c r="CX36" s="327"/>
      <c r="CY36" s="327"/>
      <c r="CZ36" s="327"/>
      <c r="DA36" s="327"/>
      <c r="DB36" s="327"/>
      <c r="DC36" s="327"/>
      <c r="DD36" s="327"/>
      <c r="DE36" s="327"/>
      <c r="DF36" s="327"/>
      <c r="DG36" s="327"/>
      <c r="DH36" s="327"/>
      <c r="DI36" s="327"/>
      <c r="DJ36" s="327"/>
      <c r="DK36" s="327"/>
      <c r="DL36" s="327"/>
      <c r="DM36" s="327"/>
      <c r="DN36" s="327"/>
      <c r="DO36" s="327"/>
      <c r="DP36" s="327"/>
      <c r="DQ36" s="327"/>
      <c r="DR36" s="327"/>
      <c r="DS36" s="327"/>
      <c r="DT36" s="327">
        <v>45462</v>
      </c>
      <c r="DU36" s="327" t="s">
        <v>181</v>
      </c>
      <c r="DV36" s="327">
        <v>45551</v>
      </c>
      <c r="DW36" s="327">
        <v>45558</v>
      </c>
      <c r="DX36" s="327" t="s">
        <v>148</v>
      </c>
      <c r="DY36" s="327"/>
      <c r="DZ36" s="327"/>
      <c r="EA36" s="327"/>
      <c r="EB36" s="327"/>
      <c r="EC36" s="327"/>
      <c r="ED36" s="124"/>
      <c r="EE36" s="124"/>
      <c r="EF36" s="344"/>
      <c r="EG36" s="345"/>
      <c r="EH36" s="345"/>
    </row>
    <row r="37" spans="1:138" ht="31.15">
      <c r="B37" s="352" t="s">
        <v>203</v>
      </c>
      <c r="C37" s="340" t="s">
        <v>207</v>
      </c>
      <c r="D37" s="342" t="s">
        <v>208</v>
      </c>
      <c r="E37" s="342" t="s">
        <v>209</v>
      </c>
      <c r="F37" s="342" t="s">
        <v>210</v>
      </c>
      <c r="G37" s="342" t="s">
        <v>146</v>
      </c>
      <c r="H37" s="32" t="s">
        <v>147</v>
      </c>
      <c r="I37" s="93">
        <v>45293</v>
      </c>
      <c r="J37" s="94"/>
      <c r="K37" s="95">
        <v>45295</v>
      </c>
      <c r="L37" s="276" t="s">
        <v>148</v>
      </c>
      <c r="M37" s="96">
        <f>K38+7</f>
        <v>45302</v>
      </c>
      <c r="N37" s="33">
        <f t="shared" si="58"/>
        <v>45309</v>
      </c>
      <c r="O37" s="33" t="s">
        <v>149</v>
      </c>
      <c r="P37" s="33">
        <f t="shared" ref="P37" si="82">N37+7</f>
        <v>45316</v>
      </c>
      <c r="Q37" s="33">
        <f t="shared" ref="Q37:R37" si="83">P37+7</f>
        <v>45323</v>
      </c>
      <c r="R37" s="33">
        <f t="shared" si="83"/>
        <v>45330</v>
      </c>
      <c r="S37" s="34" t="s">
        <v>149</v>
      </c>
      <c r="T37" s="34">
        <f t="shared" ref="T37" si="84">R37+7</f>
        <v>45337</v>
      </c>
      <c r="U37" s="34">
        <f t="shared" ref="U37:V37" si="85">T37+7</f>
        <v>45344</v>
      </c>
      <c r="V37" s="34">
        <f t="shared" si="85"/>
        <v>45351</v>
      </c>
      <c r="W37" s="34" t="s">
        <v>149</v>
      </c>
      <c r="X37" s="34">
        <f t="shared" ref="X37" si="86">V37+7</f>
        <v>45358</v>
      </c>
      <c r="Y37" s="34">
        <f t="shared" ref="Y37:Z37" si="87">X37+7</f>
        <v>45365</v>
      </c>
      <c r="Z37" s="34">
        <f t="shared" si="87"/>
        <v>45372</v>
      </c>
      <c r="AA37" s="34" t="s">
        <v>149</v>
      </c>
      <c r="AB37" s="34">
        <f t="shared" ref="AB37" si="88">Z37+7</f>
        <v>45379</v>
      </c>
      <c r="AC37" s="34">
        <f t="shared" ref="AC37:AD37" si="89">AB37+7</f>
        <v>45386</v>
      </c>
      <c r="AD37" s="34">
        <f t="shared" si="89"/>
        <v>45393</v>
      </c>
      <c r="AE37" s="34" t="s">
        <v>149</v>
      </c>
      <c r="AF37" s="34">
        <f t="shared" ref="AF37" si="90">AD37+7</f>
        <v>45400</v>
      </c>
      <c r="AG37" s="34">
        <f t="shared" ref="AG37:AH37" si="91">AF37+7</f>
        <v>45407</v>
      </c>
      <c r="AH37" s="34">
        <f t="shared" si="91"/>
        <v>45414</v>
      </c>
      <c r="AI37" s="34" t="s">
        <v>149</v>
      </c>
      <c r="AJ37" s="34">
        <f t="shared" ref="AJ37" si="92">AH37+7</f>
        <v>45421</v>
      </c>
      <c r="AK37" s="34">
        <f t="shared" ref="AK37:AL37" si="93">AJ37+7</f>
        <v>45428</v>
      </c>
      <c r="AL37" s="34">
        <f t="shared" si="93"/>
        <v>45435</v>
      </c>
      <c r="AM37" s="34" t="s">
        <v>149</v>
      </c>
      <c r="AN37" s="34">
        <f t="shared" ref="AN37" si="94">AL37+7</f>
        <v>45442</v>
      </c>
      <c r="AO37" s="34">
        <f t="shared" ref="AO37:AP37" si="95">AN37+7</f>
        <v>45449</v>
      </c>
      <c r="AP37" s="34">
        <f t="shared" si="95"/>
        <v>45456</v>
      </c>
      <c r="AQ37" s="34" t="s">
        <v>149</v>
      </c>
      <c r="AR37" s="34">
        <f t="shared" ref="AR37" si="96">AP37+7</f>
        <v>45463</v>
      </c>
      <c r="AS37" s="34">
        <f t="shared" ref="AS37:AT37" si="97">AR37+7</f>
        <v>45470</v>
      </c>
      <c r="AT37" s="34">
        <f t="shared" si="97"/>
        <v>45477</v>
      </c>
      <c r="AU37" s="34">
        <f t="shared" ref="AU37" si="98">AT37+21</f>
        <v>45498</v>
      </c>
      <c r="AV37" s="34">
        <f t="shared" ref="AV37" si="99">AT37+7</f>
        <v>45484</v>
      </c>
      <c r="AW37" s="34">
        <f t="shared" ref="AW37" si="100">AV37+7</f>
        <v>45491</v>
      </c>
      <c r="AX37" s="34">
        <f t="shared" ref="AX37" si="101">AW37+7</f>
        <v>45498</v>
      </c>
      <c r="AY37" s="34">
        <f t="shared" ref="AY37" si="102">AX37+21</f>
        <v>45519</v>
      </c>
      <c r="AZ37" s="34">
        <f t="shared" ref="AZ37" si="103">AX37+7</f>
        <v>45505</v>
      </c>
      <c r="BA37" s="34">
        <f t="shared" ref="BA37" si="104">AZ37+7</f>
        <v>45512</v>
      </c>
      <c r="BB37" s="34">
        <f t="shared" ref="BB37" si="105">BA37+7</f>
        <v>45519</v>
      </c>
      <c r="BC37" s="34" t="s">
        <v>148</v>
      </c>
      <c r="BD37" s="34">
        <f>BB37+7</f>
        <v>45526</v>
      </c>
      <c r="BE37" s="34">
        <f>BD37+7</f>
        <v>45533</v>
      </c>
      <c r="BF37" s="34">
        <f>BE37+7</f>
        <v>45540</v>
      </c>
      <c r="BG37" s="34" t="s">
        <v>148</v>
      </c>
      <c r="BH37" s="34">
        <f>BF37+7</f>
        <v>45547</v>
      </c>
      <c r="BI37" s="34">
        <f>BH37+7</f>
        <v>45554</v>
      </c>
      <c r="BJ37" s="34">
        <f>BI37+7</f>
        <v>45561</v>
      </c>
      <c r="BK37" s="34" t="s">
        <v>148</v>
      </c>
      <c r="BL37" s="34">
        <f>BJ37+7</f>
        <v>45568</v>
      </c>
      <c r="BM37" s="34">
        <f>BL37+7</f>
        <v>45575</v>
      </c>
      <c r="BN37" s="34">
        <f>BM37+7</f>
        <v>45582</v>
      </c>
      <c r="BO37" s="34" t="s">
        <v>149</v>
      </c>
      <c r="BP37" s="34">
        <f>BN37+7</f>
        <v>45589</v>
      </c>
      <c r="BQ37" s="34">
        <f>BP37+7</f>
        <v>45596</v>
      </c>
      <c r="BR37" s="34">
        <f>BQ37+7</f>
        <v>45603</v>
      </c>
      <c r="BS37" s="34" t="s">
        <v>148</v>
      </c>
      <c r="BT37" s="34">
        <f>BR37+7</f>
        <v>45610</v>
      </c>
      <c r="BU37" s="34">
        <f>BT37+7</f>
        <v>45617</v>
      </c>
      <c r="BV37" s="34">
        <f>BU37+7</f>
        <v>45624</v>
      </c>
      <c r="BW37" s="34" t="s">
        <v>149</v>
      </c>
      <c r="BX37" s="34">
        <f>BV37+7</f>
        <v>45631</v>
      </c>
      <c r="BY37" s="34">
        <f>BX37+7</f>
        <v>45638</v>
      </c>
      <c r="BZ37" s="34">
        <f>BY37+7</f>
        <v>45645</v>
      </c>
      <c r="CA37" s="34" t="s">
        <v>149</v>
      </c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>
        <v>45364</v>
      </c>
      <c r="DU37" s="34">
        <v>45372</v>
      </c>
      <c r="DV37" s="32">
        <f>EDATE(U38,3)</f>
        <v>45434</v>
      </c>
      <c r="DW37" s="32">
        <f t="shared" ref="DW37" si="106">EDATE(V38,3)</f>
        <v>45441</v>
      </c>
      <c r="DX37" s="32">
        <f>EDATE(DW37,3)</f>
        <v>45533</v>
      </c>
      <c r="DY37" s="32">
        <f t="shared" ref="DY37:EC37" si="107">EDATE(DX37,3)</f>
        <v>45625</v>
      </c>
      <c r="DZ37" s="32">
        <f t="shared" si="107"/>
        <v>45716</v>
      </c>
      <c r="EA37" s="32">
        <f t="shared" si="107"/>
        <v>45805</v>
      </c>
      <c r="EB37" s="32">
        <f t="shared" si="107"/>
        <v>45897</v>
      </c>
      <c r="EC37" s="32">
        <f t="shared" si="107"/>
        <v>45989</v>
      </c>
      <c r="ED37" s="123"/>
      <c r="EE37" s="123"/>
      <c r="EF37" s="344" t="s">
        <v>168</v>
      </c>
      <c r="EG37" s="345" t="s">
        <v>206</v>
      </c>
      <c r="EH37" s="345" t="s">
        <v>206</v>
      </c>
    </row>
    <row r="38" spans="1:138" ht="31.15">
      <c r="B38" s="353"/>
      <c r="C38" s="341"/>
      <c r="D38" s="343"/>
      <c r="E38" s="343"/>
      <c r="F38" s="343"/>
      <c r="G38" s="343"/>
      <c r="H38" s="327" t="s">
        <v>150</v>
      </c>
      <c r="I38" s="97">
        <v>45293</v>
      </c>
      <c r="J38" s="327"/>
      <c r="K38" s="98">
        <v>45295</v>
      </c>
      <c r="L38" s="277" t="s">
        <v>148</v>
      </c>
      <c r="M38" s="83">
        <v>45302</v>
      </c>
      <c r="N38" s="327">
        <v>45309</v>
      </c>
      <c r="O38" s="327" t="s">
        <v>148</v>
      </c>
      <c r="P38" s="327">
        <v>45316</v>
      </c>
      <c r="Q38" s="327">
        <v>45323</v>
      </c>
      <c r="R38" s="325">
        <v>45330</v>
      </c>
      <c r="S38" s="327" t="s">
        <v>148</v>
      </c>
      <c r="T38" s="327">
        <v>45337</v>
      </c>
      <c r="U38" s="191">
        <v>45344</v>
      </c>
      <c r="V38" s="327">
        <v>45351</v>
      </c>
      <c r="W38" s="327" t="s">
        <v>148</v>
      </c>
      <c r="X38" s="65">
        <v>45358</v>
      </c>
      <c r="Y38" s="58"/>
      <c r="Z38" s="327"/>
      <c r="AA38" s="327"/>
      <c r="AB38" s="327"/>
      <c r="AC38" s="327"/>
      <c r="AD38" s="58"/>
      <c r="AE38" s="327"/>
      <c r="AF38" s="327"/>
      <c r="AG38" s="327"/>
      <c r="AH38" s="58"/>
      <c r="AI38" s="327"/>
      <c r="AJ38" s="327"/>
      <c r="AK38" s="327"/>
      <c r="AL38" s="58"/>
      <c r="AM38" s="327"/>
      <c r="AN38" s="327"/>
      <c r="AO38" s="327"/>
      <c r="AP38" s="58"/>
      <c r="AQ38" s="327"/>
      <c r="AR38" s="327"/>
      <c r="AS38" s="327"/>
      <c r="AT38" s="58"/>
      <c r="AU38" s="327"/>
      <c r="AV38" s="327"/>
      <c r="AW38" s="327"/>
      <c r="AX38" s="58"/>
      <c r="AY38" s="327"/>
      <c r="AZ38" s="327"/>
      <c r="BA38" s="327"/>
      <c r="BB38" s="58"/>
      <c r="BC38" s="327"/>
      <c r="BD38" s="327"/>
      <c r="BE38" s="327"/>
      <c r="BF38" s="327"/>
      <c r="BG38" s="327"/>
      <c r="BH38" s="327"/>
      <c r="BI38" s="327"/>
      <c r="BJ38" s="327"/>
      <c r="BK38" s="327"/>
      <c r="BL38" s="327"/>
      <c r="BM38" s="327"/>
      <c r="BN38" s="327"/>
      <c r="BO38" s="327"/>
      <c r="BP38" s="327"/>
      <c r="BQ38" s="327"/>
      <c r="BR38" s="327"/>
      <c r="BS38" s="327"/>
      <c r="BT38" s="327"/>
      <c r="BU38" s="327"/>
      <c r="BV38" s="327"/>
      <c r="BW38" s="327"/>
      <c r="BX38" s="327"/>
      <c r="BY38" s="327"/>
      <c r="BZ38" s="327"/>
      <c r="CA38" s="327"/>
      <c r="CB38" s="327"/>
      <c r="CC38" s="327"/>
      <c r="CD38" s="327"/>
      <c r="CE38" s="327"/>
      <c r="CF38" s="327"/>
      <c r="CG38" s="327"/>
      <c r="CH38" s="327"/>
      <c r="CI38" s="327"/>
      <c r="CJ38" s="327"/>
      <c r="CK38" s="327"/>
      <c r="CL38" s="327"/>
      <c r="CM38" s="327"/>
      <c r="CN38" s="327"/>
      <c r="CO38" s="327"/>
      <c r="CP38" s="327"/>
      <c r="CQ38" s="327"/>
      <c r="CR38" s="327"/>
      <c r="CS38" s="327"/>
      <c r="CT38" s="327"/>
      <c r="CU38" s="327"/>
      <c r="CV38" s="327"/>
      <c r="CW38" s="327"/>
      <c r="CX38" s="327"/>
      <c r="CY38" s="327"/>
      <c r="CZ38" s="327"/>
      <c r="DA38" s="327"/>
      <c r="DB38" s="327"/>
      <c r="DC38" s="327"/>
      <c r="DD38" s="327"/>
      <c r="DE38" s="327"/>
      <c r="DF38" s="327"/>
      <c r="DG38" s="327"/>
      <c r="DH38" s="327"/>
      <c r="DI38" s="327"/>
      <c r="DJ38" s="327"/>
      <c r="DK38" s="327"/>
      <c r="DL38" s="327"/>
      <c r="DM38" s="327"/>
      <c r="DN38" s="327"/>
      <c r="DO38" s="327"/>
      <c r="DP38" s="327"/>
      <c r="DQ38" s="327"/>
      <c r="DR38" s="327"/>
      <c r="DS38" s="327"/>
      <c r="DT38" s="327">
        <v>45364</v>
      </c>
      <c r="DU38" s="325">
        <v>45385</v>
      </c>
      <c r="DV38" s="327" t="s">
        <v>148</v>
      </c>
      <c r="DW38" s="327" t="s">
        <v>148</v>
      </c>
      <c r="DX38" s="327" t="s">
        <v>148</v>
      </c>
      <c r="DY38" s="327" t="s">
        <v>148</v>
      </c>
      <c r="DZ38" s="327" t="s">
        <v>148</v>
      </c>
      <c r="EA38" s="327" t="s">
        <v>148</v>
      </c>
      <c r="EB38" s="327" t="s">
        <v>148</v>
      </c>
      <c r="EC38" s="327" t="s">
        <v>148</v>
      </c>
      <c r="ED38" s="124"/>
      <c r="EE38" s="124"/>
      <c r="EF38" s="344"/>
      <c r="EG38" s="345"/>
      <c r="EH38" s="345"/>
    </row>
    <row r="39" spans="1:138" ht="31.15">
      <c r="B39" s="352" t="s">
        <v>203</v>
      </c>
      <c r="C39" s="340" t="s">
        <v>211</v>
      </c>
      <c r="D39" s="342" t="s">
        <v>212</v>
      </c>
      <c r="E39" s="342" t="s">
        <v>213</v>
      </c>
      <c r="F39" s="342" t="s">
        <v>210</v>
      </c>
      <c r="G39" s="342" t="s">
        <v>146</v>
      </c>
      <c r="H39" s="32" t="s">
        <v>147</v>
      </c>
      <c r="I39" s="93">
        <v>45278</v>
      </c>
      <c r="J39" s="94"/>
      <c r="K39" s="95">
        <v>45288</v>
      </c>
      <c r="L39" s="276" t="s">
        <v>148</v>
      </c>
      <c r="M39" s="96">
        <f>K40+7</f>
        <v>45295</v>
      </c>
      <c r="N39" s="33">
        <f t="shared" si="58"/>
        <v>45302</v>
      </c>
      <c r="O39" s="33" t="s">
        <v>149</v>
      </c>
      <c r="P39" s="33">
        <f t="shared" ref="P39" si="108">N39+7</f>
        <v>45309</v>
      </c>
      <c r="Q39" s="33">
        <f t="shared" ref="Q39:R39" si="109">P39+7</f>
        <v>45316</v>
      </c>
      <c r="R39" s="33">
        <f t="shared" si="109"/>
        <v>45323</v>
      </c>
      <c r="S39" s="34" t="s">
        <v>149</v>
      </c>
      <c r="T39" s="34">
        <f t="shared" ref="T39" si="110">R39+7</f>
        <v>45330</v>
      </c>
      <c r="U39" s="34">
        <f t="shared" ref="U39:V39" si="111">T39+7</f>
        <v>45337</v>
      </c>
      <c r="V39" s="34">
        <f t="shared" si="111"/>
        <v>45344</v>
      </c>
      <c r="W39" s="34" t="s">
        <v>149</v>
      </c>
      <c r="X39" s="34">
        <f t="shared" ref="X39" si="112">V39+7</f>
        <v>45351</v>
      </c>
      <c r="Y39" s="34">
        <f t="shared" ref="Y39:Z39" si="113">X39+7</f>
        <v>45358</v>
      </c>
      <c r="Z39" s="34">
        <f t="shared" si="113"/>
        <v>45365</v>
      </c>
      <c r="AA39" s="34" t="s">
        <v>149</v>
      </c>
      <c r="AB39" s="34">
        <f t="shared" ref="AB39" si="114">Z39+7</f>
        <v>45372</v>
      </c>
      <c r="AC39" s="34">
        <f t="shared" ref="AC39:AD39" si="115">AB39+7</f>
        <v>45379</v>
      </c>
      <c r="AD39" s="34">
        <f t="shared" si="115"/>
        <v>45386</v>
      </c>
      <c r="AE39" s="34" t="s">
        <v>149</v>
      </c>
      <c r="AF39" s="34">
        <f t="shared" ref="AF39" si="116">AD39+7</f>
        <v>45393</v>
      </c>
      <c r="AG39" s="34">
        <f t="shared" ref="AG39:AH39" si="117">AF39+7</f>
        <v>45400</v>
      </c>
      <c r="AH39" s="34">
        <f t="shared" si="117"/>
        <v>45407</v>
      </c>
      <c r="AI39" s="34" t="s">
        <v>149</v>
      </c>
      <c r="AJ39" s="34">
        <f t="shared" ref="AJ39" si="118">AH39+7</f>
        <v>45414</v>
      </c>
      <c r="AK39" s="34">
        <f t="shared" ref="AK39:AL39" si="119">AJ39+7</f>
        <v>45421</v>
      </c>
      <c r="AL39" s="34">
        <f t="shared" si="119"/>
        <v>45428</v>
      </c>
      <c r="AM39" s="34" t="s">
        <v>149</v>
      </c>
      <c r="AN39" s="34">
        <f t="shared" ref="AN39" si="120">AL39+7</f>
        <v>45435</v>
      </c>
      <c r="AO39" s="34">
        <f t="shared" ref="AO39:AP39" si="121">AN39+7</f>
        <v>45442</v>
      </c>
      <c r="AP39" s="34">
        <f t="shared" si="121"/>
        <v>45449</v>
      </c>
      <c r="AQ39" s="34" t="s">
        <v>149</v>
      </c>
      <c r="AR39" s="34">
        <f t="shared" ref="AR39" si="122">AP39+7</f>
        <v>45456</v>
      </c>
      <c r="AS39" s="34">
        <f t="shared" ref="AS39:AT39" si="123">AR39+7</f>
        <v>45463</v>
      </c>
      <c r="AT39" s="34">
        <f t="shared" si="123"/>
        <v>45470</v>
      </c>
      <c r="AU39" s="34">
        <f t="shared" ref="AU39" si="124">AT39+21</f>
        <v>45491</v>
      </c>
      <c r="AV39" s="34">
        <f t="shared" ref="AV39" si="125">AT39+7</f>
        <v>45477</v>
      </c>
      <c r="AW39" s="34">
        <f t="shared" ref="AW39" si="126">AV39+7</f>
        <v>45484</v>
      </c>
      <c r="AX39" s="34">
        <f t="shared" ref="AX39" si="127">AW39+7</f>
        <v>45491</v>
      </c>
      <c r="AY39" s="34">
        <f t="shared" ref="AY39" si="128">AX39+21</f>
        <v>45512</v>
      </c>
      <c r="AZ39" s="34">
        <f t="shared" ref="AZ39" si="129">AX39+7</f>
        <v>45498</v>
      </c>
      <c r="BA39" s="34">
        <f t="shared" ref="BA39" si="130">AZ39+7</f>
        <v>45505</v>
      </c>
      <c r="BB39" s="34">
        <f t="shared" ref="BB39" si="131">BA39+7</f>
        <v>45512</v>
      </c>
      <c r="BC39" s="34" t="s">
        <v>148</v>
      </c>
      <c r="BD39" s="34">
        <f>BB39+7</f>
        <v>45519</v>
      </c>
      <c r="BE39" s="34">
        <f>BD39+7</f>
        <v>45526</v>
      </c>
      <c r="BF39" s="34">
        <f>BE39+7</f>
        <v>45533</v>
      </c>
      <c r="BG39" s="34" t="s">
        <v>148</v>
      </c>
      <c r="BH39" s="34">
        <f>BF39+7</f>
        <v>45540</v>
      </c>
      <c r="BI39" s="34">
        <f>BH39+7</f>
        <v>45547</v>
      </c>
      <c r="BJ39" s="34">
        <f>BI39+7</f>
        <v>45554</v>
      </c>
      <c r="BK39" s="34" t="s">
        <v>148</v>
      </c>
      <c r="BL39" s="34"/>
      <c r="BM39" s="34"/>
      <c r="BN39" s="34"/>
      <c r="BO39" s="34"/>
      <c r="BP39" s="34">
        <f>BN39+7</f>
        <v>7</v>
      </c>
      <c r="BQ39" s="34">
        <f>BP39+7</f>
        <v>14</v>
      </c>
      <c r="BR39" s="34">
        <f>BQ39+7</f>
        <v>21</v>
      </c>
      <c r="BS39" s="34" t="s">
        <v>148</v>
      </c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4"/>
      <c r="DS39" s="34"/>
      <c r="DT39" s="34" t="s">
        <v>148</v>
      </c>
      <c r="DU39" s="34">
        <v>45386</v>
      </c>
      <c r="DV39" s="32"/>
      <c r="DW39" s="32"/>
      <c r="DX39" s="32"/>
      <c r="DY39" s="32"/>
      <c r="DZ39" s="32"/>
      <c r="EA39" s="32"/>
      <c r="EB39" s="32"/>
      <c r="EC39" s="32"/>
      <c r="ED39" s="123"/>
      <c r="EE39" s="123"/>
      <c r="EF39" s="344" t="s">
        <v>168</v>
      </c>
      <c r="EG39" s="345" t="s">
        <v>206</v>
      </c>
      <c r="EH39" s="345" t="s">
        <v>206</v>
      </c>
    </row>
    <row r="40" spans="1:138" ht="31.15">
      <c r="B40" s="353"/>
      <c r="C40" s="341"/>
      <c r="D40" s="343"/>
      <c r="E40" s="343"/>
      <c r="F40" s="343"/>
      <c r="G40" s="343"/>
      <c r="H40" s="327" t="s">
        <v>150</v>
      </c>
      <c r="I40" s="97">
        <v>45278</v>
      </c>
      <c r="J40" s="327"/>
      <c r="K40" s="98">
        <v>45288</v>
      </c>
      <c r="L40" s="277" t="s">
        <v>148</v>
      </c>
      <c r="M40" s="83">
        <v>45295</v>
      </c>
      <c r="N40" s="327">
        <v>45302</v>
      </c>
      <c r="O40" s="327" t="s">
        <v>148</v>
      </c>
      <c r="P40" s="327">
        <v>45309</v>
      </c>
      <c r="Q40" s="327">
        <v>45316</v>
      </c>
      <c r="R40" s="325">
        <v>45323</v>
      </c>
      <c r="S40" s="327" t="s">
        <v>148</v>
      </c>
      <c r="T40" s="327">
        <v>45330</v>
      </c>
      <c r="U40" s="331" t="s">
        <v>214</v>
      </c>
      <c r="V40" s="327">
        <v>45344</v>
      </c>
      <c r="W40" s="327" t="s">
        <v>148</v>
      </c>
      <c r="X40" s="65">
        <v>45351</v>
      </c>
      <c r="Y40" s="92">
        <v>45358</v>
      </c>
      <c r="Z40" s="327"/>
      <c r="AA40" s="327"/>
      <c r="AB40" s="327"/>
      <c r="AC40" s="327"/>
      <c r="AD40" s="58"/>
      <c r="AE40" s="327"/>
      <c r="AF40" s="327"/>
      <c r="AG40" s="327"/>
      <c r="AH40" s="58"/>
      <c r="AI40" s="327"/>
      <c r="AJ40" s="327"/>
      <c r="AK40" s="327"/>
      <c r="AL40" s="58"/>
      <c r="AM40" s="327"/>
      <c r="AN40" s="327"/>
      <c r="AO40" s="327"/>
      <c r="AP40" s="58"/>
      <c r="AQ40" s="327"/>
      <c r="AR40" s="327"/>
      <c r="AS40" s="327"/>
      <c r="AT40" s="58"/>
      <c r="AU40" s="327"/>
      <c r="AV40" s="327"/>
      <c r="AW40" s="327"/>
      <c r="AX40" s="58"/>
      <c r="AY40" s="327"/>
      <c r="AZ40" s="327"/>
      <c r="BA40" s="327"/>
      <c r="BB40" s="58"/>
      <c r="BC40" s="327"/>
      <c r="BD40" s="327"/>
      <c r="BE40" s="327"/>
      <c r="BF40" s="327"/>
      <c r="BG40" s="327"/>
      <c r="BH40" s="327"/>
      <c r="BI40" s="327"/>
      <c r="BJ40" s="327"/>
      <c r="BK40" s="327"/>
      <c r="BL40" s="327"/>
      <c r="BM40" s="327"/>
      <c r="BN40" s="327"/>
      <c r="BO40" s="327"/>
      <c r="BP40" s="327"/>
      <c r="BQ40" s="327"/>
      <c r="BR40" s="327"/>
      <c r="BS40" s="327"/>
      <c r="BT40" s="327"/>
      <c r="BU40" s="327"/>
      <c r="BV40" s="327"/>
      <c r="BW40" s="327"/>
      <c r="BX40" s="327"/>
      <c r="BY40" s="327"/>
      <c r="BZ40" s="327"/>
      <c r="CA40" s="327"/>
      <c r="CB40" s="327"/>
      <c r="CC40" s="327"/>
      <c r="CD40" s="327"/>
      <c r="CE40" s="327"/>
      <c r="CF40" s="327"/>
      <c r="CG40" s="327"/>
      <c r="CH40" s="327"/>
      <c r="CI40" s="327"/>
      <c r="CJ40" s="327"/>
      <c r="CK40" s="327"/>
      <c r="CL40" s="327"/>
      <c r="CM40" s="327"/>
      <c r="CN40" s="327"/>
      <c r="CO40" s="327"/>
      <c r="CP40" s="327"/>
      <c r="CQ40" s="327"/>
      <c r="CR40" s="327"/>
      <c r="CS40" s="327"/>
      <c r="CT40" s="327"/>
      <c r="CU40" s="327"/>
      <c r="CV40" s="327"/>
      <c r="CW40" s="327"/>
      <c r="CX40" s="327"/>
      <c r="CY40" s="327"/>
      <c r="CZ40" s="327"/>
      <c r="DA40" s="327"/>
      <c r="DB40" s="327"/>
      <c r="DC40" s="327"/>
      <c r="DD40" s="327"/>
      <c r="DE40" s="327"/>
      <c r="DF40" s="327"/>
      <c r="DG40" s="327"/>
      <c r="DH40" s="327"/>
      <c r="DI40" s="327"/>
      <c r="DJ40" s="327"/>
      <c r="DK40" s="327"/>
      <c r="DL40" s="327"/>
      <c r="DM40" s="327"/>
      <c r="DN40" s="327"/>
      <c r="DO40" s="327"/>
      <c r="DP40" s="327"/>
      <c r="DQ40" s="327"/>
      <c r="DR40" s="327"/>
      <c r="DS40" s="327"/>
      <c r="DT40" s="327" t="s">
        <v>214</v>
      </c>
      <c r="DU40" s="327" t="s">
        <v>148</v>
      </c>
      <c r="DV40" s="327"/>
      <c r="DW40" s="327"/>
      <c r="DX40" s="327"/>
      <c r="DY40" s="327"/>
      <c r="DZ40" s="327"/>
      <c r="EA40" s="327"/>
      <c r="EB40" s="327"/>
      <c r="EC40" s="327"/>
      <c r="ED40" s="124"/>
      <c r="EE40" s="124"/>
      <c r="EF40" s="344"/>
      <c r="EG40" s="345"/>
      <c r="EH40" s="345"/>
    </row>
    <row r="41" spans="1:138" ht="31.15">
      <c r="B41" s="352" t="s">
        <v>215</v>
      </c>
      <c r="C41" s="340" t="s">
        <v>216</v>
      </c>
      <c r="D41" s="342" t="s">
        <v>165</v>
      </c>
      <c r="E41" s="342" t="s">
        <v>217</v>
      </c>
      <c r="F41" s="342" t="s">
        <v>154</v>
      </c>
      <c r="G41" s="342" t="s">
        <v>148</v>
      </c>
      <c r="H41" s="32" t="s">
        <v>147</v>
      </c>
      <c r="I41" s="31">
        <v>45315</v>
      </c>
      <c r="J41" s="33"/>
      <c r="K41" s="117">
        <v>45329</v>
      </c>
      <c r="L41" s="276" t="s">
        <v>148</v>
      </c>
      <c r="M41" s="33">
        <f>K41+7</f>
        <v>45336</v>
      </c>
      <c r="N41" s="33">
        <f>M41+7</f>
        <v>45343</v>
      </c>
      <c r="O41" s="33" t="s">
        <v>149</v>
      </c>
      <c r="P41" s="33">
        <f>N41+7</f>
        <v>45350</v>
      </c>
      <c r="Q41" s="33">
        <f>P41+7</f>
        <v>45357</v>
      </c>
      <c r="R41" s="33">
        <f>Q41+7</f>
        <v>45364</v>
      </c>
      <c r="S41" s="34" t="s">
        <v>149</v>
      </c>
      <c r="T41" s="34">
        <f>R41+7</f>
        <v>45371</v>
      </c>
      <c r="U41" s="34">
        <f>T41+7</f>
        <v>45378</v>
      </c>
      <c r="V41" s="34">
        <f>U41+7</f>
        <v>45385</v>
      </c>
      <c r="W41" s="34" t="s">
        <v>149</v>
      </c>
      <c r="X41" s="34">
        <f>V41+7</f>
        <v>45392</v>
      </c>
      <c r="Y41" s="34">
        <f>X41+7</f>
        <v>45399</v>
      </c>
      <c r="Z41" s="34">
        <f>Y41+7</f>
        <v>45406</v>
      </c>
      <c r="AA41" s="34" t="s">
        <v>149</v>
      </c>
      <c r="AB41" s="34">
        <f>Z41+7</f>
        <v>45413</v>
      </c>
      <c r="AC41" s="34">
        <f>AB41+7</f>
        <v>45420</v>
      </c>
      <c r="AD41" s="34">
        <f>AC41+7</f>
        <v>45427</v>
      </c>
      <c r="AE41" s="34" t="s">
        <v>149</v>
      </c>
      <c r="AF41" s="34">
        <f>AD41+7</f>
        <v>45434</v>
      </c>
      <c r="AG41" s="34">
        <f>AF41+7</f>
        <v>45441</v>
      </c>
      <c r="AH41" s="34">
        <f>AG41+7</f>
        <v>45448</v>
      </c>
      <c r="AI41" s="34" t="s">
        <v>149</v>
      </c>
      <c r="AJ41" s="34">
        <f>AH41+7</f>
        <v>45455</v>
      </c>
      <c r="AK41" s="34">
        <f>AJ41+7</f>
        <v>45462</v>
      </c>
      <c r="AL41" s="34">
        <f>AK41+7</f>
        <v>45469</v>
      </c>
      <c r="AM41" s="34" t="s">
        <v>149</v>
      </c>
      <c r="AN41" s="34">
        <f>AL41+7</f>
        <v>45476</v>
      </c>
      <c r="AO41" s="34">
        <f>AN41+7</f>
        <v>45483</v>
      </c>
      <c r="AP41" s="34">
        <f>AO41+7</f>
        <v>45490</v>
      </c>
      <c r="AQ41" s="34" t="s">
        <v>149</v>
      </c>
      <c r="AR41" s="34">
        <f>AP41+7</f>
        <v>45497</v>
      </c>
      <c r="AS41" s="34">
        <f>AR41+7</f>
        <v>45504</v>
      </c>
      <c r="AT41" s="34">
        <f>AS41+7</f>
        <v>45511</v>
      </c>
      <c r="AU41" s="42" t="s">
        <v>149</v>
      </c>
      <c r="AV41" s="34">
        <f>AT41+7</f>
        <v>45518</v>
      </c>
      <c r="AW41" s="34">
        <f>AV41+7</f>
        <v>45525</v>
      </c>
      <c r="AX41" s="34">
        <f>AW41+7</f>
        <v>45532</v>
      </c>
      <c r="AY41" s="42" t="s">
        <v>149</v>
      </c>
      <c r="AZ41" s="34">
        <f>AX41+7</f>
        <v>45539</v>
      </c>
      <c r="BA41" s="34">
        <f>AZ41+7</f>
        <v>45546</v>
      </c>
      <c r="BB41" s="34">
        <f>BA41+7</f>
        <v>45553</v>
      </c>
      <c r="BC41" s="42" t="s">
        <v>149</v>
      </c>
      <c r="BD41" s="34">
        <f>BB41+7</f>
        <v>45560</v>
      </c>
      <c r="BE41" s="34">
        <f>BD41+7</f>
        <v>45567</v>
      </c>
      <c r="BF41" s="34">
        <f>BE41+7</f>
        <v>45574</v>
      </c>
      <c r="BG41" s="34" t="s">
        <v>148</v>
      </c>
      <c r="BH41" s="34">
        <f>BF41+7</f>
        <v>45581</v>
      </c>
      <c r="BI41" s="34">
        <f>BH41+7</f>
        <v>45588</v>
      </c>
      <c r="BJ41" s="34">
        <f>BI41+7</f>
        <v>45595</v>
      </c>
      <c r="BK41" s="34" t="s">
        <v>148</v>
      </c>
      <c r="BL41" s="34">
        <f>BJ41+7</f>
        <v>45602</v>
      </c>
      <c r="BM41" s="34">
        <f>BL41+7</f>
        <v>45609</v>
      </c>
      <c r="BN41" s="34">
        <f>BM41+7</f>
        <v>45616</v>
      </c>
      <c r="BO41" s="34" t="s">
        <v>149</v>
      </c>
      <c r="BP41" s="34">
        <f>BN41+7</f>
        <v>45623</v>
      </c>
      <c r="BQ41" s="34">
        <f>BP41+7</f>
        <v>45630</v>
      </c>
      <c r="BR41" s="34">
        <f>BQ41+7</f>
        <v>45637</v>
      </c>
      <c r="BS41" s="34" t="s">
        <v>148</v>
      </c>
      <c r="BT41" s="34">
        <f>BR41+7</f>
        <v>45644</v>
      </c>
      <c r="BU41" s="34">
        <f>BT41+7</f>
        <v>45651</v>
      </c>
      <c r="BV41" s="34">
        <f>BU41+7</f>
        <v>45658</v>
      </c>
      <c r="BW41" s="34" t="s">
        <v>149</v>
      </c>
      <c r="BX41" s="34">
        <f>BV41+7</f>
        <v>45665</v>
      </c>
      <c r="BY41" s="34">
        <f>BX41+7</f>
        <v>45672</v>
      </c>
      <c r="BZ41" s="34">
        <f>BY41+7</f>
        <v>45679</v>
      </c>
      <c r="CA41" s="34" t="s">
        <v>149</v>
      </c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/>
      <c r="CT41" s="34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34"/>
      <c r="DJ41" s="34"/>
      <c r="DK41" s="34"/>
      <c r="DL41" s="34"/>
      <c r="DM41" s="34"/>
      <c r="DN41" s="34"/>
      <c r="DO41" s="34"/>
      <c r="DP41" s="34"/>
      <c r="DQ41" s="34"/>
      <c r="DR41" s="34"/>
      <c r="DS41" s="34"/>
      <c r="DT41" s="34">
        <v>45362</v>
      </c>
      <c r="DU41" s="34"/>
      <c r="DV41" s="32"/>
      <c r="DW41" s="32"/>
      <c r="DX41" s="32"/>
      <c r="DY41" s="32"/>
      <c r="DZ41" s="32"/>
      <c r="EA41" s="32"/>
      <c r="EB41" s="32"/>
      <c r="EC41" s="32"/>
      <c r="ED41" s="123"/>
      <c r="EE41" s="62"/>
      <c r="EF41" s="370"/>
      <c r="EG41" s="345"/>
      <c r="EH41" s="344"/>
    </row>
    <row r="42" spans="1:138" ht="31.15">
      <c r="B42" s="353"/>
      <c r="C42" s="341"/>
      <c r="D42" s="343"/>
      <c r="E42" s="343"/>
      <c r="F42" s="343"/>
      <c r="G42" s="343"/>
      <c r="H42" s="327" t="s">
        <v>150</v>
      </c>
      <c r="I42" s="56">
        <v>45315</v>
      </c>
      <c r="J42" s="327"/>
      <c r="K42" s="118">
        <v>45329</v>
      </c>
      <c r="L42" s="277" t="s">
        <v>148</v>
      </c>
      <c r="M42" s="31">
        <v>45336</v>
      </c>
      <c r="N42" s="31">
        <v>45343</v>
      </c>
      <c r="O42" s="327" t="s">
        <v>148</v>
      </c>
      <c r="P42" s="116">
        <v>45350</v>
      </c>
      <c r="Q42" s="31"/>
      <c r="R42" s="31"/>
      <c r="S42" s="327" t="s">
        <v>148</v>
      </c>
      <c r="T42" s="31"/>
      <c r="U42" s="31"/>
      <c r="V42" s="31"/>
      <c r="W42" s="327" t="s">
        <v>148</v>
      </c>
      <c r="X42" s="31"/>
      <c r="Y42" s="31"/>
      <c r="Z42" s="31"/>
      <c r="AA42" s="327" t="s">
        <v>148</v>
      </c>
      <c r="AB42" s="31"/>
      <c r="AC42" s="31"/>
      <c r="AD42" s="31"/>
      <c r="AE42" s="327" t="s">
        <v>148</v>
      </c>
      <c r="AF42" s="31"/>
      <c r="AG42" s="31"/>
      <c r="AH42" s="31"/>
      <c r="AI42" s="327" t="s">
        <v>148</v>
      </c>
      <c r="AJ42" s="31"/>
      <c r="AK42" s="31"/>
      <c r="AL42" s="31"/>
      <c r="AM42" s="327" t="s">
        <v>148</v>
      </c>
      <c r="AN42" s="31"/>
      <c r="AO42" s="31"/>
      <c r="AP42" s="31"/>
      <c r="AQ42" s="327" t="s">
        <v>148</v>
      </c>
      <c r="AR42" s="31"/>
      <c r="AS42" s="31"/>
      <c r="AT42" s="31"/>
      <c r="AU42" s="328" t="s">
        <v>148</v>
      </c>
      <c r="AV42" s="31"/>
      <c r="AW42" s="31"/>
      <c r="AX42" s="31"/>
      <c r="AY42" s="328" t="s">
        <v>148</v>
      </c>
      <c r="AZ42" s="31"/>
      <c r="BA42" s="31"/>
      <c r="BB42" s="31"/>
      <c r="BC42" s="328" t="s">
        <v>148</v>
      </c>
      <c r="BD42" s="105"/>
      <c r="BE42" s="105"/>
      <c r="BF42" s="105"/>
      <c r="BG42" s="105"/>
      <c r="BH42" s="105"/>
      <c r="BI42" s="105"/>
      <c r="BJ42" s="105"/>
      <c r="BK42" s="105"/>
      <c r="BL42" s="105"/>
      <c r="BM42" s="105"/>
      <c r="BN42" s="105"/>
      <c r="BO42" s="105"/>
      <c r="BP42" s="105"/>
      <c r="BQ42" s="105"/>
      <c r="BR42" s="105"/>
      <c r="BS42" s="105"/>
      <c r="BT42" s="105"/>
      <c r="BU42" s="105"/>
      <c r="BV42" s="105"/>
      <c r="BW42" s="105"/>
      <c r="BX42" s="105"/>
      <c r="BY42" s="105"/>
      <c r="BZ42" s="105"/>
      <c r="CA42" s="105"/>
      <c r="CB42" s="105"/>
      <c r="CC42" s="105"/>
      <c r="CD42" s="105"/>
      <c r="CE42" s="105"/>
      <c r="CF42" s="105"/>
      <c r="CG42" s="105"/>
      <c r="CH42" s="105"/>
      <c r="CI42" s="105"/>
      <c r="CJ42" s="105"/>
      <c r="CK42" s="105"/>
      <c r="CL42" s="105"/>
      <c r="CM42" s="105"/>
      <c r="CN42" s="105"/>
      <c r="CO42" s="105"/>
      <c r="CP42" s="105"/>
      <c r="CQ42" s="105"/>
      <c r="CR42" s="105"/>
      <c r="CS42" s="105"/>
      <c r="CT42" s="105"/>
      <c r="CU42" s="105"/>
      <c r="CV42" s="105"/>
      <c r="CW42" s="105"/>
      <c r="CX42" s="105"/>
      <c r="CY42" s="105"/>
      <c r="CZ42" s="105"/>
      <c r="DA42" s="105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5"/>
      <c r="DO42" s="105"/>
      <c r="DP42" s="105"/>
      <c r="DQ42" s="105"/>
      <c r="DR42" s="105"/>
      <c r="DS42" s="105"/>
      <c r="DT42" s="31">
        <v>45362</v>
      </c>
      <c r="DU42" s="31" t="s">
        <v>148</v>
      </c>
      <c r="DV42" s="327"/>
      <c r="DW42" s="327"/>
      <c r="DX42" s="327"/>
      <c r="DY42" s="327"/>
      <c r="DZ42" s="327"/>
      <c r="EA42" s="327"/>
      <c r="EB42" s="327"/>
      <c r="EC42" s="327"/>
      <c r="ED42" s="124"/>
      <c r="EE42" s="59"/>
      <c r="EF42" s="344"/>
      <c r="EG42" s="345"/>
      <c r="EH42" s="345"/>
    </row>
    <row r="43" spans="1:138" s="119" customFormat="1" ht="31.15">
      <c r="B43" s="352" t="s">
        <v>215</v>
      </c>
      <c r="C43" s="340" t="s">
        <v>218</v>
      </c>
      <c r="D43" s="342" t="s">
        <v>157</v>
      </c>
      <c r="E43" s="342" t="s">
        <v>219</v>
      </c>
      <c r="F43" s="342" t="s">
        <v>220</v>
      </c>
      <c r="G43" s="342" t="s">
        <v>146</v>
      </c>
      <c r="H43" s="32" t="s">
        <v>147</v>
      </c>
      <c r="I43" s="31">
        <v>45316</v>
      </c>
      <c r="J43" s="33"/>
      <c r="K43" s="31">
        <v>45330</v>
      </c>
      <c r="L43" s="276" t="s">
        <v>148</v>
      </c>
      <c r="M43" s="33">
        <f>K43+7</f>
        <v>45337</v>
      </c>
      <c r="N43" s="33">
        <f>M43+7</f>
        <v>45344</v>
      </c>
      <c r="O43" s="33" t="s">
        <v>149</v>
      </c>
      <c r="P43" s="33">
        <f>N43+7</f>
        <v>45351</v>
      </c>
      <c r="Q43" s="33">
        <f>P43+7</f>
        <v>45358</v>
      </c>
      <c r="R43" s="33">
        <f>Q43+7</f>
        <v>45365</v>
      </c>
      <c r="S43" s="34" t="s">
        <v>149</v>
      </c>
      <c r="T43" s="34">
        <f>R43+7</f>
        <v>45372</v>
      </c>
      <c r="U43" s="34">
        <f>T43+7</f>
        <v>45379</v>
      </c>
      <c r="V43" s="34">
        <f>U43+7</f>
        <v>45386</v>
      </c>
      <c r="W43" s="34" t="s">
        <v>149</v>
      </c>
      <c r="X43" s="34">
        <f>V43+7</f>
        <v>45393</v>
      </c>
      <c r="Y43" s="34">
        <f>X43+7</f>
        <v>45400</v>
      </c>
      <c r="Z43" s="34">
        <f>Y43+7</f>
        <v>45407</v>
      </c>
      <c r="AA43" s="34" t="s">
        <v>149</v>
      </c>
      <c r="AB43" s="34">
        <f>Z43+7</f>
        <v>45414</v>
      </c>
      <c r="AC43" s="34">
        <f>AB43+7</f>
        <v>45421</v>
      </c>
      <c r="AD43" s="34">
        <f>AC43+7</f>
        <v>45428</v>
      </c>
      <c r="AE43" s="34" t="s">
        <v>149</v>
      </c>
      <c r="AF43" s="34">
        <f>AD43+7</f>
        <v>45435</v>
      </c>
      <c r="AG43" s="34">
        <f>AF43+7</f>
        <v>45442</v>
      </c>
      <c r="AH43" s="34">
        <f>AG43+7</f>
        <v>45449</v>
      </c>
      <c r="AI43" s="34" t="s">
        <v>149</v>
      </c>
      <c r="AJ43" s="34">
        <f>AH43+7</f>
        <v>45456</v>
      </c>
      <c r="AK43" s="34">
        <f>AJ43+7</f>
        <v>45463</v>
      </c>
      <c r="AL43" s="34">
        <f>AK43+7</f>
        <v>45470</v>
      </c>
      <c r="AM43" s="34" t="s">
        <v>149</v>
      </c>
      <c r="AN43" s="34">
        <f>AL43+7</f>
        <v>45477</v>
      </c>
      <c r="AO43" s="34">
        <f>AN43+7</f>
        <v>45484</v>
      </c>
      <c r="AP43" s="34">
        <f>AO43+7</f>
        <v>45491</v>
      </c>
      <c r="AQ43" s="34" t="s">
        <v>149</v>
      </c>
      <c r="AR43" s="34">
        <f>AP43+7</f>
        <v>45498</v>
      </c>
      <c r="AS43" s="34">
        <f>AR43+7</f>
        <v>45505</v>
      </c>
      <c r="AT43" s="34">
        <f>AS43+7</f>
        <v>45512</v>
      </c>
      <c r="AU43" s="42" t="s">
        <v>149</v>
      </c>
      <c r="AV43" s="34">
        <f>AT43+7</f>
        <v>45519</v>
      </c>
      <c r="AW43" s="34">
        <f>AV43+7</f>
        <v>45526</v>
      </c>
      <c r="AX43" s="34">
        <f>AW43+7</f>
        <v>45533</v>
      </c>
      <c r="AY43" s="42" t="s">
        <v>149</v>
      </c>
      <c r="AZ43" s="34">
        <f>AX43+7</f>
        <v>45540</v>
      </c>
      <c r="BA43" s="34">
        <f>AZ43+7</f>
        <v>45547</v>
      </c>
      <c r="BB43" s="34">
        <f>BA43+7</f>
        <v>45554</v>
      </c>
      <c r="BC43" s="42" t="s">
        <v>149</v>
      </c>
      <c r="BD43" s="34">
        <f>BB43+7</f>
        <v>45561</v>
      </c>
      <c r="BE43" s="34">
        <f>BD43+7</f>
        <v>45568</v>
      </c>
      <c r="BF43" s="34">
        <f>BE43+7</f>
        <v>45575</v>
      </c>
      <c r="BG43" s="34" t="s">
        <v>148</v>
      </c>
      <c r="BH43" s="34">
        <f>BF43+7</f>
        <v>45582</v>
      </c>
      <c r="BI43" s="34">
        <f>BH43+7</f>
        <v>45589</v>
      </c>
      <c r="BJ43" s="34">
        <f>BI43+7</f>
        <v>45596</v>
      </c>
      <c r="BK43" s="34" t="s">
        <v>148</v>
      </c>
      <c r="BL43" s="34">
        <f>BJ43+7</f>
        <v>45603</v>
      </c>
      <c r="BM43" s="34">
        <f>BL43+7</f>
        <v>45610</v>
      </c>
      <c r="BN43" s="34">
        <f>BM43+7</f>
        <v>45617</v>
      </c>
      <c r="BO43" s="34" t="s">
        <v>149</v>
      </c>
      <c r="BP43" s="34">
        <f>BN43+7</f>
        <v>45624</v>
      </c>
      <c r="BQ43" s="34">
        <f>BP43+7</f>
        <v>45631</v>
      </c>
      <c r="BR43" s="34">
        <f>BQ43+7</f>
        <v>45638</v>
      </c>
      <c r="BS43" s="34" t="s">
        <v>148</v>
      </c>
      <c r="BT43" s="34">
        <f>BR43+7</f>
        <v>45645</v>
      </c>
      <c r="BU43" s="34">
        <f>BT43+7</f>
        <v>45652</v>
      </c>
      <c r="BV43" s="34">
        <f>BU43+7</f>
        <v>45659</v>
      </c>
      <c r="BW43" s="34" t="s">
        <v>149</v>
      </c>
      <c r="BX43" s="34">
        <f>BV43+7</f>
        <v>45666</v>
      </c>
      <c r="BY43" s="34">
        <f>BX43+7</f>
        <v>45673</v>
      </c>
      <c r="BZ43" s="34">
        <f>BY43+7</f>
        <v>45680</v>
      </c>
      <c r="CA43" s="34" t="s">
        <v>149</v>
      </c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  <c r="DS43" s="34"/>
      <c r="DT43" s="34">
        <f>CC44+7</f>
        <v>45701</v>
      </c>
      <c r="DU43" s="34">
        <f>CC44+28</f>
        <v>45722</v>
      </c>
      <c r="DV43" s="32"/>
      <c r="DX43" s="32"/>
      <c r="DY43" s="32"/>
      <c r="DZ43" s="32"/>
      <c r="EA43" s="32"/>
      <c r="EB43" s="32"/>
      <c r="EC43" s="32"/>
      <c r="ED43" s="123"/>
      <c r="EE43" s="62"/>
      <c r="EF43" s="370"/>
      <c r="EG43" s="345"/>
      <c r="EH43" s="344"/>
    </row>
    <row r="44" spans="1:138" s="119" customFormat="1" ht="31.15">
      <c r="B44" s="353"/>
      <c r="C44" s="341"/>
      <c r="D44" s="343"/>
      <c r="E44" s="343"/>
      <c r="F44" s="343"/>
      <c r="G44" s="343"/>
      <c r="H44" s="327" t="s">
        <v>150</v>
      </c>
      <c r="I44" s="56">
        <v>45316</v>
      </c>
      <c r="J44" s="327"/>
      <c r="K44" s="31">
        <v>45330</v>
      </c>
      <c r="L44" s="277" t="s">
        <v>148</v>
      </c>
      <c r="M44" s="109">
        <v>45337</v>
      </c>
      <c r="N44" s="31">
        <v>45344</v>
      </c>
      <c r="O44" s="327" t="s">
        <v>148</v>
      </c>
      <c r="P44" s="31">
        <v>45351</v>
      </c>
      <c r="Q44" s="31">
        <v>45358</v>
      </c>
      <c r="R44" s="31">
        <v>45365</v>
      </c>
      <c r="S44" s="327" t="s">
        <v>148</v>
      </c>
      <c r="T44" s="31">
        <v>45372</v>
      </c>
      <c r="U44" s="31">
        <v>45379</v>
      </c>
      <c r="V44" s="31">
        <v>45386</v>
      </c>
      <c r="W44" s="327" t="s">
        <v>148</v>
      </c>
      <c r="X44" s="31">
        <v>45393</v>
      </c>
      <c r="Y44" s="31">
        <v>45400</v>
      </c>
      <c r="Z44" s="31">
        <v>45407</v>
      </c>
      <c r="AA44" s="327" t="s">
        <v>148</v>
      </c>
      <c r="AB44" s="31">
        <v>45414</v>
      </c>
      <c r="AC44" s="31">
        <v>45421</v>
      </c>
      <c r="AD44" s="31">
        <v>45428</v>
      </c>
      <c r="AE44" s="327" t="s">
        <v>148</v>
      </c>
      <c r="AF44" s="31">
        <v>45435</v>
      </c>
      <c r="AG44" s="31">
        <v>45442</v>
      </c>
      <c r="AH44" s="31">
        <v>45449</v>
      </c>
      <c r="AI44" s="327" t="s">
        <v>148</v>
      </c>
      <c r="AJ44" s="31">
        <v>45456</v>
      </c>
      <c r="AK44" s="31">
        <v>45463</v>
      </c>
      <c r="AL44" s="31">
        <v>45470</v>
      </c>
      <c r="AM44" s="327" t="s">
        <v>148</v>
      </c>
      <c r="AN44" s="31">
        <v>45476</v>
      </c>
      <c r="AO44" s="31">
        <v>45484</v>
      </c>
      <c r="AP44" s="31" t="s">
        <v>181</v>
      </c>
      <c r="AQ44" s="327" t="s">
        <v>148</v>
      </c>
      <c r="AR44" s="31">
        <v>45498</v>
      </c>
      <c r="AS44" s="31">
        <v>45505</v>
      </c>
      <c r="AT44" s="31">
        <v>45512</v>
      </c>
      <c r="AU44" s="328" t="s">
        <v>148</v>
      </c>
      <c r="AV44" s="31">
        <v>45519</v>
      </c>
      <c r="AW44" s="31">
        <v>45526</v>
      </c>
      <c r="AX44" s="31">
        <v>45533</v>
      </c>
      <c r="AY44" s="328" t="s">
        <v>148</v>
      </c>
      <c r="AZ44" s="31">
        <v>45540</v>
      </c>
      <c r="BA44" s="31">
        <v>45547</v>
      </c>
      <c r="BB44" s="31">
        <v>45554</v>
      </c>
      <c r="BC44" s="328" t="s">
        <v>148</v>
      </c>
      <c r="BD44" s="105">
        <v>45559</v>
      </c>
      <c r="BE44" s="105">
        <v>45568</v>
      </c>
      <c r="BF44" s="105">
        <v>45576</v>
      </c>
      <c r="BG44" s="105" t="s">
        <v>148</v>
      </c>
      <c r="BH44" s="105">
        <v>45582</v>
      </c>
      <c r="BI44" s="105">
        <v>45589</v>
      </c>
      <c r="BJ44" s="105">
        <v>45596</v>
      </c>
      <c r="BK44" s="105" t="s">
        <v>148</v>
      </c>
      <c r="BL44" s="105">
        <v>45603</v>
      </c>
      <c r="BM44" s="105">
        <v>45610</v>
      </c>
      <c r="BN44" s="105">
        <v>45617</v>
      </c>
      <c r="BO44" s="105" t="s">
        <v>148</v>
      </c>
      <c r="BP44" s="105">
        <v>45623</v>
      </c>
      <c r="BQ44" s="105">
        <v>45631</v>
      </c>
      <c r="BR44" s="105">
        <v>45638</v>
      </c>
      <c r="BS44" s="105" t="s">
        <v>149</v>
      </c>
      <c r="BT44" s="105">
        <v>45645</v>
      </c>
      <c r="BU44" s="105">
        <v>45652</v>
      </c>
      <c r="BV44" s="105">
        <v>45659</v>
      </c>
      <c r="BW44" s="105">
        <v>45659</v>
      </c>
      <c r="BX44" s="105">
        <v>45659</v>
      </c>
      <c r="BY44" s="105">
        <v>45673</v>
      </c>
      <c r="BZ44" s="105">
        <v>45680</v>
      </c>
      <c r="CA44" s="105" t="s">
        <v>148</v>
      </c>
      <c r="CB44" s="105">
        <v>45687</v>
      </c>
      <c r="CC44" s="105">
        <v>45694</v>
      </c>
      <c r="CD44" s="105">
        <v>45701</v>
      </c>
      <c r="CE44" s="105"/>
      <c r="CF44" s="105"/>
      <c r="CG44" s="105"/>
      <c r="CH44" s="105"/>
      <c r="CI44" s="105"/>
      <c r="CJ44" s="105"/>
      <c r="CK44" s="105"/>
      <c r="CL44" s="105"/>
      <c r="CM44" s="105"/>
      <c r="CN44" s="105"/>
      <c r="CO44" s="105"/>
      <c r="CP44" s="105"/>
      <c r="CQ44" s="105"/>
      <c r="CR44" s="105"/>
      <c r="CS44" s="105"/>
      <c r="CT44" s="105"/>
      <c r="CU44" s="105"/>
      <c r="CV44" s="105"/>
      <c r="CW44" s="105"/>
      <c r="CX44" s="105"/>
      <c r="CY44" s="105"/>
      <c r="CZ44" s="105"/>
      <c r="DA44" s="105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5"/>
      <c r="DO44" s="105"/>
      <c r="DP44" s="105"/>
      <c r="DQ44" s="105"/>
      <c r="DR44" s="105"/>
      <c r="DS44" s="105"/>
      <c r="DT44" s="31">
        <v>45708</v>
      </c>
      <c r="DU44" s="31">
        <v>45719</v>
      </c>
      <c r="DV44" s="327">
        <v>45794</v>
      </c>
      <c r="DW44" s="32"/>
      <c r="DX44" s="327"/>
      <c r="DY44" s="327"/>
      <c r="DZ44" s="327"/>
      <c r="EA44" s="327"/>
      <c r="EB44" s="327"/>
      <c r="EC44" s="327"/>
      <c r="ED44" s="124"/>
      <c r="EE44" s="59"/>
      <c r="EF44" s="344"/>
      <c r="EG44" s="345"/>
      <c r="EH44" s="345"/>
    </row>
    <row r="45" spans="1:138" s="119" customFormat="1" ht="37.5" customHeight="1">
      <c r="A45" s="352"/>
      <c r="B45" s="340" t="s">
        <v>221</v>
      </c>
      <c r="C45" s="342" t="s">
        <v>222</v>
      </c>
      <c r="D45" s="342" t="s">
        <v>165</v>
      </c>
      <c r="E45" s="368" t="s">
        <v>223</v>
      </c>
      <c r="F45" s="342" t="s">
        <v>210</v>
      </c>
      <c r="G45" s="342" t="s">
        <v>146</v>
      </c>
      <c r="H45" s="32" t="s">
        <v>147</v>
      </c>
      <c r="I45" s="99">
        <v>45324</v>
      </c>
      <c r="J45" s="100"/>
      <c r="K45" s="106">
        <v>45337</v>
      </c>
      <c r="L45" s="276" t="s">
        <v>148</v>
      </c>
      <c r="M45" s="33">
        <f>K45+7</f>
        <v>45344</v>
      </c>
      <c r="N45" s="33">
        <f>M45+7</f>
        <v>45351</v>
      </c>
      <c r="O45" s="33" t="s">
        <v>149</v>
      </c>
      <c r="P45" s="33">
        <f>N45+14</f>
        <v>45365</v>
      </c>
      <c r="Q45" s="33">
        <f>P45+7</f>
        <v>45372</v>
      </c>
      <c r="R45" s="33">
        <f>Q45+7</f>
        <v>45379</v>
      </c>
      <c r="S45" s="34" t="s">
        <v>149</v>
      </c>
      <c r="T45" s="34">
        <f>R45+7</f>
        <v>45386</v>
      </c>
      <c r="U45" s="34">
        <f>T45+7</f>
        <v>45393</v>
      </c>
      <c r="V45" s="34">
        <f>U45+7</f>
        <v>45400</v>
      </c>
      <c r="W45" s="34" t="s">
        <v>149</v>
      </c>
      <c r="X45" s="34">
        <f>V45+7</f>
        <v>45407</v>
      </c>
      <c r="Y45" s="34">
        <f>X45+7</f>
        <v>45414</v>
      </c>
      <c r="Z45" s="34">
        <f>Y45+7</f>
        <v>45421</v>
      </c>
      <c r="AA45" s="34" t="s">
        <v>149</v>
      </c>
      <c r="AB45" s="34">
        <f>Z45+7</f>
        <v>45428</v>
      </c>
      <c r="AC45" s="34">
        <f>AB45+7</f>
        <v>45435</v>
      </c>
      <c r="AD45" s="34">
        <f>AC45+7</f>
        <v>45442</v>
      </c>
      <c r="AE45" s="34" t="s">
        <v>149</v>
      </c>
      <c r="AF45" s="34">
        <f>AD45+7</f>
        <v>45449</v>
      </c>
      <c r="AG45" s="34">
        <f>AF45+7</f>
        <v>45456</v>
      </c>
      <c r="AH45" s="34">
        <f>AG45+7</f>
        <v>45463</v>
      </c>
      <c r="AI45" s="34" t="s">
        <v>149</v>
      </c>
      <c r="AJ45" s="34">
        <f>AH45+7</f>
        <v>45470</v>
      </c>
      <c r="AK45" s="34">
        <f>AJ45+7</f>
        <v>45477</v>
      </c>
      <c r="AL45" s="34">
        <f>AK45+7</f>
        <v>45484</v>
      </c>
      <c r="AM45" s="34" t="s">
        <v>149</v>
      </c>
      <c r="AN45" s="34">
        <f>AL45+7</f>
        <v>45491</v>
      </c>
      <c r="AO45" s="34">
        <f>AN45+7</f>
        <v>45498</v>
      </c>
      <c r="AP45" s="34">
        <f>AO45+7</f>
        <v>45505</v>
      </c>
      <c r="AQ45" s="34" t="s">
        <v>149</v>
      </c>
      <c r="AR45" s="34">
        <f>AP45+7</f>
        <v>45512</v>
      </c>
      <c r="AS45" s="34">
        <f>AR45+7</f>
        <v>45519</v>
      </c>
      <c r="AT45" s="34">
        <f>AS45+7</f>
        <v>45526</v>
      </c>
      <c r="AU45" s="34" t="s">
        <v>149</v>
      </c>
      <c r="AV45" s="34">
        <f>AT45+7</f>
        <v>45533</v>
      </c>
      <c r="AW45" s="34">
        <f>AV45+7</f>
        <v>45540</v>
      </c>
      <c r="AX45" s="34">
        <f>AW45+7</f>
        <v>45547</v>
      </c>
      <c r="AY45" s="34" t="s">
        <v>149</v>
      </c>
      <c r="AZ45" s="34">
        <f>AX45+7</f>
        <v>45554</v>
      </c>
      <c r="BA45" s="34">
        <f>AZ45+7</f>
        <v>45561</v>
      </c>
      <c r="BB45" s="34">
        <f>BA45+7</f>
        <v>45568</v>
      </c>
      <c r="BC45" s="34" t="s">
        <v>149</v>
      </c>
      <c r="BD45" s="34">
        <f>BB45+7</f>
        <v>45575</v>
      </c>
      <c r="BE45" s="34">
        <f>BD45+7</f>
        <v>45582</v>
      </c>
      <c r="BF45" s="34">
        <f>BE45+7</f>
        <v>45589</v>
      </c>
      <c r="BG45" s="34" t="s">
        <v>148</v>
      </c>
      <c r="BH45" s="34">
        <f>BF45+7</f>
        <v>45596</v>
      </c>
      <c r="BI45" s="34">
        <f>BH45+7</f>
        <v>45603</v>
      </c>
      <c r="BJ45" s="34">
        <f>BI45+7</f>
        <v>45610</v>
      </c>
      <c r="BK45" s="34" t="s">
        <v>148</v>
      </c>
      <c r="BL45" s="34">
        <f>BJ45+7</f>
        <v>45617</v>
      </c>
      <c r="BM45" s="34">
        <f>BL45+7</f>
        <v>45624</v>
      </c>
      <c r="BN45" s="34">
        <f>BM45+7</f>
        <v>45631</v>
      </c>
      <c r="BO45" s="34" t="s">
        <v>149</v>
      </c>
      <c r="BP45" s="34">
        <f>BN45+7</f>
        <v>45638</v>
      </c>
      <c r="BQ45" s="34">
        <f>BP45+7</f>
        <v>45645</v>
      </c>
      <c r="BR45" s="34">
        <f>BQ45+7</f>
        <v>45652</v>
      </c>
      <c r="BS45" s="34" t="s">
        <v>148</v>
      </c>
      <c r="BT45" s="34">
        <f>BR45+7</f>
        <v>45659</v>
      </c>
      <c r="BU45" s="34">
        <f>BT45+7</f>
        <v>45666</v>
      </c>
      <c r="BV45" s="34">
        <f>BU45+7</f>
        <v>45673</v>
      </c>
      <c r="BW45" s="34" t="s">
        <v>149</v>
      </c>
      <c r="BX45" s="34">
        <f>BV45+7</f>
        <v>45680</v>
      </c>
      <c r="BY45" s="34">
        <f>BX45+7</f>
        <v>45687</v>
      </c>
      <c r="BZ45" s="34">
        <f>BY45+7</f>
        <v>45694</v>
      </c>
      <c r="CA45" s="34" t="s">
        <v>149</v>
      </c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34"/>
      <c r="DS45" s="34"/>
      <c r="DT45" s="34">
        <v>45365</v>
      </c>
      <c r="DU45" s="32">
        <v>45372</v>
      </c>
      <c r="DV45" s="32">
        <f>EDATE(DU45,3)</f>
        <v>45464</v>
      </c>
      <c r="DW45" s="32">
        <f>EDATE(DV45,3)</f>
        <v>45556</v>
      </c>
      <c r="DX45" s="32">
        <f t="shared" ref="DX45:EC45" si="132">EDATE(DW45,3)</f>
        <v>45647</v>
      </c>
      <c r="DY45" s="32">
        <f t="shared" si="132"/>
        <v>45737</v>
      </c>
      <c r="DZ45" s="32">
        <f t="shared" si="132"/>
        <v>45829</v>
      </c>
      <c r="EA45" s="32">
        <f t="shared" si="132"/>
        <v>45921</v>
      </c>
      <c r="EB45" s="32">
        <f t="shared" si="132"/>
        <v>46012</v>
      </c>
      <c r="EC45" s="32">
        <f t="shared" si="132"/>
        <v>46102</v>
      </c>
      <c r="ED45" s="326"/>
      <c r="EE45" s="370"/>
      <c r="EF45" s="345"/>
      <c r="EG45" s="344"/>
      <c r="EH45" s="245"/>
    </row>
    <row r="46" spans="1:138" s="119" customFormat="1" ht="37.5" customHeight="1">
      <c r="A46" s="353"/>
      <c r="B46" s="341"/>
      <c r="C46" s="343"/>
      <c r="D46" s="343"/>
      <c r="E46" s="369"/>
      <c r="F46" s="343"/>
      <c r="G46" s="343"/>
      <c r="H46" s="327" t="s">
        <v>150</v>
      </c>
      <c r="I46" s="101">
        <v>45324</v>
      </c>
      <c r="J46" s="103"/>
      <c r="K46" s="103">
        <v>45337</v>
      </c>
      <c r="L46" s="277" t="s">
        <v>148</v>
      </c>
      <c r="M46" s="253">
        <v>45344</v>
      </c>
      <c r="N46" s="31">
        <v>45351</v>
      </c>
      <c r="O46" s="327" t="s">
        <v>148</v>
      </c>
      <c r="P46" s="103">
        <v>45364</v>
      </c>
      <c r="Q46" s="100"/>
      <c r="S46" s="327" t="s">
        <v>148</v>
      </c>
      <c r="T46" s="103"/>
      <c r="U46" s="100"/>
      <c r="W46" s="327" t="s">
        <v>148</v>
      </c>
      <c r="X46" s="103"/>
      <c r="Y46" s="100"/>
      <c r="Z46" s="327" t="s">
        <v>148</v>
      </c>
      <c r="AA46" s="104"/>
      <c r="AB46" s="103"/>
      <c r="AC46" s="100"/>
      <c r="AD46" s="327" t="s">
        <v>148</v>
      </c>
      <c r="AE46" s="104"/>
      <c r="AF46" s="103"/>
      <c r="AG46" s="100"/>
      <c r="AH46" s="327" t="s">
        <v>148</v>
      </c>
      <c r="AI46" s="104"/>
      <c r="AJ46" s="103"/>
      <c r="AK46" s="100"/>
      <c r="AL46" s="327" t="s">
        <v>148</v>
      </c>
      <c r="AM46" s="104"/>
      <c r="AN46" s="103"/>
      <c r="AO46" s="100"/>
      <c r="AP46" s="327" t="s">
        <v>148</v>
      </c>
      <c r="AQ46" s="31"/>
      <c r="AR46" s="104"/>
      <c r="AS46" s="100"/>
      <c r="AT46" s="328" t="s">
        <v>148</v>
      </c>
      <c r="AU46" s="31"/>
      <c r="AV46" s="104"/>
      <c r="AW46" s="100"/>
      <c r="AX46" s="328" t="s">
        <v>148</v>
      </c>
      <c r="AY46" s="31"/>
      <c r="AZ46" s="104"/>
      <c r="BA46" s="100"/>
      <c r="BB46" s="328" t="s">
        <v>148</v>
      </c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>
        <v>45365</v>
      </c>
      <c r="DU46" s="327" t="s">
        <v>181</v>
      </c>
      <c r="DV46" s="327">
        <v>45434</v>
      </c>
      <c r="DW46" s="327">
        <v>45530</v>
      </c>
      <c r="DX46" s="327">
        <v>45616</v>
      </c>
      <c r="DY46" s="327">
        <v>45677</v>
      </c>
      <c r="DZ46" s="327"/>
      <c r="EA46" s="327"/>
      <c r="EB46" s="327"/>
      <c r="EC46" s="59"/>
      <c r="ED46" s="59"/>
      <c r="EE46" s="344"/>
      <c r="EF46" s="345"/>
      <c r="EG46" s="345"/>
      <c r="EH46" s="248"/>
    </row>
    <row r="47" spans="1:138" s="119" customFormat="1" ht="31.15">
      <c r="A47" s="352"/>
      <c r="B47" s="340" t="s">
        <v>215</v>
      </c>
      <c r="C47" s="342" t="s">
        <v>224</v>
      </c>
      <c r="D47" s="342" t="s">
        <v>165</v>
      </c>
      <c r="E47" s="342" t="s">
        <v>225</v>
      </c>
      <c r="F47" s="342" t="s">
        <v>210</v>
      </c>
      <c r="G47" s="342" t="s">
        <v>148</v>
      </c>
      <c r="H47" s="32" t="s">
        <v>147</v>
      </c>
      <c r="I47" s="99">
        <v>45330</v>
      </c>
      <c r="J47" s="100"/>
      <c r="K47" s="106">
        <v>45343</v>
      </c>
      <c r="L47" s="276" t="s">
        <v>148</v>
      </c>
      <c r="M47" s="33">
        <f>K47+7</f>
        <v>45350</v>
      </c>
      <c r="N47" s="33">
        <f>M47+7</f>
        <v>45357</v>
      </c>
      <c r="O47" s="33" t="s">
        <v>149</v>
      </c>
      <c r="P47" s="33">
        <f>N47+7</f>
        <v>45364</v>
      </c>
      <c r="Q47" s="33">
        <f>P47+7</f>
        <v>45371</v>
      </c>
      <c r="R47" s="33">
        <f>Q47+7</f>
        <v>45378</v>
      </c>
      <c r="S47" s="34" t="s">
        <v>149</v>
      </c>
      <c r="T47" s="34">
        <f>R47+7</f>
        <v>45385</v>
      </c>
      <c r="U47" s="34">
        <f>T47+7</f>
        <v>45392</v>
      </c>
      <c r="V47" s="34">
        <f>U47+7</f>
        <v>45399</v>
      </c>
      <c r="W47" s="34" t="s">
        <v>149</v>
      </c>
      <c r="X47" s="34">
        <f>V47+7</f>
        <v>45406</v>
      </c>
      <c r="Y47" s="34">
        <f>X47+7</f>
        <v>45413</v>
      </c>
      <c r="Z47" s="34">
        <f>Y47+7</f>
        <v>45420</v>
      </c>
      <c r="AA47" s="34" t="s">
        <v>149</v>
      </c>
      <c r="AB47" s="34">
        <f>Z47+7</f>
        <v>45427</v>
      </c>
      <c r="AC47" s="34">
        <f>AB47+7</f>
        <v>45434</v>
      </c>
      <c r="AD47" s="34">
        <f>AC47+7</f>
        <v>45441</v>
      </c>
      <c r="AE47" s="34" t="s">
        <v>149</v>
      </c>
      <c r="AF47" s="34">
        <f>AD47+7</f>
        <v>45448</v>
      </c>
      <c r="AG47" s="34">
        <f>AF47+7</f>
        <v>45455</v>
      </c>
      <c r="AH47" s="34">
        <f>AG47+7</f>
        <v>45462</v>
      </c>
      <c r="AI47" s="34" t="s">
        <v>149</v>
      </c>
      <c r="AJ47" s="34">
        <f>AH47+7</f>
        <v>45469</v>
      </c>
      <c r="AK47" s="34">
        <f>AJ47+7</f>
        <v>45476</v>
      </c>
      <c r="AL47" s="34">
        <f>AK47+7</f>
        <v>45483</v>
      </c>
      <c r="AM47" s="34" t="s">
        <v>149</v>
      </c>
      <c r="AN47" s="34">
        <f>AL47+7</f>
        <v>45490</v>
      </c>
      <c r="AO47" s="34">
        <f>AN47+7</f>
        <v>45497</v>
      </c>
      <c r="AP47" s="34">
        <f>AO47+7</f>
        <v>45504</v>
      </c>
      <c r="AQ47" s="34" t="s">
        <v>149</v>
      </c>
      <c r="AR47" s="34">
        <f>AP47+7</f>
        <v>45511</v>
      </c>
      <c r="AS47" s="34">
        <f>AR47+7</f>
        <v>45518</v>
      </c>
      <c r="AT47" s="34">
        <f>AS47+7</f>
        <v>45525</v>
      </c>
      <c r="AU47" s="34" t="s">
        <v>149</v>
      </c>
      <c r="AV47" s="34">
        <f>AT47+7</f>
        <v>45532</v>
      </c>
      <c r="AW47" s="34">
        <f>AV47+7</f>
        <v>45539</v>
      </c>
      <c r="AX47" s="34">
        <f>AW47+7</f>
        <v>45546</v>
      </c>
      <c r="AY47" s="34" t="s">
        <v>149</v>
      </c>
      <c r="AZ47" s="34">
        <f>AX47+7</f>
        <v>45553</v>
      </c>
      <c r="BA47" s="34">
        <f>AZ47+7</f>
        <v>45560</v>
      </c>
      <c r="BB47" s="34">
        <f>BA47+7</f>
        <v>45567</v>
      </c>
      <c r="BC47" s="34" t="s">
        <v>149</v>
      </c>
      <c r="BD47" s="34">
        <f>BB47+7</f>
        <v>45574</v>
      </c>
      <c r="BE47" s="34">
        <f>BD47+7</f>
        <v>45581</v>
      </c>
      <c r="BF47" s="34">
        <f>BE47+7</f>
        <v>45588</v>
      </c>
      <c r="BG47" s="34" t="s">
        <v>148</v>
      </c>
      <c r="BH47" s="34">
        <f>BF47+7</f>
        <v>45595</v>
      </c>
      <c r="BI47" s="34">
        <f>BH47+7</f>
        <v>45602</v>
      </c>
      <c r="BJ47" s="34">
        <f>BI47+7</f>
        <v>45609</v>
      </c>
      <c r="BK47" s="34" t="s">
        <v>148</v>
      </c>
      <c r="BL47" s="34">
        <f>BJ47+7</f>
        <v>45616</v>
      </c>
      <c r="BM47" s="34">
        <f>BL47+7</f>
        <v>45623</v>
      </c>
      <c r="BN47" s="34">
        <f>BM47+7</f>
        <v>45630</v>
      </c>
      <c r="BO47" s="34" t="s">
        <v>148</v>
      </c>
      <c r="BP47" s="34">
        <f>BN47+7</f>
        <v>45637</v>
      </c>
      <c r="BQ47" s="34">
        <f>BP47+7</f>
        <v>45644</v>
      </c>
      <c r="BR47" s="34">
        <f>BQ47+7</f>
        <v>45651</v>
      </c>
      <c r="BS47" s="34" t="s">
        <v>148</v>
      </c>
      <c r="BT47" s="34">
        <f>BR47+7</f>
        <v>45658</v>
      </c>
      <c r="BU47" s="34">
        <f>BT47+7</f>
        <v>45665</v>
      </c>
      <c r="BV47" s="34">
        <f>BU47+7</f>
        <v>45672</v>
      </c>
      <c r="BW47" s="34" t="s">
        <v>148</v>
      </c>
      <c r="BX47" s="34">
        <f>BV47+7</f>
        <v>45679</v>
      </c>
      <c r="BY47" s="34">
        <f>BX47+7</f>
        <v>45686</v>
      </c>
      <c r="BZ47" s="34">
        <f>BY47+7</f>
        <v>45693</v>
      </c>
      <c r="CA47" s="34" t="s">
        <v>148</v>
      </c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  <c r="DM47" s="34"/>
      <c r="DN47" s="34"/>
      <c r="DO47" s="34"/>
      <c r="DP47" s="34"/>
      <c r="DQ47" s="34"/>
      <c r="DR47" s="34"/>
      <c r="DS47" s="34"/>
      <c r="DT47" s="34"/>
      <c r="DU47" s="32"/>
      <c r="DV47" s="32"/>
      <c r="DW47" s="32"/>
      <c r="DX47" s="32"/>
      <c r="DY47" s="32"/>
      <c r="DZ47" s="32"/>
      <c r="EA47" s="32"/>
      <c r="EB47" s="32"/>
      <c r="EC47" s="62"/>
      <c r="ED47" s="266"/>
      <c r="EE47" s="370"/>
      <c r="EF47" s="345"/>
      <c r="EG47" s="344"/>
      <c r="EH47" s="245"/>
    </row>
    <row r="48" spans="1:138" s="119" customFormat="1" ht="31.15">
      <c r="A48" s="353"/>
      <c r="B48" s="341"/>
      <c r="C48" s="343"/>
      <c r="D48" s="343"/>
      <c r="E48" s="343"/>
      <c r="F48" s="343"/>
      <c r="G48" s="343"/>
      <c r="H48" s="327" t="s">
        <v>150</v>
      </c>
      <c r="I48" s="101">
        <v>45330</v>
      </c>
      <c r="J48" s="103"/>
      <c r="K48" s="103">
        <v>45343</v>
      </c>
      <c r="L48" s="277" t="s">
        <v>148</v>
      </c>
      <c r="M48" s="100">
        <v>45350</v>
      </c>
      <c r="N48" s="31">
        <v>45357</v>
      </c>
      <c r="O48" s="327" t="s">
        <v>148</v>
      </c>
      <c r="P48" s="103">
        <v>45364</v>
      </c>
      <c r="Q48" s="100">
        <v>45371</v>
      </c>
      <c r="R48" s="31">
        <v>45378</v>
      </c>
      <c r="S48" s="327" t="s">
        <v>148</v>
      </c>
      <c r="T48" s="103">
        <v>45385</v>
      </c>
      <c r="U48" s="100">
        <v>45391</v>
      </c>
      <c r="W48" s="327" t="s">
        <v>148</v>
      </c>
      <c r="X48" s="103">
        <v>45406</v>
      </c>
      <c r="Y48" s="100">
        <v>45412</v>
      </c>
      <c r="Z48" s="327">
        <v>45419</v>
      </c>
      <c r="AA48" s="104" t="s">
        <v>148</v>
      </c>
      <c r="AB48" s="103">
        <v>45425</v>
      </c>
      <c r="AC48" s="100">
        <v>45432</v>
      </c>
      <c r="AD48" s="327">
        <v>45439</v>
      </c>
      <c r="AE48" s="104" t="s">
        <v>148</v>
      </c>
      <c r="AF48" s="246">
        <v>45443</v>
      </c>
      <c r="AG48" s="247">
        <v>45450</v>
      </c>
      <c r="AH48" s="327">
        <v>45457</v>
      </c>
      <c r="AI48" s="104" t="s">
        <v>148</v>
      </c>
      <c r="AJ48" s="103">
        <v>45467</v>
      </c>
      <c r="AK48" s="100" t="s">
        <v>181</v>
      </c>
      <c r="AL48" s="327"/>
      <c r="AM48" s="104" t="s">
        <v>148</v>
      </c>
      <c r="AN48" s="103"/>
      <c r="AO48" s="100"/>
      <c r="AP48" s="327"/>
      <c r="AQ48" s="31" t="s">
        <v>148</v>
      </c>
      <c r="AR48" s="104"/>
      <c r="AS48" s="100"/>
      <c r="AT48" s="328" t="s">
        <v>148</v>
      </c>
      <c r="AU48" s="31"/>
      <c r="AV48" s="104"/>
      <c r="AW48" s="100"/>
      <c r="AX48" s="328" t="s">
        <v>148</v>
      </c>
      <c r="AY48" s="31"/>
      <c r="AZ48" s="104"/>
      <c r="BA48" s="100"/>
      <c r="BB48" s="328" t="s">
        <v>148</v>
      </c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>
        <v>45481</v>
      </c>
      <c r="DU48" s="327"/>
      <c r="DV48" s="327">
        <v>45572</v>
      </c>
      <c r="DW48" s="327">
        <v>45754</v>
      </c>
      <c r="DX48" s="327"/>
      <c r="DY48" s="327"/>
      <c r="DZ48" s="327"/>
      <c r="EA48" s="327"/>
      <c r="EB48" s="327"/>
      <c r="EC48" s="59"/>
      <c r="ED48" s="59"/>
      <c r="EE48" s="344"/>
      <c r="EF48" s="345"/>
      <c r="EG48" s="345"/>
      <c r="EH48" s="248"/>
    </row>
    <row r="49" spans="2:138" ht="31.15">
      <c r="B49" s="340" t="s">
        <v>215</v>
      </c>
      <c r="C49" s="340" t="s">
        <v>226</v>
      </c>
      <c r="D49" s="342" t="s">
        <v>227</v>
      </c>
      <c r="E49" s="342" t="s">
        <v>228</v>
      </c>
      <c r="F49" s="342" t="s">
        <v>229</v>
      </c>
      <c r="G49" s="342" t="s">
        <v>146</v>
      </c>
      <c r="H49" s="32" t="s">
        <v>147</v>
      </c>
      <c r="I49" s="84">
        <v>45309</v>
      </c>
      <c r="J49" s="99"/>
      <c r="K49" s="100">
        <v>45350</v>
      </c>
      <c r="L49" s="276" t="s">
        <v>148</v>
      </c>
      <c r="M49" s="33">
        <f>K49+7</f>
        <v>45357</v>
      </c>
      <c r="N49" s="33">
        <f>M49+7</f>
        <v>45364</v>
      </c>
      <c r="O49" s="33" t="s">
        <v>149</v>
      </c>
      <c r="P49" s="33">
        <f>N49+7</f>
        <v>45371</v>
      </c>
      <c r="Q49" s="33">
        <f>P49+7</f>
        <v>45378</v>
      </c>
      <c r="R49" s="33">
        <f>Q49+7</f>
        <v>45385</v>
      </c>
      <c r="S49" s="34" t="s">
        <v>149</v>
      </c>
      <c r="T49" s="34">
        <f>R49+7</f>
        <v>45392</v>
      </c>
      <c r="U49" s="34">
        <f>T49+7</f>
        <v>45399</v>
      </c>
      <c r="V49" s="34">
        <f>U49+7</f>
        <v>45406</v>
      </c>
      <c r="W49" s="34" t="s">
        <v>149</v>
      </c>
      <c r="X49" s="34">
        <f>V49+7</f>
        <v>45413</v>
      </c>
      <c r="Y49" s="34">
        <f>X49+7</f>
        <v>45420</v>
      </c>
      <c r="Z49" s="34">
        <f>Y49+7</f>
        <v>45427</v>
      </c>
      <c r="AA49" s="34" t="s">
        <v>149</v>
      </c>
      <c r="AB49" s="34">
        <f>Z49+7</f>
        <v>45434</v>
      </c>
      <c r="AC49" s="34">
        <f>AB49+7</f>
        <v>45441</v>
      </c>
      <c r="AD49" s="34">
        <f>AC49+7</f>
        <v>45448</v>
      </c>
      <c r="AE49" s="34" t="s">
        <v>149</v>
      </c>
      <c r="AF49" s="34">
        <f>AD49+7</f>
        <v>45455</v>
      </c>
      <c r="AG49" s="34">
        <f>AF49+7</f>
        <v>45462</v>
      </c>
      <c r="AH49" s="34">
        <f>AG49+7</f>
        <v>45469</v>
      </c>
      <c r="AI49" s="34" t="s">
        <v>149</v>
      </c>
      <c r="AJ49" s="34">
        <f>AH49+7</f>
        <v>45476</v>
      </c>
      <c r="AK49" s="34">
        <f>AJ49+7</f>
        <v>45483</v>
      </c>
      <c r="AL49" s="34">
        <f>AK49+7</f>
        <v>45490</v>
      </c>
      <c r="AM49" s="34" t="s">
        <v>149</v>
      </c>
      <c r="AN49" s="34">
        <f>AL49+7</f>
        <v>45497</v>
      </c>
      <c r="AO49" s="34">
        <f>AN49+7</f>
        <v>45504</v>
      </c>
      <c r="AP49" s="34">
        <f>AO49+7</f>
        <v>45511</v>
      </c>
      <c r="AQ49" s="34" t="s">
        <v>149</v>
      </c>
      <c r="AR49" s="34">
        <f>AP49+7</f>
        <v>45518</v>
      </c>
      <c r="AS49" s="34">
        <f>AR49+7</f>
        <v>45525</v>
      </c>
      <c r="AT49" s="34">
        <f>AS49+7</f>
        <v>45532</v>
      </c>
      <c r="AU49" s="42" t="s">
        <v>149</v>
      </c>
      <c r="AV49" s="34">
        <f>AT49+7</f>
        <v>45539</v>
      </c>
      <c r="AW49" s="34">
        <f>AV49+7</f>
        <v>45546</v>
      </c>
      <c r="AX49" s="34">
        <f>AW49+7</f>
        <v>45553</v>
      </c>
      <c r="AY49" s="42" t="s">
        <v>149</v>
      </c>
      <c r="AZ49" s="34">
        <f>AX49+7</f>
        <v>45560</v>
      </c>
      <c r="BA49" s="34">
        <f>AZ49+7</f>
        <v>45567</v>
      </c>
      <c r="BB49" s="34">
        <f>BA49+7</f>
        <v>45574</v>
      </c>
      <c r="BC49" s="42" t="s">
        <v>149</v>
      </c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  <c r="BZ49" s="42"/>
      <c r="CA49" s="42"/>
      <c r="CB49" s="42"/>
      <c r="CC49" s="42"/>
      <c r="CD49" s="42"/>
      <c r="CE49" s="42"/>
      <c r="CF49" s="42"/>
      <c r="CG49" s="42"/>
      <c r="CH49" s="42"/>
      <c r="CI49" s="42"/>
      <c r="CJ49" s="42"/>
      <c r="CK49" s="42"/>
      <c r="CL49" s="42"/>
      <c r="CM49" s="42"/>
      <c r="CN49" s="42"/>
      <c r="CO49" s="42"/>
      <c r="CP49" s="42"/>
      <c r="CQ49" s="42"/>
      <c r="CR49" s="42"/>
      <c r="CS49" s="42"/>
      <c r="CT49" s="42"/>
      <c r="CU49" s="42"/>
      <c r="CV49" s="42"/>
      <c r="CW49" s="42"/>
      <c r="CX49" s="42"/>
      <c r="CY49" s="42"/>
      <c r="CZ49" s="42"/>
      <c r="DA49" s="42"/>
      <c r="DB49" s="42"/>
      <c r="DC49" s="42"/>
      <c r="DD49" s="42"/>
      <c r="DE49" s="42"/>
      <c r="DF49" s="42"/>
      <c r="DG49" s="42"/>
      <c r="DH49" s="42"/>
      <c r="DI49" s="42"/>
      <c r="DJ49" s="42"/>
      <c r="DK49" s="42"/>
      <c r="DL49" s="42"/>
      <c r="DM49" s="42"/>
      <c r="DN49" s="42"/>
      <c r="DO49" s="42"/>
      <c r="DP49" s="42"/>
      <c r="DQ49" s="42"/>
      <c r="DR49" s="42"/>
      <c r="DS49" s="42"/>
      <c r="DT49" s="34">
        <f>AX49+7</f>
        <v>45560</v>
      </c>
      <c r="DU49" s="34">
        <f>AW50+28</f>
        <v>28</v>
      </c>
      <c r="DV49" s="32">
        <f>EDATE(AW50,3)</f>
        <v>91</v>
      </c>
      <c r="DW49" s="32">
        <f>EDATE(DV49,3)</f>
        <v>182</v>
      </c>
      <c r="DX49" s="32">
        <f>EDATE(CA49,3)</f>
        <v>91</v>
      </c>
      <c r="DY49" s="32">
        <f t="shared" ref="DY49" si="133">EDATE(DX49,3)</f>
        <v>182</v>
      </c>
      <c r="DZ49" s="32">
        <f t="shared" ref="DZ49" si="134">EDATE(DY49,3)</f>
        <v>274</v>
      </c>
      <c r="EA49" s="32">
        <f t="shared" ref="EA49" si="135">EDATE(DZ49,3)</f>
        <v>365</v>
      </c>
      <c r="EB49" s="32">
        <f t="shared" ref="EB49" si="136">EDATE(EA49,3)</f>
        <v>455</v>
      </c>
      <c r="EC49" s="32">
        <f t="shared" ref="EC49" si="137">EDATE(EB49,3)</f>
        <v>547</v>
      </c>
      <c r="ED49" s="123"/>
      <c r="EE49" s="62"/>
      <c r="EF49" s="370"/>
      <c r="EG49" s="345"/>
      <c r="EH49" s="344"/>
    </row>
    <row r="50" spans="2:138" ht="31.15">
      <c r="B50" s="341"/>
      <c r="C50" s="341"/>
      <c r="D50" s="343"/>
      <c r="E50" s="343"/>
      <c r="F50" s="343"/>
      <c r="G50" s="343"/>
      <c r="H50" s="327" t="s">
        <v>150</v>
      </c>
      <c r="I50" s="87">
        <v>45309</v>
      </c>
      <c r="J50" s="101"/>
      <c r="K50" s="102"/>
      <c r="L50" s="277" t="s">
        <v>148</v>
      </c>
      <c r="M50" s="103"/>
      <c r="N50" s="100"/>
      <c r="O50" s="327" t="s">
        <v>148</v>
      </c>
      <c r="P50" s="104"/>
      <c r="Q50" s="103"/>
      <c r="R50" s="100"/>
      <c r="S50" s="327" t="s">
        <v>148</v>
      </c>
      <c r="T50" s="104"/>
      <c r="U50" s="103"/>
      <c r="V50" s="100"/>
      <c r="W50" s="327" t="s">
        <v>148</v>
      </c>
      <c r="X50" s="104"/>
      <c r="Y50" s="103"/>
      <c r="Z50" s="100"/>
      <c r="AA50" s="327" t="s">
        <v>148</v>
      </c>
      <c r="AB50" s="104"/>
      <c r="AC50" s="103"/>
      <c r="AD50" s="100"/>
      <c r="AE50" s="327" t="s">
        <v>148</v>
      </c>
      <c r="AF50" s="104"/>
      <c r="AG50" s="103"/>
      <c r="AH50" s="100"/>
      <c r="AI50" s="327" t="s">
        <v>148</v>
      </c>
      <c r="AJ50" s="104"/>
      <c r="AK50" s="103"/>
      <c r="AL50" s="100"/>
      <c r="AM50" s="327" t="s">
        <v>148</v>
      </c>
      <c r="AN50" s="104"/>
      <c r="AO50" s="103"/>
      <c r="AP50" s="100"/>
      <c r="AQ50" s="327" t="s">
        <v>148</v>
      </c>
      <c r="AR50" s="31"/>
      <c r="AS50" s="104"/>
      <c r="AT50" s="100"/>
      <c r="AU50" s="328" t="s">
        <v>148</v>
      </c>
      <c r="AV50" s="31"/>
      <c r="AW50" s="104"/>
      <c r="AX50" s="100"/>
      <c r="AY50" s="328" t="s">
        <v>148</v>
      </c>
      <c r="AZ50" s="31"/>
      <c r="BA50" s="104"/>
      <c r="BB50" s="100"/>
      <c r="BC50" s="328" t="s">
        <v>148</v>
      </c>
      <c r="BD50" s="105"/>
      <c r="BE50" s="105"/>
      <c r="BF50" s="105"/>
      <c r="BG50" s="105"/>
      <c r="BH50" s="105"/>
      <c r="BI50" s="105"/>
      <c r="BJ50" s="105"/>
      <c r="BK50" s="105"/>
      <c r="BL50" s="105"/>
      <c r="BM50" s="105"/>
      <c r="BN50" s="105"/>
      <c r="BO50" s="105"/>
      <c r="BP50" s="105"/>
      <c r="BQ50" s="105"/>
      <c r="BR50" s="105"/>
      <c r="BS50" s="105"/>
      <c r="BT50" s="105"/>
      <c r="BU50" s="105"/>
      <c r="BV50" s="105"/>
      <c r="BW50" s="105"/>
      <c r="BX50" s="105"/>
      <c r="BY50" s="105"/>
      <c r="BZ50" s="105"/>
      <c r="CA50" s="105"/>
      <c r="CB50" s="105"/>
      <c r="CC50" s="105"/>
      <c r="CD50" s="105"/>
      <c r="CE50" s="105"/>
      <c r="CF50" s="105"/>
      <c r="CG50" s="105"/>
      <c r="CH50" s="105"/>
      <c r="CI50" s="105"/>
      <c r="CJ50" s="105"/>
      <c r="CK50" s="105"/>
      <c r="CL50" s="105"/>
      <c r="CM50" s="105"/>
      <c r="CN50" s="105"/>
      <c r="CO50" s="105"/>
      <c r="CP50" s="105"/>
      <c r="CQ50" s="105"/>
      <c r="CR50" s="105"/>
      <c r="CS50" s="105"/>
      <c r="CT50" s="105"/>
      <c r="CU50" s="105"/>
      <c r="CV50" s="105"/>
      <c r="CW50" s="105"/>
      <c r="CX50" s="105"/>
      <c r="CY50" s="105"/>
      <c r="CZ50" s="105"/>
      <c r="DA50" s="105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5"/>
      <c r="DO50" s="105"/>
      <c r="DP50" s="105"/>
      <c r="DQ50" s="105"/>
      <c r="DR50" s="105"/>
      <c r="DS50" s="105"/>
      <c r="DT50" s="31"/>
      <c r="DU50" s="31"/>
      <c r="DV50" s="327"/>
      <c r="DW50" s="327"/>
      <c r="DX50" s="327"/>
      <c r="DY50" s="327"/>
      <c r="DZ50" s="327"/>
      <c r="EA50" s="327"/>
      <c r="EB50" s="327"/>
      <c r="EC50" s="327"/>
      <c r="ED50" s="124"/>
      <c r="EE50" s="59"/>
      <c r="EF50" s="344"/>
      <c r="EG50" s="345"/>
      <c r="EH50" s="345"/>
    </row>
    <row r="51" spans="2:138" s="119" customFormat="1" ht="31.15">
      <c r="B51" s="352" t="s">
        <v>215</v>
      </c>
      <c r="C51" s="340" t="s">
        <v>230</v>
      </c>
      <c r="D51" s="342" t="s">
        <v>165</v>
      </c>
      <c r="E51" s="368" t="s">
        <v>231</v>
      </c>
      <c r="F51" s="342" t="s">
        <v>210</v>
      </c>
      <c r="G51" s="342" t="s">
        <v>148</v>
      </c>
      <c r="H51" s="32" t="s">
        <v>147</v>
      </c>
      <c r="I51" s="84">
        <v>45322</v>
      </c>
      <c r="J51" s="85"/>
      <c r="K51" s="31">
        <v>45343</v>
      </c>
      <c r="L51" s="276" t="s">
        <v>148</v>
      </c>
      <c r="M51" s="33">
        <f>K51+7</f>
        <v>45350</v>
      </c>
      <c r="N51" s="33">
        <f>M51+7</f>
        <v>45357</v>
      </c>
      <c r="O51" s="33" t="s">
        <v>149</v>
      </c>
      <c r="P51" s="33">
        <v>45371</v>
      </c>
      <c r="Q51" s="33">
        <f>P51+7</f>
        <v>45378</v>
      </c>
      <c r="R51" s="33">
        <f>Q51+7</f>
        <v>45385</v>
      </c>
      <c r="S51" s="34" t="s">
        <v>149</v>
      </c>
      <c r="T51" s="34">
        <f>R51+7</f>
        <v>45392</v>
      </c>
      <c r="U51" s="34">
        <f>T51+7</f>
        <v>45399</v>
      </c>
      <c r="V51" s="34">
        <f>U51+7</f>
        <v>45406</v>
      </c>
      <c r="W51" s="34" t="s">
        <v>149</v>
      </c>
      <c r="X51" s="34">
        <f>V51+7</f>
        <v>45413</v>
      </c>
      <c r="Y51" s="34">
        <f>X51+7</f>
        <v>45420</v>
      </c>
      <c r="Z51" s="34">
        <f>Y51+7</f>
        <v>45427</v>
      </c>
      <c r="AA51" s="34" t="s">
        <v>149</v>
      </c>
      <c r="AB51" s="34">
        <f>Z51+7</f>
        <v>45434</v>
      </c>
      <c r="AC51" s="34">
        <f>AB51+7</f>
        <v>45441</v>
      </c>
      <c r="AD51" s="34">
        <f>AC51+7</f>
        <v>45448</v>
      </c>
      <c r="AE51" s="34" t="s">
        <v>149</v>
      </c>
      <c r="AF51" s="34">
        <f>AD51+7</f>
        <v>45455</v>
      </c>
      <c r="AG51" s="34">
        <f>AF51+7</f>
        <v>45462</v>
      </c>
      <c r="AH51" s="34">
        <f>AG51+7</f>
        <v>45469</v>
      </c>
      <c r="AI51" s="34" t="s">
        <v>149</v>
      </c>
      <c r="AJ51" s="34">
        <f>AH51+7</f>
        <v>45476</v>
      </c>
      <c r="AK51" s="34">
        <f>AJ51+7</f>
        <v>45483</v>
      </c>
      <c r="AL51" s="34">
        <f>AK51+7</f>
        <v>45490</v>
      </c>
      <c r="AM51" s="34" t="s">
        <v>149</v>
      </c>
      <c r="AN51" s="34">
        <f>AL51+7</f>
        <v>45497</v>
      </c>
      <c r="AO51" s="34">
        <f>AN51+7</f>
        <v>45504</v>
      </c>
      <c r="AP51" s="34">
        <f>AO51+7</f>
        <v>45511</v>
      </c>
      <c r="AQ51" s="34" t="s">
        <v>149</v>
      </c>
      <c r="AR51" s="34">
        <f>AP51+7</f>
        <v>45518</v>
      </c>
      <c r="AS51" s="34">
        <f>AR51+7</f>
        <v>45525</v>
      </c>
      <c r="AT51" s="34">
        <f>AS51+7</f>
        <v>45532</v>
      </c>
      <c r="AU51" s="42" t="s">
        <v>149</v>
      </c>
      <c r="AV51" s="34">
        <f>AT51+7</f>
        <v>45539</v>
      </c>
      <c r="AW51" s="34">
        <f>AV51+7</f>
        <v>45546</v>
      </c>
      <c r="AX51" s="34">
        <f>AW51+7</f>
        <v>45553</v>
      </c>
      <c r="AY51" s="42" t="s">
        <v>149</v>
      </c>
      <c r="AZ51" s="34">
        <f>AX51+7</f>
        <v>45560</v>
      </c>
      <c r="BA51" s="34">
        <f>AZ51+7</f>
        <v>45567</v>
      </c>
      <c r="BB51" s="34">
        <f>BA51+7</f>
        <v>45574</v>
      </c>
      <c r="BC51" s="42" t="s">
        <v>149</v>
      </c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2"/>
      <c r="BX51" s="42"/>
      <c r="BY51" s="42"/>
      <c r="BZ51" s="42"/>
      <c r="CA51" s="42"/>
      <c r="CB51" s="42"/>
      <c r="CC51" s="42"/>
      <c r="CD51" s="42"/>
      <c r="CE51" s="42"/>
      <c r="CF51" s="42"/>
      <c r="CG51" s="42"/>
      <c r="CH51" s="42"/>
      <c r="CI51" s="42"/>
      <c r="CJ51" s="42"/>
      <c r="CK51" s="42"/>
      <c r="CL51" s="42"/>
      <c r="CM51" s="42"/>
      <c r="CN51" s="42"/>
      <c r="CO51" s="42"/>
      <c r="CP51" s="42"/>
      <c r="CQ51" s="42"/>
      <c r="CR51" s="42"/>
      <c r="CS51" s="42"/>
      <c r="CT51" s="42"/>
      <c r="CU51" s="42"/>
      <c r="CV51" s="42"/>
      <c r="CW51" s="42"/>
      <c r="CX51" s="42"/>
      <c r="CY51" s="42"/>
      <c r="CZ51" s="42"/>
      <c r="DA51" s="42"/>
      <c r="DB51" s="42"/>
      <c r="DC51" s="42"/>
      <c r="DD51" s="42"/>
      <c r="DE51" s="42"/>
      <c r="DF51" s="42"/>
      <c r="DG51" s="42"/>
      <c r="DH51" s="42"/>
      <c r="DI51" s="42"/>
      <c r="DJ51" s="42"/>
      <c r="DK51" s="42"/>
      <c r="DL51" s="42"/>
      <c r="DM51" s="42"/>
      <c r="DN51" s="42"/>
      <c r="DO51" s="42"/>
      <c r="DP51" s="42"/>
      <c r="DQ51" s="42"/>
      <c r="DR51" s="42"/>
      <c r="DS51" s="42"/>
      <c r="DT51" s="34">
        <f>AX51+7</f>
        <v>45560</v>
      </c>
      <c r="DU51" s="34">
        <f>AW52+28</f>
        <v>45575</v>
      </c>
      <c r="DV51" s="32">
        <f>EDATE(AW52,3)</f>
        <v>45638</v>
      </c>
      <c r="DW51" s="32">
        <f>EDATE(DV51,3)</f>
        <v>45728</v>
      </c>
      <c r="DX51" s="32">
        <f>EDATE(DW51,3)</f>
        <v>45820</v>
      </c>
      <c r="DY51" s="32">
        <f t="shared" ref="DY51" si="138">EDATE(DX51,3)</f>
        <v>45912</v>
      </c>
      <c r="DZ51" s="32">
        <f t="shared" ref="DZ51" si="139">EDATE(DY51,3)</f>
        <v>46003</v>
      </c>
      <c r="EA51" s="32">
        <f t="shared" ref="EA51" si="140">EDATE(DZ51,3)</f>
        <v>46093</v>
      </c>
      <c r="EB51" s="32">
        <f t="shared" ref="EB51" si="141">EDATE(EA51,3)</f>
        <v>46185</v>
      </c>
      <c r="EC51" s="32">
        <f t="shared" ref="EC51" si="142">EDATE(EB51,3)</f>
        <v>46277</v>
      </c>
      <c r="ED51" s="123"/>
      <c r="EE51" s="62"/>
      <c r="EF51" s="370"/>
      <c r="EG51" s="345"/>
      <c r="EH51" s="344"/>
    </row>
    <row r="52" spans="2:138" s="119" customFormat="1" ht="31.15">
      <c r="B52" s="353"/>
      <c r="C52" s="341"/>
      <c r="D52" s="343"/>
      <c r="E52" s="369"/>
      <c r="F52" s="343"/>
      <c r="G52" s="343"/>
      <c r="H52" s="327" t="s">
        <v>150</v>
      </c>
      <c r="I52" s="87">
        <v>45322</v>
      </c>
      <c r="J52" s="88"/>
      <c r="K52" s="89">
        <v>45343</v>
      </c>
      <c r="L52" s="277" t="s">
        <v>148</v>
      </c>
      <c r="M52" s="300">
        <v>45350</v>
      </c>
      <c r="N52" s="31">
        <v>45358</v>
      </c>
      <c r="O52" s="33" t="s">
        <v>149</v>
      </c>
      <c r="P52" s="31">
        <v>45372</v>
      </c>
      <c r="Q52" s="31">
        <v>45379</v>
      </c>
      <c r="R52" s="31" t="s">
        <v>181</v>
      </c>
      <c r="S52" s="327" t="s">
        <v>148</v>
      </c>
      <c r="T52" s="31">
        <v>45393</v>
      </c>
      <c r="U52" s="31">
        <v>45400</v>
      </c>
      <c r="V52" s="31">
        <v>45407</v>
      </c>
      <c r="W52" s="327" t="s">
        <v>148</v>
      </c>
      <c r="X52" s="31">
        <v>45414</v>
      </c>
      <c r="Y52" s="31">
        <v>45421</v>
      </c>
      <c r="Z52" s="31" t="s">
        <v>181</v>
      </c>
      <c r="AA52" s="327" t="s">
        <v>148</v>
      </c>
      <c r="AB52" s="31">
        <v>45436</v>
      </c>
      <c r="AC52" s="31">
        <v>45442</v>
      </c>
      <c r="AD52" s="31" t="s">
        <v>181</v>
      </c>
      <c r="AE52" s="327" t="s">
        <v>148</v>
      </c>
      <c r="AF52" s="31">
        <v>45456</v>
      </c>
      <c r="AG52" s="31">
        <v>45463</v>
      </c>
      <c r="AH52" s="31">
        <v>45470</v>
      </c>
      <c r="AI52" s="327" t="s">
        <v>148</v>
      </c>
      <c r="AJ52" s="31">
        <v>45477</v>
      </c>
      <c r="AK52" s="31">
        <v>45484</v>
      </c>
      <c r="AL52" s="109">
        <v>45491</v>
      </c>
      <c r="AM52" s="327" t="s">
        <v>148</v>
      </c>
      <c r="AN52" s="31">
        <v>45498</v>
      </c>
      <c r="AO52" s="31">
        <v>45504</v>
      </c>
      <c r="AP52" s="31">
        <v>45512</v>
      </c>
      <c r="AQ52" s="327" t="s">
        <v>148</v>
      </c>
      <c r="AR52" s="31">
        <v>45518</v>
      </c>
      <c r="AS52" s="31">
        <v>45526</v>
      </c>
      <c r="AT52" s="31">
        <v>45532</v>
      </c>
      <c r="AU52" s="328" t="s">
        <v>148</v>
      </c>
      <c r="AV52" s="31">
        <v>45540</v>
      </c>
      <c r="AW52" s="31">
        <v>45547</v>
      </c>
      <c r="AX52" s="31">
        <v>45554</v>
      </c>
      <c r="AY52" s="328" t="s">
        <v>148</v>
      </c>
      <c r="AZ52" s="31">
        <v>45558</v>
      </c>
      <c r="BA52" s="31">
        <v>45565</v>
      </c>
      <c r="BB52" s="31">
        <v>45572</v>
      </c>
      <c r="BC52" s="328" t="s">
        <v>148</v>
      </c>
      <c r="BD52" s="105">
        <v>45582</v>
      </c>
      <c r="BE52" s="105">
        <v>45589</v>
      </c>
      <c r="BF52" s="105">
        <v>45596</v>
      </c>
      <c r="BG52" s="105" t="s">
        <v>148</v>
      </c>
      <c r="BH52" s="105"/>
      <c r="BI52" s="105"/>
      <c r="BJ52" s="105"/>
      <c r="BK52" s="105"/>
      <c r="BL52" s="105"/>
      <c r="BM52" s="105"/>
      <c r="BN52" s="105"/>
      <c r="BO52" s="105"/>
      <c r="BP52" s="105"/>
      <c r="BQ52" s="105"/>
      <c r="BR52" s="105"/>
      <c r="BS52" s="105"/>
      <c r="BT52" s="105"/>
      <c r="BU52" s="105"/>
      <c r="BV52" s="105"/>
      <c r="BW52" s="105"/>
      <c r="BX52" s="105"/>
      <c r="BY52" s="105"/>
      <c r="BZ52" s="105"/>
      <c r="CA52" s="105"/>
      <c r="CB52" s="105"/>
      <c r="CC52" s="105"/>
      <c r="CD52" s="105"/>
      <c r="CE52" s="105"/>
      <c r="CF52" s="105"/>
      <c r="CG52" s="105"/>
      <c r="CH52" s="105"/>
      <c r="CI52" s="105"/>
      <c r="CJ52" s="105"/>
      <c r="CK52" s="105"/>
      <c r="CL52" s="105"/>
      <c r="CM52" s="105"/>
      <c r="CN52" s="105"/>
      <c r="CO52" s="105"/>
      <c r="CP52" s="105"/>
      <c r="CQ52" s="105"/>
      <c r="CR52" s="105"/>
      <c r="CS52" s="105"/>
      <c r="CT52" s="105"/>
      <c r="CU52" s="105"/>
      <c r="CV52" s="105"/>
      <c r="CW52" s="105"/>
      <c r="CX52" s="105"/>
      <c r="CY52" s="105"/>
      <c r="CZ52" s="105"/>
      <c r="DA52" s="105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5"/>
      <c r="DO52" s="105"/>
      <c r="DP52" s="105"/>
      <c r="DQ52" s="105"/>
      <c r="DR52" s="105"/>
      <c r="DS52" s="105"/>
      <c r="DT52" s="31">
        <v>45603</v>
      </c>
      <c r="DU52" s="31" t="s">
        <v>181</v>
      </c>
      <c r="DV52" s="327">
        <v>45680</v>
      </c>
      <c r="DW52" s="327">
        <v>45758</v>
      </c>
      <c r="DX52" s="327">
        <v>45866</v>
      </c>
      <c r="DY52" s="327">
        <v>45946</v>
      </c>
      <c r="DZ52" s="327"/>
      <c r="EA52" s="327"/>
      <c r="EB52" s="327"/>
      <c r="EC52" s="327"/>
      <c r="ED52" s="124"/>
      <c r="EE52" s="59"/>
      <c r="EF52" s="344"/>
      <c r="EG52" s="345"/>
      <c r="EH52" s="345"/>
    </row>
    <row r="53" spans="2:138" ht="31.15">
      <c r="B53" s="352" t="s">
        <v>221</v>
      </c>
      <c r="C53" s="340" t="s">
        <v>232</v>
      </c>
      <c r="D53" s="342" t="s">
        <v>212</v>
      </c>
      <c r="E53" s="342" t="s">
        <v>233</v>
      </c>
      <c r="F53" s="342" t="s">
        <v>229</v>
      </c>
      <c r="G53" s="342" t="s">
        <v>148</v>
      </c>
      <c r="H53" s="32" t="s">
        <v>147</v>
      </c>
      <c r="I53" s="120">
        <v>45317</v>
      </c>
      <c r="J53" s="85"/>
      <c r="K53" s="86">
        <v>45337</v>
      </c>
      <c r="L53" s="276" t="s">
        <v>148</v>
      </c>
      <c r="M53" s="33">
        <f>K53+7</f>
        <v>45344</v>
      </c>
      <c r="N53" s="33">
        <f>M53+7</f>
        <v>45351</v>
      </c>
      <c r="O53" s="33" t="s">
        <v>149</v>
      </c>
      <c r="P53" s="33">
        <f>N53+7</f>
        <v>45358</v>
      </c>
      <c r="Q53" s="33">
        <f>P53+7</f>
        <v>45365</v>
      </c>
      <c r="R53" s="33">
        <f>Q53+7</f>
        <v>45372</v>
      </c>
      <c r="S53" s="34" t="s">
        <v>149</v>
      </c>
      <c r="T53" s="34">
        <f>R53+7</f>
        <v>45379</v>
      </c>
      <c r="U53" s="34">
        <f>T53+7</f>
        <v>45386</v>
      </c>
      <c r="V53" s="34">
        <f>U53+7</f>
        <v>45393</v>
      </c>
      <c r="W53" s="34" t="s">
        <v>149</v>
      </c>
      <c r="X53" s="34">
        <f>V53+7</f>
        <v>45400</v>
      </c>
      <c r="Y53" s="34">
        <f>X53+7</f>
        <v>45407</v>
      </c>
      <c r="Z53" s="34">
        <f>Y53+7</f>
        <v>45414</v>
      </c>
      <c r="AA53" s="34" t="s">
        <v>149</v>
      </c>
      <c r="AB53" s="34">
        <f>Z53+7</f>
        <v>45421</v>
      </c>
      <c r="AC53" s="34">
        <f>AB53+7</f>
        <v>45428</v>
      </c>
      <c r="AD53" s="34">
        <f>AC53+7</f>
        <v>45435</v>
      </c>
      <c r="AE53" s="34" t="s">
        <v>149</v>
      </c>
      <c r="AF53" s="34">
        <f>AD53+7</f>
        <v>45442</v>
      </c>
      <c r="AG53" s="34">
        <f>AF53+7</f>
        <v>45449</v>
      </c>
      <c r="AH53" s="34">
        <f>AG53+7</f>
        <v>45456</v>
      </c>
      <c r="AI53" s="34" t="s">
        <v>149</v>
      </c>
      <c r="AJ53" s="34">
        <f>AH53+7</f>
        <v>45463</v>
      </c>
      <c r="AK53" s="34">
        <f>AJ53+7</f>
        <v>45470</v>
      </c>
      <c r="AL53" s="34">
        <f>AK53+7</f>
        <v>45477</v>
      </c>
      <c r="AM53" s="34" t="s">
        <v>149</v>
      </c>
      <c r="AN53" s="34">
        <f>AL53+7</f>
        <v>45484</v>
      </c>
      <c r="AO53" s="34">
        <f>AN53+7</f>
        <v>45491</v>
      </c>
      <c r="AP53" s="34">
        <f>AO53+7</f>
        <v>45498</v>
      </c>
      <c r="AQ53" s="34" t="s">
        <v>149</v>
      </c>
      <c r="AR53" s="34">
        <f>AP53+7</f>
        <v>45505</v>
      </c>
      <c r="AS53" s="34">
        <f>AR53+7</f>
        <v>45512</v>
      </c>
      <c r="AT53" s="34">
        <f>AS53+7</f>
        <v>45519</v>
      </c>
      <c r="AU53" s="42" t="s">
        <v>149</v>
      </c>
      <c r="AV53" s="34">
        <f>AT53+7</f>
        <v>45526</v>
      </c>
      <c r="AW53" s="34">
        <f>AV53+7</f>
        <v>45533</v>
      </c>
      <c r="AX53" s="34">
        <f>AW53+7</f>
        <v>45540</v>
      </c>
      <c r="AY53" s="42" t="s">
        <v>149</v>
      </c>
      <c r="AZ53" s="34">
        <f>AX53+7</f>
        <v>45547</v>
      </c>
      <c r="BA53" s="34">
        <f>AZ53+7</f>
        <v>45554</v>
      </c>
      <c r="BB53" s="34">
        <f>BA53+7</f>
        <v>45561</v>
      </c>
      <c r="BC53" s="42" t="s">
        <v>149</v>
      </c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  <c r="CP53" s="42"/>
      <c r="CQ53" s="42"/>
      <c r="CR53" s="42"/>
      <c r="CS53" s="42"/>
      <c r="CT53" s="42"/>
      <c r="CU53" s="42"/>
      <c r="CV53" s="42"/>
      <c r="CW53" s="42"/>
      <c r="CX53" s="42"/>
      <c r="CY53" s="42"/>
      <c r="CZ53" s="42"/>
      <c r="DA53" s="42"/>
      <c r="DB53" s="42"/>
      <c r="DC53" s="42"/>
      <c r="DD53" s="42"/>
      <c r="DE53" s="42"/>
      <c r="DF53" s="42"/>
      <c r="DG53" s="42"/>
      <c r="DH53" s="42"/>
      <c r="DI53" s="42"/>
      <c r="DJ53" s="42"/>
      <c r="DK53" s="42"/>
      <c r="DL53" s="42"/>
      <c r="DM53" s="42"/>
      <c r="DN53" s="42"/>
      <c r="DO53" s="42"/>
      <c r="DP53" s="42"/>
      <c r="DQ53" s="42"/>
      <c r="DR53" s="42"/>
      <c r="DS53" s="42"/>
      <c r="DT53" s="34">
        <f>AX53+7</f>
        <v>45547</v>
      </c>
      <c r="DU53" s="34">
        <f>AW54+28</f>
        <v>28</v>
      </c>
      <c r="DV53" s="32">
        <f>EDATE(AW54,3)</f>
        <v>91</v>
      </c>
      <c r="DW53" s="32">
        <f>EDATE(DV53,3)</f>
        <v>182</v>
      </c>
      <c r="DX53" s="32">
        <f>EDATE(CA53,3)</f>
        <v>91</v>
      </c>
      <c r="DY53" s="32">
        <f t="shared" ref="DY53" si="143">EDATE(DX53,3)</f>
        <v>182</v>
      </c>
      <c r="DZ53" s="32">
        <f t="shared" ref="DZ53" si="144">EDATE(DY53,3)</f>
        <v>274</v>
      </c>
      <c r="EA53" s="32">
        <f t="shared" ref="EA53" si="145">EDATE(DZ53,3)</f>
        <v>365</v>
      </c>
      <c r="EB53" s="32">
        <f t="shared" ref="EB53" si="146">EDATE(EA53,3)</f>
        <v>455</v>
      </c>
      <c r="EC53" s="32">
        <f t="shared" ref="EC53" si="147">EDATE(EB53,3)</f>
        <v>547</v>
      </c>
      <c r="ED53" s="123"/>
      <c r="EE53" s="62"/>
      <c r="EF53" s="370"/>
      <c r="EG53" s="345"/>
      <c r="EH53" s="344"/>
    </row>
    <row r="54" spans="2:138" ht="31.15">
      <c r="B54" s="353"/>
      <c r="C54" s="341"/>
      <c r="D54" s="343"/>
      <c r="E54" s="343"/>
      <c r="F54" s="343"/>
      <c r="G54" s="343"/>
      <c r="H54" s="327" t="s">
        <v>150</v>
      </c>
      <c r="I54" s="87">
        <v>45317</v>
      </c>
      <c r="J54" s="88"/>
      <c r="K54" s="89">
        <v>45337</v>
      </c>
      <c r="L54" s="277" t="s">
        <v>148</v>
      </c>
      <c r="M54" s="31"/>
      <c r="N54" s="31"/>
      <c r="O54" s="327" t="s">
        <v>148</v>
      </c>
      <c r="P54" s="31"/>
      <c r="Q54" s="31"/>
      <c r="R54" s="31"/>
      <c r="S54" s="327" t="s">
        <v>148</v>
      </c>
      <c r="T54" s="31"/>
      <c r="U54" s="31"/>
      <c r="V54" s="31"/>
      <c r="W54" s="327" t="s">
        <v>148</v>
      </c>
      <c r="X54" s="31"/>
      <c r="Y54" s="31"/>
      <c r="Z54" s="31"/>
      <c r="AA54" s="327" t="s">
        <v>148</v>
      </c>
      <c r="AB54" s="31"/>
      <c r="AC54" s="31"/>
      <c r="AD54" s="31"/>
      <c r="AE54" s="327" t="s">
        <v>148</v>
      </c>
      <c r="AF54" s="31"/>
      <c r="AG54" s="31"/>
      <c r="AH54" s="31"/>
      <c r="AI54" s="327" t="s">
        <v>148</v>
      </c>
      <c r="AJ54" s="31"/>
      <c r="AK54" s="31"/>
      <c r="AL54" s="31"/>
      <c r="AM54" s="327" t="s">
        <v>148</v>
      </c>
      <c r="AN54" s="31"/>
      <c r="AO54" s="31"/>
      <c r="AP54" s="31"/>
      <c r="AQ54" s="327" t="s">
        <v>148</v>
      </c>
      <c r="AR54" s="31"/>
      <c r="AS54" s="31"/>
      <c r="AT54" s="31"/>
      <c r="AU54" s="328" t="s">
        <v>148</v>
      </c>
      <c r="AV54" s="31"/>
      <c r="AW54" s="31"/>
      <c r="AX54" s="31"/>
      <c r="AY54" s="328" t="s">
        <v>148</v>
      </c>
      <c r="AZ54" s="31"/>
      <c r="BA54" s="31"/>
      <c r="BB54" s="31"/>
      <c r="BC54" s="328" t="s">
        <v>148</v>
      </c>
      <c r="BD54" s="105"/>
      <c r="BE54" s="105"/>
      <c r="BF54" s="105"/>
      <c r="BG54" s="105"/>
      <c r="BH54" s="105"/>
      <c r="BI54" s="105"/>
      <c r="BJ54" s="105"/>
      <c r="BK54" s="105"/>
      <c r="BL54" s="105"/>
      <c r="BM54" s="105"/>
      <c r="BN54" s="105"/>
      <c r="BO54" s="105"/>
      <c r="BP54" s="105"/>
      <c r="BQ54" s="105"/>
      <c r="BR54" s="105"/>
      <c r="BS54" s="105"/>
      <c r="BT54" s="105"/>
      <c r="BU54" s="105"/>
      <c r="BV54" s="105"/>
      <c r="BW54" s="105"/>
      <c r="BX54" s="105"/>
      <c r="BY54" s="105"/>
      <c r="BZ54" s="105"/>
      <c r="CA54" s="105"/>
      <c r="CB54" s="105"/>
      <c r="CC54" s="105"/>
      <c r="CD54" s="105"/>
      <c r="CE54" s="105"/>
      <c r="CF54" s="105"/>
      <c r="CG54" s="105"/>
      <c r="CH54" s="105"/>
      <c r="CI54" s="105"/>
      <c r="CJ54" s="105"/>
      <c r="CK54" s="105"/>
      <c r="CL54" s="105"/>
      <c r="CM54" s="105"/>
      <c r="CN54" s="105"/>
      <c r="CO54" s="105"/>
      <c r="CP54" s="105"/>
      <c r="CQ54" s="105"/>
      <c r="CR54" s="105"/>
      <c r="CS54" s="105"/>
      <c r="CT54" s="105"/>
      <c r="CU54" s="105"/>
      <c r="CV54" s="105"/>
      <c r="CW54" s="105"/>
      <c r="CX54" s="105"/>
      <c r="CY54" s="105"/>
      <c r="CZ54" s="105"/>
      <c r="DA54" s="105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5"/>
      <c r="DO54" s="105"/>
      <c r="DP54" s="105"/>
      <c r="DQ54" s="105"/>
      <c r="DR54" s="105"/>
      <c r="DS54" s="105"/>
      <c r="DT54" s="31"/>
      <c r="DU54" s="31"/>
      <c r="DV54" s="327"/>
      <c r="DW54" s="327"/>
      <c r="DX54" s="327"/>
      <c r="DY54" s="327"/>
      <c r="DZ54" s="327"/>
      <c r="EA54" s="327"/>
      <c r="EB54" s="327"/>
      <c r="EC54" s="327"/>
      <c r="ED54" s="124"/>
      <c r="EE54" s="59"/>
      <c r="EF54" s="344"/>
      <c r="EG54" s="345"/>
      <c r="EH54" s="345"/>
    </row>
    <row r="55" spans="2:138" s="119" customFormat="1" ht="31.15">
      <c r="B55" s="352" t="s">
        <v>221</v>
      </c>
      <c r="C55" s="340" t="s">
        <v>234</v>
      </c>
      <c r="D55" s="342" t="s">
        <v>165</v>
      </c>
      <c r="E55" s="342" t="s">
        <v>235</v>
      </c>
      <c r="F55" s="342" t="s">
        <v>162</v>
      </c>
      <c r="G55" s="342" t="s">
        <v>148</v>
      </c>
      <c r="H55" s="32" t="s">
        <v>147</v>
      </c>
      <c r="I55" s="84">
        <v>45324</v>
      </c>
      <c r="J55" s="85"/>
      <c r="K55" s="31">
        <v>45337</v>
      </c>
      <c r="L55" s="276" t="s">
        <v>148</v>
      </c>
      <c r="M55" s="33">
        <f>K55+7</f>
        <v>45344</v>
      </c>
      <c r="N55" s="33">
        <f>M55+7</f>
        <v>45351</v>
      </c>
      <c r="O55" s="33" t="s">
        <v>149</v>
      </c>
      <c r="P55" s="33">
        <f>N55+7</f>
        <v>45358</v>
      </c>
      <c r="Q55" s="33">
        <f>P55+7</f>
        <v>45365</v>
      </c>
      <c r="R55" s="33">
        <f>Q55+7</f>
        <v>45372</v>
      </c>
      <c r="S55" s="34" t="s">
        <v>149</v>
      </c>
      <c r="T55" s="34">
        <f>R55+7</f>
        <v>45379</v>
      </c>
      <c r="U55" s="34">
        <f>T55+7</f>
        <v>45386</v>
      </c>
      <c r="V55" s="34">
        <f>U55+7</f>
        <v>45393</v>
      </c>
      <c r="W55" s="34" t="s">
        <v>149</v>
      </c>
      <c r="X55" s="34">
        <f>V55+7</f>
        <v>45400</v>
      </c>
      <c r="Y55" s="34">
        <f>X55+7</f>
        <v>45407</v>
      </c>
      <c r="Z55" s="34">
        <f>Y55+7</f>
        <v>45414</v>
      </c>
      <c r="AA55" s="34" t="s">
        <v>149</v>
      </c>
      <c r="AB55" s="34">
        <f>Z55+7</f>
        <v>45421</v>
      </c>
      <c r="AC55" s="34">
        <f>AB55+7</f>
        <v>45428</v>
      </c>
      <c r="AD55" s="34">
        <f>AC55+7</f>
        <v>45435</v>
      </c>
      <c r="AE55" s="34" t="s">
        <v>149</v>
      </c>
      <c r="AF55" s="34">
        <f>AD55+7</f>
        <v>45442</v>
      </c>
      <c r="AG55" s="34">
        <f>AF55+7</f>
        <v>45449</v>
      </c>
      <c r="AH55" s="34">
        <f>AG55+7</f>
        <v>45456</v>
      </c>
      <c r="AI55" s="34" t="s">
        <v>149</v>
      </c>
      <c r="AJ55" s="34">
        <f>AH55+7</f>
        <v>45463</v>
      </c>
      <c r="AK55" s="34">
        <f>AJ55+7</f>
        <v>45470</v>
      </c>
      <c r="AL55" s="34">
        <f>AK55+7</f>
        <v>45477</v>
      </c>
      <c r="AM55" s="34" t="s">
        <v>149</v>
      </c>
      <c r="AN55" s="34">
        <f>AL55+7</f>
        <v>45484</v>
      </c>
      <c r="AO55" s="34">
        <f>AN55+7</f>
        <v>45491</v>
      </c>
      <c r="AP55" s="34">
        <f>AO55+7</f>
        <v>45498</v>
      </c>
      <c r="AQ55" s="34" t="s">
        <v>149</v>
      </c>
      <c r="AR55" s="34">
        <f>AP55+7</f>
        <v>45505</v>
      </c>
      <c r="AS55" s="34">
        <f>AR55+7</f>
        <v>45512</v>
      </c>
      <c r="AT55" s="34">
        <f>AS55+7</f>
        <v>45519</v>
      </c>
      <c r="AU55" s="42" t="s">
        <v>149</v>
      </c>
      <c r="AV55" s="34">
        <f>AT55+7</f>
        <v>45526</v>
      </c>
      <c r="AW55" s="34">
        <f>AV55+7</f>
        <v>45533</v>
      </c>
      <c r="AX55" s="34">
        <f>AW55+7</f>
        <v>45540</v>
      </c>
      <c r="AY55" s="42" t="s">
        <v>149</v>
      </c>
      <c r="AZ55" s="34">
        <f>AX55+7</f>
        <v>45547</v>
      </c>
      <c r="BA55" s="34">
        <f>AZ55+7</f>
        <v>45554</v>
      </c>
      <c r="BB55" s="34">
        <f>BA55+7</f>
        <v>45561</v>
      </c>
      <c r="BC55" s="42" t="s">
        <v>149</v>
      </c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  <c r="CQ55" s="42"/>
      <c r="CR55" s="42"/>
      <c r="CS55" s="42"/>
      <c r="CT55" s="42"/>
      <c r="CU55" s="42"/>
      <c r="CV55" s="42"/>
      <c r="CW55" s="42"/>
      <c r="CX55" s="42"/>
      <c r="CY55" s="42"/>
      <c r="CZ55" s="42"/>
      <c r="DA55" s="42"/>
      <c r="DB55" s="42"/>
      <c r="DC55" s="42"/>
      <c r="DD55" s="42"/>
      <c r="DE55" s="42"/>
      <c r="DF55" s="42"/>
      <c r="DG55" s="42"/>
      <c r="DH55" s="42"/>
      <c r="DI55" s="42"/>
      <c r="DJ55" s="42"/>
      <c r="DK55" s="42"/>
      <c r="DL55" s="42"/>
      <c r="DM55" s="42"/>
      <c r="DN55" s="42"/>
      <c r="DO55" s="42"/>
      <c r="DP55" s="42"/>
      <c r="DQ55" s="42"/>
      <c r="DR55" s="42"/>
      <c r="DS55" s="42"/>
      <c r="DT55" s="34">
        <v>45094</v>
      </c>
      <c r="DU55" s="34">
        <v>45097</v>
      </c>
      <c r="DV55" s="32">
        <f>EDATE(AC56,3)</f>
        <v>45527</v>
      </c>
      <c r="DW55" s="32">
        <f>EDATE(DV55,3)</f>
        <v>45619</v>
      </c>
      <c r="DX55" s="32">
        <f t="shared" ref="DX55:EB55" si="148">EDATE(DW55,3)</f>
        <v>45711</v>
      </c>
      <c r="DY55" s="32">
        <f t="shared" si="148"/>
        <v>45800</v>
      </c>
      <c r="DZ55" s="32">
        <f t="shared" si="148"/>
        <v>45892</v>
      </c>
      <c r="EA55" s="32">
        <f t="shared" si="148"/>
        <v>45984</v>
      </c>
      <c r="EB55" s="32">
        <f t="shared" si="148"/>
        <v>46076</v>
      </c>
      <c r="EC55" s="32">
        <f t="shared" ref="EC55" si="149">EDATE(EB55,3)</f>
        <v>46165</v>
      </c>
      <c r="ED55" s="123"/>
      <c r="EE55" s="62"/>
      <c r="EF55" s="370"/>
      <c r="EG55" s="345"/>
      <c r="EH55" s="344"/>
    </row>
    <row r="56" spans="2:138" s="119" customFormat="1" ht="31.15">
      <c r="B56" s="353"/>
      <c r="C56" s="341"/>
      <c r="D56" s="343"/>
      <c r="E56" s="343"/>
      <c r="F56" s="343"/>
      <c r="G56" s="343"/>
      <c r="H56" s="327" t="s">
        <v>150</v>
      </c>
      <c r="I56" s="87">
        <v>45324</v>
      </c>
      <c r="J56" s="88"/>
      <c r="K56" s="89">
        <v>45337</v>
      </c>
      <c r="L56" s="277" t="s">
        <v>148</v>
      </c>
      <c r="M56" s="31">
        <v>45344</v>
      </c>
      <c r="N56" s="31" t="s">
        <v>170</v>
      </c>
      <c r="O56" s="327" t="s">
        <v>148</v>
      </c>
      <c r="P56" s="31">
        <v>45358</v>
      </c>
      <c r="Q56" s="31">
        <v>45365</v>
      </c>
      <c r="R56" s="31">
        <v>45372</v>
      </c>
      <c r="S56" s="327" t="s">
        <v>148</v>
      </c>
      <c r="T56" s="31">
        <v>45379</v>
      </c>
      <c r="U56" s="31">
        <v>45386</v>
      </c>
      <c r="V56" s="31">
        <v>45393</v>
      </c>
      <c r="W56" s="327" t="s">
        <v>148</v>
      </c>
      <c r="X56" s="31">
        <v>45407</v>
      </c>
      <c r="Y56" s="31">
        <v>45414</v>
      </c>
      <c r="Z56" s="31">
        <v>45421</v>
      </c>
      <c r="AA56" s="327" t="s">
        <v>148</v>
      </c>
      <c r="AB56" s="31">
        <v>45428</v>
      </c>
      <c r="AC56" s="31">
        <v>45435</v>
      </c>
      <c r="AD56" s="31">
        <v>45442</v>
      </c>
      <c r="AE56" s="327" t="s">
        <v>148</v>
      </c>
      <c r="AF56" s="31">
        <v>45450</v>
      </c>
      <c r="AG56" s="31">
        <v>45456</v>
      </c>
      <c r="AH56" s="31"/>
      <c r="AI56" s="327" t="s">
        <v>148</v>
      </c>
      <c r="AJ56" s="31"/>
      <c r="AK56" s="31"/>
      <c r="AL56" s="31"/>
      <c r="AM56" s="327" t="s">
        <v>148</v>
      </c>
      <c r="AN56" s="31"/>
      <c r="AO56" s="31"/>
      <c r="AP56" s="31"/>
      <c r="AQ56" s="327" t="s">
        <v>148</v>
      </c>
      <c r="AR56" s="31"/>
      <c r="AS56" s="31"/>
      <c r="AT56" s="31"/>
      <c r="AU56" s="328" t="s">
        <v>148</v>
      </c>
      <c r="AV56" s="31"/>
      <c r="AW56" s="31"/>
      <c r="AX56" s="31"/>
      <c r="AY56" s="328" t="s">
        <v>148</v>
      </c>
      <c r="AZ56" s="31"/>
      <c r="BA56" s="31"/>
      <c r="BB56" s="31"/>
      <c r="BC56" s="328" t="s">
        <v>148</v>
      </c>
      <c r="BD56" s="105"/>
      <c r="BE56" s="105"/>
      <c r="BF56" s="105"/>
      <c r="BG56" s="105"/>
      <c r="BH56" s="105"/>
      <c r="BI56" s="105"/>
      <c r="BJ56" s="105"/>
      <c r="BK56" s="105"/>
      <c r="BL56" s="105"/>
      <c r="BM56" s="105"/>
      <c r="BN56" s="105"/>
      <c r="BO56" s="105"/>
      <c r="BP56" s="105"/>
      <c r="BQ56" s="105"/>
      <c r="BR56" s="105"/>
      <c r="BS56" s="105"/>
      <c r="BT56" s="105"/>
      <c r="BU56" s="105"/>
      <c r="BV56" s="105"/>
      <c r="BW56" s="105"/>
      <c r="BX56" s="105"/>
      <c r="BY56" s="105"/>
      <c r="BZ56" s="105"/>
      <c r="CA56" s="105"/>
      <c r="CB56" s="105"/>
      <c r="CC56" s="105"/>
      <c r="CD56" s="105"/>
      <c r="CE56" s="105"/>
      <c r="CF56" s="105"/>
      <c r="CG56" s="105"/>
      <c r="CH56" s="105"/>
      <c r="CI56" s="105"/>
      <c r="CJ56" s="105"/>
      <c r="CK56" s="105"/>
      <c r="CL56" s="105"/>
      <c r="CM56" s="105"/>
      <c r="CN56" s="105"/>
      <c r="CO56" s="105"/>
      <c r="CP56" s="105"/>
      <c r="CQ56" s="105"/>
      <c r="CR56" s="105"/>
      <c r="CS56" s="105"/>
      <c r="CT56" s="105"/>
      <c r="CU56" s="105"/>
      <c r="CV56" s="105"/>
      <c r="CW56" s="105"/>
      <c r="CX56" s="105"/>
      <c r="CY56" s="105"/>
      <c r="CZ56" s="105"/>
      <c r="DA56" s="105"/>
      <c r="DB56" s="105"/>
      <c r="DC56" s="105"/>
      <c r="DD56" s="105"/>
      <c r="DE56" s="105"/>
      <c r="DF56" s="105"/>
      <c r="DG56" s="105"/>
      <c r="DH56" s="105"/>
      <c r="DI56" s="105"/>
      <c r="DJ56" s="105"/>
      <c r="DK56" s="105"/>
      <c r="DL56" s="105"/>
      <c r="DM56" s="105"/>
      <c r="DN56" s="105"/>
      <c r="DO56" s="105"/>
      <c r="DP56" s="105"/>
      <c r="DQ56" s="105"/>
      <c r="DR56" s="105"/>
      <c r="DS56" s="105"/>
      <c r="DT56" s="31">
        <v>45094</v>
      </c>
      <c r="DU56" s="31">
        <v>45094</v>
      </c>
      <c r="DV56" s="327">
        <v>45530</v>
      </c>
      <c r="DW56" s="327"/>
      <c r="DX56" s="327"/>
      <c r="DY56" s="327"/>
      <c r="DZ56" s="327"/>
      <c r="EA56" s="327"/>
      <c r="EB56" s="327"/>
      <c r="EC56" s="327"/>
      <c r="ED56" s="124"/>
      <c r="EE56" s="59"/>
      <c r="EF56" s="344"/>
      <c r="EG56" s="345"/>
      <c r="EH56" s="345"/>
    </row>
    <row r="57" spans="2:138" ht="31.15">
      <c r="B57" s="352" t="s">
        <v>236</v>
      </c>
      <c r="C57" s="340" t="s">
        <v>237</v>
      </c>
      <c r="D57" s="342" t="s">
        <v>143</v>
      </c>
      <c r="E57" s="342" t="s">
        <v>238</v>
      </c>
      <c r="F57" s="342" t="s">
        <v>229</v>
      </c>
      <c r="G57" s="342" t="s">
        <v>146</v>
      </c>
      <c r="H57" s="32" t="s">
        <v>147</v>
      </c>
      <c r="I57" s="84">
        <v>45286</v>
      </c>
      <c r="J57" s="85"/>
      <c r="K57" s="86"/>
      <c r="L57" s="276" t="s">
        <v>148</v>
      </c>
      <c r="M57" s="33">
        <f>K57+7</f>
        <v>7</v>
      </c>
      <c r="N57" s="33">
        <f>M57+7</f>
        <v>14</v>
      </c>
      <c r="O57" s="33" t="s">
        <v>149</v>
      </c>
      <c r="P57" s="33">
        <f>N57+7</f>
        <v>21</v>
      </c>
      <c r="Q57" s="33">
        <f>P57+7</f>
        <v>28</v>
      </c>
      <c r="R57" s="33">
        <f>Q57+7</f>
        <v>35</v>
      </c>
      <c r="S57" s="34" t="s">
        <v>149</v>
      </c>
      <c r="T57" s="34">
        <f>R57+7</f>
        <v>42</v>
      </c>
      <c r="U57" s="34">
        <f>T57+7</f>
        <v>49</v>
      </c>
      <c r="V57" s="34">
        <f>U57+7</f>
        <v>56</v>
      </c>
      <c r="W57" s="34" t="s">
        <v>149</v>
      </c>
      <c r="X57" s="34">
        <f>V57+7</f>
        <v>63</v>
      </c>
      <c r="Y57" s="34">
        <f>X57+7</f>
        <v>70</v>
      </c>
      <c r="Z57" s="34">
        <f>Y57+7</f>
        <v>77</v>
      </c>
      <c r="AA57" s="34" t="s">
        <v>149</v>
      </c>
      <c r="AB57" s="34">
        <f>Z57+7</f>
        <v>84</v>
      </c>
      <c r="AC57" s="34">
        <f>AB57+7</f>
        <v>91</v>
      </c>
      <c r="AD57" s="34">
        <f>AC57+7</f>
        <v>98</v>
      </c>
      <c r="AE57" s="34" t="s">
        <v>149</v>
      </c>
      <c r="AF57" s="34">
        <f>AD57+7</f>
        <v>105</v>
      </c>
      <c r="AG57" s="34">
        <f>AF57+7</f>
        <v>112</v>
      </c>
      <c r="AH57" s="34">
        <f>AG57+7</f>
        <v>119</v>
      </c>
      <c r="AI57" s="34" t="s">
        <v>149</v>
      </c>
      <c r="AJ57" s="34">
        <f>AH57+7</f>
        <v>126</v>
      </c>
      <c r="AK57" s="34">
        <f>AJ57+7</f>
        <v>133</v>
      </c>
      <c r="AL57" s="34">
        <f>AK57+7</f>
        <v>140</v>
      </c>
      <c r="AM57" s="34" t="s">
        <v>149</v>
      </c>
      <c r="AN57" s="34">
        <f>AL57+7</f>
        <v>147</v>
      </c>
      <c r="AO57" s="34">
        <f>AN57+7</f>
        <v>154</v>
      </c>
      <c r="AP57" s="34">
        <f>AO57+7</f>
        <v>161</v>
      </c>
      <c r="AQ57" s="34" t="s">
        <v>149</v>
      </c>
      <c r="AR57" s="34">
        <f>AP57+7</f>
        <v>168</v>
      </c>
      <c r="AS57" s="34">
        <f>AR57+7</f>
        <v>175</v>
      </c>
      <c r="AT57" s="34">
        <f>AS57+7</f>
        <v>182</v>
      </c>
      <c r="AU57" s="42" t="s">
        <v>149</v>
      </c>
      <c r="AV57" s="34">
        <f>AT57+7</f>
        <v>189</v>
      </c>
      <c r="AW57" s="34">
        <f>AV57+7</f>
        <v>196</v>
      </c>
      <c r="AX57" s="34">
        <f>AW57+7</f>
        <v>203</v>
      </c>
      <c r="AY57" s="42" t="s">
        <v>149</v>
      </c>
      <c r="AZ57" s="34">
        <f>AX57+7</f>
        <v>210</v>
      </c>
      <c r="BA57" s="34">
        <f>AZ57+7</f>
        <v>217</v>
      </c>
      <c r="BB57" s="34">
        <f>BA57+7</f>
        <v>224</v>
      </c>
      <c r="BC57" s="42" t="s">
        <v>149</v>
      </c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42"/>
      <c r="CO57" s="42"/>
      <c r="CP57" s="42"/>
      <c r="CQ57" s="42"/>
      <c r="CR57" s="42"/>
      <c r="CS57" s="42"/>
      <c r="CT57" s="42"/>
      <c r="CU57" s="42"/>
      <c r="CV57" s="42"/>
      <c r="CW57" s="42"/>
      <c r="CX57" s="42"/>
      <c r="CY57" s="42"/>
      <c r="CZ57" s="42"/>
      <c r="DA57" s="42"/>
      <c r="DB57" s="42"/>
      <c r="DC57" s="42"/>
      <c r="DD57" s="42"/>
      <c r="DE57" s="42"/>
      <c r="DF57" s="42"/>
      <c r="DG57" s="42"/>
      <c r="DH57" s="42"/>
      <c r="DI57" s="42"/>
      <c r="DJ57" s="42"/>
      <c r="DK57" s="42"/>
      <c r="DL57" s="42"/>
      <c r="DM57" s="42"/>
      <c r="DN57" s="42"/>
      <c r="DO57" s="42"/>
      <c r="DP57" s="42"/>
      <c r="DQ57" s="42"/>
      <c r="DR57" s="42"/>
      <c r="DS57" s="42"/>
      <c r="DT57" s="34">
        <f>AX57+7</f>
        <v>210</v>
      </c>
      <c r="DU57" s="34">
        <f>AW58+28</f>
        <v>28</v>
      </c>
      <c r="DV57" s="32">
        <f>EDATE(AW58,3)</f>
        <v>91</v>
      </c>
      <c r="DW57" s="32">
        <f>EDATE(DV57,3)</f>
        <v>182</v>
      </c>
      <c r="DX57" s="32">
        <f>EDATE(CA57,3)</f>
        <v>91</v>
      </c>
      <c r="DY57" s="32">
        <f t="shared" ref="DY57" si="150">EDATE(DX57,3)</f>
        <v>182</v>
      </c>
      <c r="DZ57" s="32">
        <f t="shared" ref="DZ57" si="151">EDATE(DY57,3)</f>
        <v>274</v>
      </c>
      <c r="EA57" s="32">
        <f t="shared" ref="EA57" si="152">EDATE(DZ57,3)</f>
        <v>365</v>
      </c>
      <c r="EB57" s="32">
        <f t="shared" ref="EB57" si="153">EDATE(EA57,3)</f>
        <v>455</v>
      </c>
      <c r="EC57" s="32">
        <f t="shared" ref="EC57" si="154">EDATE(EB57,3)</f>
        <v>547</v>
      </c>
      <c r="ED57" s="123"/>
      <c r="EE57" s="62"/>
      <c r="EF57" s="370"/>
      <c r="EG57" s="345"/>
      <c r="EH57" s="344"/>
    </row>
    <row r="58" spans="2:138" ht="31.15">
      <c r="B58" s="353"/>
      <c r="C58" s="341"/>
      <c r="D58" s="343"/>
      <c r="E58" s="343"/>
      <c r="F58" s="343"/>
      <c r="G58" s="343"/>
      <c r="H58" s="327" t="s">
        <v>150</v>
      </c>
      <c r="I58" s="87">
        <v>45286</v>
      </c>
      <c r="J58" s="88"/>
      <c r="K58" s="89"/>
      <c r="L58" s="277" t="s">
        <v>148</v>
      </c>
      <c r="M58" s="90"/>
      <c r="N58" s="83"/>
      <c r="O58" s="327" t="s">
        <v>148</v>
      </c>
      <c r="P58" s="90"/>
      <c r="Q58" s="90"/>
      <c r="R58" s="83"/>
      <c r="S58" s="327" t="s">
        <v>148</v>
      </c>
      <c r="T58" s="90"/>
      <c r="U58" s="90"/>
      <c r="V58" s="83"/>
      <c r="W58" s="327" t="s">
        <v>148</v>
      </c>
      <c r="X58" s="91"/>
      <c r="Y58" s="90"/>
      <c r="Z58" s="83"/>
      <c r="AA58" s="327" t="s">
        <v>148</v>
      </c>
      <c r="AB58" s="91"/>
      <c r="AC58" s="90"/>
      <c r="AD58" s="83"/>
      <c r="AE58" s="327" t="s">
        <v>148</v>
      </c>
      <c r="AF58" s="91"/>
      <c r="AG58" s="90"/>
      <c r="AH58" s="83"/>
      <c r="AI58" s="327" t="s">
        <v>148</v>
      </c>
      <c r="AJ58" s="91"/>
      <c r="AK58" s="90"/>
      <c r="AL58" s="83"/>
      <c r="AM58" s="327" t="s">
        <v>148</v>
      </c>
      <c r="AN58" s="91"/>
      <c r="AO58" s="90"/>
      <c r="AP58" s="83"/>
      <c r="AQ58" s="327" t="s">
        <v>148</v>
      </c>
      <c r="AR58" s="91"/>
      <c r="AS58" s="90"/>
      <c r="AT58" s="83"/>
      <c r="AU58" s="328" t="s">
        <v>148</v>
      </c>
      <c r="AV58" s="91"/>
      <c r="AW58" s="90"/>
      <c r="AX58" s="83"/>
      <c r="AY58" s="328" t="s">
        <v>148</v>
      </c>
      <c r="AZ58" s="91"/>
      <c r="BA58" s="90"/>
      <c r="BB58" s="83"/>
      <c r="BC58" s="328" t="s">
        <v>148</v>
      </c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  <c r="BZ58" s="61"/>
      <c r="CA58" s="61"/>
      <c r="CB58" s="61"/>
      <c r="CC58" s="61"/>
      <c r="CD58" s="61"/>
      <c r="CE58" s="61"/>
      <c r="CF58" s="61"/>
      <c r="CG58" s="61"/>
      <c r="CH58" s="61"/>
      <c r="CI58" s="61"/>
      <c r="CJ58" s="61"/>
      <c r="CK58" s="61"/>
      <c r="CL58" s="61"/>
      <c r="CM58" s="61"/>
      <c r="CN58" s="61"/>
      <c r="CO58" s="61"/>
      <c r="CP58" s="61"/>
      <c r="CQ58" s="61"/>
      <c r="CR58" s="61"/>
      <c r="CS58" s="61"/>
      <c r="CT58" s="61"/>
      <c r="CU58" s="61"/>
      <c r="CV58" s="61"/>
      <c r="CW58" s="61"/>
      <c r="CX58" s="61"/>
      <c r="CY58" s="61"/>
      <c r="CZ58" s="61"/>
      <c r="DA58" s="61"/>
      <c r="DB58" s="61"/>
      <c r="DC58" s="61"/>
      <c r="DD58" s="61"/>
      <c r="DE58" s="61"/>
      <c r="DF58" s="61"/>
      <c r="DG58" s="61"/>
      <c r="DH58" s="61"/>
      <c r="DI58" s="61"/>
      <c r="DJ58" s="61"/>
      <c r="DK58" s="61"/>
      <c r="DL58" s="61"/>
      <c r="DM58" s="61"/>
      <c r="DN58" s="61"/>
      <c r="DO58" s="61"/>
      <c r="DP58" s="61"/>
      <c r="DQ58" s="61"/>
      <c r="DR58" s="61"/>
      <c r="DS58" s="61"/>
      <c r="DT58" s="91"/>
      <c r="DU58" s="83"/>
      <c r="DV58" s="327"/>
      <c r="DW58" s="327"/>
      <c r="DX58" s="327"/>
      <c r="DY58" s="327"/>
      <c r="DZ58" s="327"/>
      <c r="EA58" s="327"/>
      <c r="EB58" s="327"/>
      <c r="EC58" s="327"/>
      <c r="ED58" s="124"/>
      <c r="EE58" s="59"/>
      <c r="EF58" s="344"/>
      <c r="EG58" s="345"/>
      <c r="EH58" s="345"/>
    </row>
    <row r="59" spans="2:138" ht="32.1" customHeight="1">
      <c r="B59" s="352" t="s">
        <v>221</v>
      </c>
      <c r="C59" s="340" t="s">
        <v>239</v>
      </c>
      <c r="D59" s="340" t="s">
        <v>157</v>
      </c>
      <c r="E59" s="340" t="s">
        <v>240</v>
      </c>
      <c r="F59" s="340" t="s">
        <v>229</v>
      </c>
      <c r="G59" s="340" t="s">
        <v>146</v>
      </c>
      <c r="H59" s="106" t="s">
        <v>147</v>
      </c>
      <c r="I59" s="107">
        <v>45350</v>
      </c>
      <c r="J59" s="108"/>
      <c r="K59" s="114">
        <v>45358</v>
      </c>
      <c r="L59" s="276" t="s">
        <v>148</v>
      </c>
      <c r="M59" s="106">
        <f>K59+7</f>
        <v>45365</v>
      </c>
      <c r="N59" s="106">
        <f>M59+7</f>
        <v>45372</v>
      </c>
      <c r="O59" s="106" t="s">
        <v>149</v>
      </c>
      <c r="P59" s="106">
        <f>N59+7</f>
        <v>45379</v>
      </c>
      <c r="Q59" s="106">
        <f>P59+7</f>
        <v>45386</v>
      </c>
      <c r="R59" s="106">
        <f>Q59+7</f>
        <v>45393</v>
      </c>
      <c r="S59" s="53" t="s">
        <v>149</v>
      </c>
      <c r="T59" s="53">
        <f>R59+7</f>
        <v>45400</v>
      </c>
      <c r="U59" s="53">
        <f>T59+7</f>
        <v>45407</v>
      </c>
      <c r="V59" s="53">
        <f>U59+7</f>
        <v>45414</v>
      </c>
      <c r="W59" s="53" t="s">
        <v>149</v>
      </c>
      <c r="X59" s="53">
        <f>V59+7</f>
        <v>45421</v>
      </c>
      <c r="Y59" s="53">
        <f>X59+7</f>
        <v>45428</v>
      </c>
      <c r="Z59" s="53">
        <f>Y59+7</f>
        <v>45435</v>
      </c>
      <c r="AA59" s="53" t="s">
        <v>149</v>
      </c>
      <c r="AB59" s="53">
        <f>Z59+7</f>
        <v>45442</v>
      </c>
      <c r="AC59" s="53">
        <f>AB59+7</f>
        <v>45449</v>
      </c>
      <c r="AD59" s="53">
        <f>AC59+7</f>
        <v>45456</v>
      </c>
      <c r="AE59" s="53" t="s">
        <v>149</v>
      </c>
      <c r="AF59" s="53">
        <f>AD59+7</f>
        <v>45463</v>
      </c>
      <c r="AG59" s="53">
        <f>AF59+7</f>
        <v>45470</v>
      </c>
      <c r="AH59" s="53">
        <f>AG59+7</f>
        <v>45477</v>
      </c>
      <c r="AI59" s="53" t="s">
        <v>149</v>
      </c>
      <c r="AJ59" s="53">
        <f>AH59+7</f>
        <v>45484</v>
      </c>
      <c r="AK59" s="53">
        <f>AJ59+7</f>
        <v>45491</v>
      </c>
      <c r="AL59" s="53">
        <f>AK59+7</f>
        <v>45498</v>
      </c>
      <c r="AM59" s="53" t="s">
        <v>149</v>
      </c>
      <c r="AN59" s="53">
        <f>AL59+7</f>
        <v>45505</v>
      </c>
      <c r="AO59" s="53">
        <f>AN59+7</f>
        <v>45512</v>
      </c>
      <c r="AP59" s="53">
        <f>AO59+7</f>
        <v>45519</v>
      </c>
      <c r="AQ59" s="53" t="s">
        <v>149</v>
      </c>
      <c r="AR59" s="53">
        <f>AP59+7</f>
        <v>45526</v>
      </c>
      <c r="AS59" s="53">
        <f>AR59+7</f>
        <v>45533</v>
      </c>
      <c r="AT59" s="53">
        <f>AS59+7</f>
        <v>45540</v>
      </c>
      <c r="AU59" s="332" t="s">
        <v>149</v>
      </c>
      <c r="AV59" s="53">
        <f>AT59+7</f>
        <v>45547</v>
      </c>
      <c r="AW59" s="53">
        <f>AV59+7</f>
        <v>45554</v>
      </c>
      <c r="AX59" s="53">
        <f>AW59+7</f>
        <v>45561</v>
      </c>
      <c r="AY59" s="332" t="s">
        <v>149</v>
      </c>
      <c r="AZ59" s="53">
        <f>AX59+7</f>
        <v>45568</v>
      </c>
      <c r="BA59" s="53">
        <f>AZ59+7</f>
        <v>45575</v>
      </c>
      <c r="BB59" s="53">
        <f>BA59+7</f>
        <v>45582</v>
      </c>
      <c r="BC59" s="332" t="s">
        <v>149</v>
      </c>
      <c r="BD59" s="332"/>
      <c r="BE59" s="332"/>
      <c r="BF59" s="332"/>
      <c r="BG59" s="332"/>
      <c r="BH59" s="332"/>
      <c r="BI59" s="332"/>
      <c r="BJ59" s="332"/>
      <c r="BK59" s="332"/>
      <c r="BL59" s="332"/>
      <c r="BM59" s="332"/>
      <c r="BN59" s="332"/>
      <c r="BO59" s="332"/>
      <c r="BP59" s="332"/>
      <c r="BQ59" s="332"/>
      <c r="BR59" s="332"/>
      <c r="BS59" s="332"/>
      <c r="BT59" s="332"/>
      <c r="BU59" s="332"/>
      <c r="BV59" s="332"/>
      <c r="BW59" s="332"/>
      <c r="BX59" s="332"/>
      <c r="BY59" s="332"/>
      <c r="BZ59" s="332"/>
      <c r="CA59" s="332"/>
      <c r="CB59" s="332"/>
      <c r="CC59" s="332"/>
      <c r="CD59" s="332"/>
      <c r="CE59" s="332"/>
      <c r="CF59" s="332"/>
      <c r="CG59" s="332"/>
      <c r="CH59" s="332"/>
      <c r="CI59" s="332"/>
      <c r="CJ59" s="332"/>
      <c r="CK59" s="332"/>
      <c r="CL59" s="332"/>
      <c r="CM59" s="332"/>
      <c r="CN59" s="332"/>
      <c r="CO59" s="332"/>
      <c r="CP59" s="332"/>
      <c r="CQ59" s="332"/>
      <c r="CR59" s="332"/>
      <c r="CS59" s="332"/>
      <c r="CT59" s="332"/>
      <c r="CU59" s="332"/>
      <c r="CV59" s="332"/>
      <c r="CW59" s="332"/>
      <c r="CX59" s="332"/>
      <c r="CY59" s="332"/>
      <c r="CZ59" s="332"/>
      <c r="DA59" s="332"/>
      <c r="DB59" s="332"/>
      <c r="DC59" s="332"/>
      <c r="DD59" s="332"/>
      <c r="DE59" s="332"/>
      <c r="DF59" s="332"/>
      <c r="DG59" s="332"/>
      <c r="DH59" s="332"/>
      <c r="DI59" s="332"/>
      <c r="DJ59" s="332"/>
      <c r="DK59" s="332"/>
      <c r="DL59" s="332"/>
      <c r="DM59" s="332"/>
      <c r="DN59" s="332"/>
      <c r="DO59" s="332"/>
      <c r="DP59" s="332"/>
      <c r="DQ59" s="332"/>
      <c r="DR59" s="332"/>
      <c r="DS59" s="332"/>
      <c r="DT59" s="53">
        <f>AX59+7</f>
        <v>45568</v>
      </c>
      <c r="DU59" s="53">
        <f>AW60+28</f>
        <v>28</v>
      </c>
      <c r="DV59" s="106">
        <f>EDATE(AW60,3)</f>
        <v>91</v>
      </c>
      <c r="DW59" s="106">
        <f>EDATE(DV59,3)</f>
        <v>182</v>
      </c>
      <c r="DX59" s="106">
        <f>EDATE(CA59,3)</f>
        <v>91</v>
      </c>
      <c r="DY59" s="106">
        <f t="shared" ref="DY59" si="155">EDATE(DX59,3)</f>
        <v>182</v>
      </c>
      <c r="DZ59" s="106">
        <f t="shared" ref="DZ59" si="156">EDATE(DY59,3)</f>
        <v>274</v>
      </c>
      <c r="EA59" s="106">
        <f t="shared" ref="EA59" si="157">EDATE(DZ59,3)</f>
        <v>365</v>
      </c>
      <c r="EB59" s="106">
        <f t="shared" ref="EB59" si="158">EDATE(EA59,3)</f>
        <v>455</v>
      </c>
      <c r="EC59" s="106">
        <f t="shared" ref="EC59" si="159">EDATE(EB59,3)</f>
        <v>547</v>
      </c>
      <c r="ED59" s="54"/>
      <c r="EE59" s="54"/>
      <c r="EF59" s="344"/>
      <c r="EG59" s="345"/>
      <c r="EH59" s="344"/>
    </row>
    <row r="60" spans="2:138" ht="31.15">
      <c r="B60" s="353"/>
      <c r="C60" s="341"/>
      <c r="D60" s="341"/>
      <c r="E60" s="341"/>
      <c r="F60" s="341"/>
      <c r="G60" s="341"/>
      <c r="H60" s="325" t="s">
        <v>150</v>
      </c>
      <c r="I60" s="110">
        <v>45350</v>
      </c>
      <c r="J60" s="111"/>
      <c r="K60" s="112" t="s">
        <v>148</v>
      </c>
      <c r="L60" s="277" t="s">
        <v>148</v>
      </c>
      <c r="M60" s="109"/>
      <c r="N60" s="109"/>
      <c r="O60" s="325"/>
      <c r="P60" s="109"/>
      <c r="Q60" s="109"/>
      <c r="R60" s="109"/>
      <c r="S60" s="325" t="s">
        <v>148</v>
      </c>
      <c r="T60" s="109"/>
      <c r="U60" s="109"/>
      <c r="V60" s="109"/>
      <c r="W60" s="325" t="s">
        <v>148</v>
      </c>
      <c r="X60" s="109"/>
      <c r="Y60" s="109"/>
      <c r="Z60" s="109"/>
      <c r="AA60" s="325" t="s">
        <v>148</v>
      </c>
      <c r="AB60" s="109"/>
      <c r="AC60" s="109"/>
      <c r="AD60" s="109"/>
      <c r="AE60" s="325" t="s">
        <v>148</v>
      </c>
      <c r="AF60" s="109"/>
      <c r="AG60" s="109"/>
      <c r="AH60" s="109"/>
      <c r="AI60" s="325" t="s">
        <v>148</v>
      </c>
      <c r="AJ60" s="109"/>
      <c r="AK60" s="109"/>
      <c r="AL60" s="109"/>
      <c r="AM60" s="325" t="s">
        <v>148</v>
      </c>
      <c r="AN60" s="109"/>
      <c r="AO60" s="109"/>
      <c r="AP60" s="109"/>
      <c r="AQ60" s="325" t="s">
        <v>148</v>
      </c>
      <c r="AR60" s="109"/>
      <c r="AS60" s="109"/>
      <c r="AT60" s="109"/>
      <c r="AU60" s="328" t="s">
        <v>148</v>
      </c>
      <c r="AV60" s="109"/>
      <c r="AW60" s="109"/>
      <c r="AX60" s="109"/>
      <c r="AY60" s="328" t="s">
        <v>148</v>
      </c>
      <c r="AZ60" s="109"/>
      <c r="BA60" s="109"/>
      <c r="BB60" s="109"/>
      <c r="BC60" s="328" t="s">
        <v>148</v>
      </c>
      <c r="BD60" s="105"/>
      <c r="BE60" s="105"/>
      <c r="BF60" s="105"/>
      <c r="BG60" s="105"/>
      <c r="BH60" s="105"/>
      <c r="BI60" s="105"/>
      <c r="BJ60" s="105"/>
      <c r="BK60" s="105"/>
      <c r="BL60" s="105"/>
      <c r="BM60" s="105"/>
      <c r="BN60" s="105"/>
      <c r="BO60" s="105"/>
      <c r="BP60" s="105"/>
      <c r="BQ60" s="105"/>
      <c r="BR60" s="105"/>
      <c r="BS60" s="105"/>
      <c r="BT60" s="105"/>
      <c r="BU60" s="105"/>
      <c r="BV60" s="105"/>
      <c r="BW60" s="105"/>
      <c r="BX60" s="105"/>
      <c r="BY60" s="105"/>
      <c r="BZ60" s="105"/>
      <c r="CA60" s="105"/>
      <c r="CB60" s="105"/>
      <c r="CC60" s="105"/>
      <c r="CD60" s="105"/>
      <c r="CE60" s="105"/>
      <c r="CF60" s="105"/>
      <c r="CG60" s="105"/>
      <c r="CH60" s="105"/>
      <c r="CI60" s="105"/>
      <c r="CJ60" s="105"/>
      <c r="CK60" s="105"/>
      <c r="CL60" s="105"/>
      <c r="CM60" s="105"/>
      <c r="CN60" s="105"/>
      <c r="CO60" s="105"/>
      <c r="CP60" s="105"/>
      <c r="CQ60" s="105"/>
      <c r="CR60" s="105"/>
      <c r="CS60" s="105"/>
      <c r="CT60" s="105"/>
      <c r="CU60" s="105"/>
      <c r="CV60" s="105"/>
      <c r="CW60" s="105"/>
      <c r="CX60" s="105"/>
      <c r="CY60" s="105"/>
      <c r="CZ60" s="105"/>
      <c r="DA60" s="105"/>
      <c r="DB60" s="105"/>
      <c r="DC60" s="105"/>
      <c r="DD60" s="105"/>
      <c r="DE60" s="105"/>
      <c r="DF60" s="105"/>
      <c r="DG60" s="105"/>
      <c r="DH60" s="105"/>
      <c r="DI60" s="105"/>
      <c r="DJ60" s="105"/>
      <c r="DK60" s="105"/>
      <c r="DL60" s="105"/>
      <c r="DM60" s="105"/>
      <c r="DN60" s="105"/>
      <c r="DO60" s="105"/>
      <c r="DP60" s="105"/>
      <c r="DQ60" s="105"/>
      <c r="DR60" s="105"/>
      <c r="DS60" s="105"/>
      <c r="DT60" s="109"/>
      <c r="DU60" s="109"/>
      <c r="DV60" s="325"/>
      <c r="DW60" s="325"/>
      <c r="DX60" s="325"/>
      <c r="DY60" s="325"/>
      <c r="DZ60" s="325"/>
      <c r="EA60" s="325"/>
      <c r="EB60" s="325"/>
      <c r="EC60" s="325"/>
      <c r="ED60" s="61"/>
      <c r="EE60" s="61"/>
      <c r="EF60" s="344"/>
      <c r="EG60" s="345"/>
      <c r="EH60" s="345"/>
    </row>
    <row r="61" spans="2:138" s="119" customFormat="1" ht="31.15">
      <c r="B61" s="352" t="s">
        <v>221</v>
      </c>
      <c r="C61" s="340" t="s">
        <v>241</v>
      </c>
      <c r="D61" s="340" t="s">
        <v>242</v>
      </c>
      <c r="E61" s="340" t="s">
        <v>243</v>
      </c>
      <c r="F61" s="340" t="s">
        <v>229</v>
      </c>
      <c r="G61" s="340" t="s">
        <v>146</v>
      </c>
      <c r="H61" s="106" t="s">
        <v>147</v>
      </c>
      <c r="I61" s="107">
        <v>45362</v>
      </c>
      <c r="J61" s="108"/>
      <c r="K61" s="109">
        <v>45372</v>
      </c>
      <c r="L61" s="276" t="s">
        <v>148</v>
      </c>
      <c r="M61" s="106">
        <f>K61+7</f>
        <v>45379</v>
      </c>
      <c r="N61" s="106">
        <f>M61+7</f>
        <v>45386</v>
      </c>
      <c r="O61" s="106" t="s">
        <v>149</v>
      </c>
      <c r="P61" s="106">
        <f>N61+7</f>
        <v>45393</v>
      </c>
      <c r="Q61" s="106">
        <f>P61+7</f>
        <v>45400</v>
      </c>
      <c r="R61" s="106">
        <f>Q61+7</f>
        <v>45407</v>
      </c>
      <c r="S61" s="53" t="s">
        <v>149</v>
      </c>
      <c r="T61" s="53">
        <f>R61+7</f>
        <v>45414</v>
      </c>
      <c r="U61" s="53">
        <f>T61+7</f>
        <v>45421</v>
      </c>
      <c r="V61" s="53">
        <f>U61+7</f>
        <v>45428</v>
      </c>
      <c r="W61" s="53" t="s">
        <v>149</v>
      </c>
      <c r="X61" s="53">
        <f>V61+7</f>
        <v>45435</v>
      </c>
      <c r="Y61" s="53">
        <f>X61+7</f>
        <v>45442</v>
      </c>
      <c r="Z61" s="53">
        <f>Y61+7</f>
        <v>45449</v>
      </c>
      <c r="AA61" s="53" t="s">
        <v>149</v>
      </c>
      <c r="AB61" s="53">
        <f>Z61+7</f>
        <v>45456</v>
      </c>
      <c r="AC61" s="53">
        <f>AB61+7</f>
        <v>45463</v>
      </c>
      <c r="AD61" s="53">
        <f>AC61+7</f>
        <v>45470</v>
      </c>
      <c r="AE61" s="53" t="s">
        <v>149</v>
      </c>
      <c r="AF61" s="53">
        <f>AD61+7</f>
        <v>45477</v>
      </c>
      <c r="AG61" s="53">
        <f>AF61+7</f>
        <v>45484</v>
      </c>
      <c r="AH61" s="53">
        <f>AG61+7</f>
        <v>45491</v>
      </c>
      <c r="AI61" s="53" t="s">
        <v>149</v>
      </c>
      <c r="AJ61" s="53">
        <f>AH61+7</f>
        <v>45498</v>
      </c>
      <c r="AK61" s="53">
        <f>AJ61+7</f>
        <v>45505</v>
      </c>
      <c r="AL61" s="53">
        <f>AK61+7</f>
        <v>45512</v>
      </c>
      <c r="AM61" s="53" t="s">
        <v>149</v>
      </c>
      <c r="AN61" s="53">
        <f>AL61+7</f>
        <v>45519</v>
      </c>
      <c r="AO61" s="53">
        <f>AN61+7</f>
        <v>45526</v>
      </c>
      <c r="AP61" s="53">
        <f>AO61+7</f>
        <v>45533</v>
      </c>
      <c r="AQ61" s="53" t="s">
        <v>149</v>
      </c>
      <c r="AR61" s="53">
        <f>AP61+7</f>
        <v>45540</v>
      </c>
      <c r="AS61" s="53">
        <f>AR61+7</f>
        <v>45547</v>
      </c>
      <c r="AT61" s="53">
        <f>AS61+7</f>
        <v>45554</v>
      </c>
      <c r="AU61" s="332" t="s">
        <v>149</v>
      </c>
      <c r="AV61" s="53">
        <f>AT61+7</f>
        <v>45561</v>
      </c>
      <c r="AW61" s="53">
        <f>AV61+7</f>
        <v>45568</v>
      </c>
      <c r="AX61" s="53">
        <f>AW61+7</f>
        <v>45575</v>
      </c>
      <c r="AY61" s="332" t="s">
        <v>149</v>
      </c>
      <c r="AZ61" s="53">
        <f>AX61+7</f>
        <v>45582</v>
      </c>
      <c r="BA61" s="53">
        <f>AZ61+7</f>
        <v>45589</v>
      </c>
      <c r="BB61" s="53">
        <f>BA61+7</f>
        <v>45596</v>
      </c>
      <c r="BC61" s="332" t="s">
        <v>149</v>
      </c>
      <c r="BD61" s="332"/>
      <c r="BE61" s="332"/>
      <c r="BF61" s="332"/>
      <c r="BG61" s="332"/>
      <c r="BH61" s="332"/>
      <c r="BI61" s="332"/>
      <c r="BJ61" s="332"/>
      <c r="BK61" s="332"/>
      <c r="BL61" s="332"/>
      <c r="BM61" s="332"/>
      <c r="BN61" s="332"/>
      <c r="BO61" s="332"/>
      <c r="BP61" s="332"/>
      <c r="BQ61" s="332"/>
      <c r="BR61" s="332"/>
      <c r="BS61" s="332"/>
      <c r="BT61" s="332"/>
      <c r="BU61" s="332"/>
      <c r="BV61" s="332"/>
      <c r="BW61" s="332"/>
      <c r="BX61" s="332"/>
      <c r="BY61" s="332"/>
      <c r="BZ61" s="332"/>
      <c r="CA61" s="332"/>
      <c r="CB61" s="332"/>
      <c r="CC61" s="332"/>
      <c r="CD61" s="332"/>
      <c r="CE61" s="332"/>
      <c r="CF61" s="332"/>
      <c r="CG61" s="332"/>
      <c r="CH61" s="332"/>
      <c r="CI61" s="332"/>
      <c r="CJ61" s="332"/>
      <c r="CK61" s="332"/>
      <c r="CL61" s="332"/>
      <c r="CM61" s="332"/>
      <c r="CN61" s="332"/>
      <c r="CO61" s="332"/>
      <c r="CP61" s="332"/>
      <c r="CQ61" s="332"/>
      <c r="CR61" s="332"/>
      <c r="CS61" s="332"/>
      <c r="CT61" s="332"/>
      <c r="CU61" s="332"/>
      <c r="CV61" s="332"/>
      <c r="CW61" s="332"/>
      <c r="CX61" s="332"/>
      <c r="CY61" s="332"/>
      <c r="CZ61" s="332"/>
      <c r="DA61" s="332"/>
      <c r="DB61" s="332"/>
      <c r="DC61" s="332"/>
      <c r="DD61" s="332"/>
      <c r="DE61" s="332"/>
      <c r="DF61" s="332"/>
      <c r="DG61" s="332"/>
      <c r="DH61" s="332"/>
      <c r="DI61" s="332"/>
      <c r="DJ61" s="332"/>
      <c r="DK61" s="332"/>
      <c r="DL61" s="332"/>
      <c r="DM61" s="332"/>
      <c r="DN61" s="332"/>
      <c r="DO61" s="332"/>
      <c r="DP61" s="332"/>
      <c r="DQ61" s="332"/>
      <c r="DR61" s="332"/>
      <c r="DS61" s="332"/>
      <c r="DT61" s="53">
        <f>AX61+7</f>
        <v>45582</v>
      </c>
      <c r="DU61" s="53">
        <f>AW62+28</f>
        <v>28</v>
      </c>
      <c r="DV61" s="106">
        <f>EDATE(AW62,3)</f>
        <v>91</v>
      </c>
      <c r="DW61" s="106">
        <f>EDATE(DV61,3)</f>
        <v>182</v>
      </c>
      <c r="DX61" s="106">
        <f>EDATE(CA61,3)</f>
        <v>91</v>
      </c>
      <c r="DY61" s="106">
        <f t="shared" ref="DY61" si="160">EDATE(DX61,3)</f>
        <v>182</v>
      </c>
      <c r="DZ61" s="106">
        <f t="shared" ref="DZ61" si="161">EDATE(DY61,3)</f>
        <v>274</v>
      </c>
      <c r="EA61" s="106">
        <f t="shared" ref="EA61" si="162">EDATE(DZ61,3)</f>
        <v>365</v>
      </c>
      <c r="EB61" s="106">
        <f t="shared" ref="EB61" si="163">EDATE(EA61,3)</f>
        <v>455</v>
      </c>
      <c r="EC61" s="106">
        <f t="shared" ref="EC61" si="164">EDATE(EB61,3)</f>
        <v>547</v>
      </c>
      <c r="ED61" s="54"/>
      <c r="EE61" s="54"/>
      <c r="EF61" s="344"/>
      <c r="EG61" s="345"/>
      <c r="EH61" s="344"/>
    </row>
    <row r="62" spans="2:138" s="119" customFormat="1" ht="31.15">
      <c r="B62" s="353"/>
      <c r="C62" s="341"/>
      <c r="D62" s="341"/>
      <c r="E62" s="341"/>
      <c r="F62" s="341"/>
      <c r="G62" s="341"/>
      <c r="H62" s="325" t="s">
        <v>150</v>
      </c>
      <c r="I62" s="110">
        <v>45362</v>
      </c>
      <c r="J62" s="111"/>
      <c r="K62" s="112"/>
      <c r="L62" s="277" t="s">
        <v>148</v>
      </c>
      <c r="M62" s="112"/>
      <c r="N62" s="112"/>
      <c r="O62" s="325"/>
      <c r="P62" s="112"/>
      <c r="Q62" s="112"/>
      <c r="R62" s="112"/>
      <c r="S62" s="325" t="s">
        <v>148</v>
      </c>
      <c r="T62" s="112"/>
      <c r="U62" s="112"/>
      <c r="V62" s="112"/>
      <c r="W62" s="325" t="s">
        <v>148</v>
      </c>
      <c r="X62" s="112"/>
      <c r="Y62" s="112"/>
      <c r="Z62" s="112"/>
      <c r="AA62" s="325" t="s">
        <v>148</v>
      </c>
      <c r="AB62" s="112"/>
      <c r="AC62" s="112"/>
      <c r="AD62" s="112"/>
      <c r="AE62" s="325" t="s">
        <v>148</v>
      </c>
      <c r="AF62" s="112"/>
      <c r="AG62" s="112"/>
      <c r="AH62" s="112"/>
      <c r="AI62" s="325" t="s">
        <v>148</v>
      </c>
      <c r="AJ62" s="112"/>
      <c r="AK62" s="112"/>
      <c r="AL62" s="112"/>
      <c r="AM62" s="325" t="s">
        <v>148</v>
      </c>
      <c r="AN62" s="112"/>
      <c r="AO62" s="112"/>
      <c r="AP62" s="112"/>
      <c r="AQ62" s="325" t="s">
        <v>148</v>
      </c>
      <c r="AR62" s="112"/>
      <c r="AS62" s="112"/>
      <c r="AT62" s="112"/>
      <c r="AU62" s="328" t="s">
        <v>148</v>
      </c>
      <c r="AV62" s="112"/>
      <c r="AW62" s="112"/>
      <c r="AX62" s="112"/>
      <c r="AY62" s="328" t="s">
        <v>148</v>
      </c>
      <c r="AZ62" s="112"/>
      <c r="BA62" s="112"/>
      <c r="BB62" s="112"/>
      <c r="BC62" s="328" t="s">
        <v>148</v>
      </c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12"/>
      <c r="DU62" s="134"/>
      <c r="DV62" s="325"/>
      <c r="DW62" s="325"/>
      <c r="DX62" s="325"/>
      <c r="DY62" s="325"/>
      <c r="DZ62" s="325"/>
      <c r="EA62" s="325"/>
      <c r="EB62" s="325"/>
      <c r="EC62" s="325"/>
      <c r="ED62" s="61"/>
      <c r="EE62" s="61"/>
      <c r="EF62" s="344"/>
      <c r="EG62" s="345"/>
      <c r="EH62" s="345"/>
    </row>
    <row r="63" spans="2:138" ht="31.15">
      <c r="B63" s="352" t="s">
        <v>215</v>
      </c>
      <c r="C63" s="340" t="s">
        <v>244</v>
      </c>
      <c r="D63" s="340" t="s">
        <v>199</v>
      </c>
      <c r="E63" s="340" t="s">
        <v>245</v>
      </c>
      <c r="F63" s="340" t="s">
        <v>210</v>
      </c>
      <c r="G63" s="340" t="s">
        <v>146</v>
      </c>
      <c r="H63" s="106" t="s">
        <v>147</v>
      </c>
      <c r="I63" s="107">
        <v>45376</v>
      </c>
      <c r="J63" s="108"/>
      <c r="K63" s="109">
        <v>45397</v>
      </c>
      <c r="L63" s="276" t="s">
        <v>148</v>
      </c>
      <c r="M63" s="106">
        <f>K63+7</f>
        <v>45404</v>
      </c>
      <c r="N63" s="106">
        <f>M63+7</f>
        <v>45411</v>
      </c>
      <c r="O63" s="106" t="s">
        <v>149</v>
      </c>
      <c r="P63" s="106">
        <f>N63+7</f>
        <v>45418</v>
      </c>
      <c r="Q63" s="106">
        <f>P63+7</f>
        <v>45425</v>
      </c>
      <c r="R63" s="106">
        <f>Q63+7</f>
        <v>45432</v>
      </c>
      <c r="S63" s="53" t="s">
        <v>149</v>
      </c>
      <c r="T63" s="53">
        <f>R63+7</f>
        <v>45439</v>
      </c>
      <c r="U63" s="53">
        <f>T63+7</f>
        <v>45446</v>
      </c>
      <c r="V63" s="53">
        <f>U63+7</f>
        <v>45453</v>
      </c>
      <c r="W63" s="53" t="s">
        <v>149</v>
      </c>
      <c r="X63" s="53">
        <f>V63+7</f>
        <v>45460</v>
      </c>
      <c r="Y63" s="53">
        <f>X63+7</f>
        <v>45467</v>
      </c>
      <c r="Z63" s="53">
        <f>Y63+7</f>
        <v>45474</v>
      </c>
      <c r="AA63" s="53" t="s">
        <v>149</v>
      </c>
      <c r="AB63" s="53">
        <f>Z63+7</f>
        <v>45481</v>
      </c>
      <c r="AC63" s="53">
        <f>AB63+7</f>
        <v>45488</v>
      </c>
      <c r="AD63" s="53">
        <f>AC63+7</f>
        <v>45495</v>
      </c>
      <c r="AE63" s="53" t="s">
        <v>149</v>
      </c>
      <c r="AF63" s="53">
        <f>AD63+7</f>
        <v>45502</v>
      </c>
      <c r="AG63" s="53">
        <f>AF63+7</f>
        <v>45509</v>
      </c>
      <c r="AH63" s="53">
        <f>AG63+7</f>
        <v>45516</v>
      </c>
      <c r="AI63" s="53" t="s">
        <v>149</v>
      </c>
      <c r="AJ63" s="53">
        <f>AH63+7</f>
        <v>45523</v>
      </c>
      <c r="AK63" s="53">
        <f>AJ63+7</f>
        <v>45530</v>
      </c>
      <c r="AL63" s="53">
        <f>AK63+7</f>
        <v>45537</v>
      </c>
      <c r="AM63" s="53" t="s">
        <v>149</v>
      </c>
      <c r="AN63" s="53">
        <f>AL63+7</f>
        <v>45544</v>
      </c>
      <c r="AO63" s="53">
        <f>AN63+7</f>
        <v>45551</v>
      </c>
      <c r="AP63" s="53">
        <f>AO63+7</f>
        <v>45558</v>
      </c>
      <c r="AQ63" s="53" t="s">
        <v>149</v>
      </c>
      <c r="AR63" s="53">
        <f>AP63+7</f>
        <v>45565</v>
      </c>
      <c r="AS63" s="53">
        <f>AR63+7</f>
        <v>45572</v>
      </c>
      <c r="AT63" s="53">
        <f>AS63+7</f>
        <v>45579</v>
      </c>
      <c r="AU63" s="332" t="s">
        <v>149</v>
      </c>
      <c r="AV63" s="53">
        <f>AT63+7</f>
        <v>45586</v>
      </c>
      <c r="AW63" s="53">
        <f>AV63+7</f>
        <v>45593</v>
      </c>
      <c r="AX63" s="53">
        <f>AW63+7</f>
        <v>45600</v>
      </c>
      <c r="AY63" s="332" t="s">
        <v>149</v>
      </c>
      <c r="AZ63" s="53">
        <f>AX63+7</f>
        <v>45607</v>
      </c>
      <c r="BA63" s="53">
        <f>AZ63+7</f>
        <v>45614</v>
      </c>
      <c r="BB63" s="53">
        <f>BA63+7</f>
        <v>45621</v>
      </c>
      <c r="BC63" s="332" t="s">
        <v>149</v>
      </c>
      <c r="BD63" s="332"/>
      <c r="BE63" s="332"/>
      <c r="BF63" s="332"/>
      <c r="BG63" s="332"/>
      <c r="BH63" s="332"/>
      <c r="BI63" s="332"/>
      <c r="BJ63" s="332"/>
      <c r="BK63" s="332"/>
      <c r="BL63" s="332"/>
      <c r="BM63" s="332"/>
      <c r="BN63" s="332"/>
      <c r="BO63" s="332"/>
      <c r="BP63" s="332"/>
      <c r="BQ63" s="332"/>
      <c r="BR63" s="332"/>
      <c r="BS63" s="332"/>
      <c r="BT63" s="332"/>
      <c r="BU63" s="332"/>
      <c r="BV63" s="332"/>
      <c r="BW63" s="332"/>
      <c r="BX63" s="332"/>
      <c r="BY63" s="332"/>
      <c r="BZ63" s="332"/>
      <c r="CA63" s="332"/>
      <c r="CB63" s="332"/>
      <c r="CC63" s="332"/>
      <c r="CD63" s="332"/>
      <c r="CE63" s="332"/>
      <c r="CF63" s="332"/>
      <c r="CG63" s="332"/>
      <c r="CH63" s="332"/>
      <c r="CI63" s="332"/>
      <c r="CJ63" s="332"/>
      <c r="CK63" s="332"/>
      <c r="CL63" s="332"/>
      <c r="CM63" s="332"/>
      <c r="CN63" s="332"/>
      <c r="CO63" s="332"/>
      <c r="CP63" s="332"/>
      <c r="CQ63" s="332"/>
      <c r="CR63" s="332"/>
      <c r="CS63" s="332"/>
      <c r="CT63" s="332"/>
      <c r="CU63" s="332"/>
      <c r="CV63" s="332"/>
      <c r="CW63" s="332"/>
      <c r="CX63" s="332"/>
      <c r="CY63" s="332"/>
      <c r="CZ63" s="332"/>
      <c r="DA63" s="332"/>
      <c r="DB63" s="332"/>
      <c r="DC63" s="332"/>
      <c r="DD63" s="332"/>
      <c r="DE63" s="332"/>
      <c r="DF63" s="332"/>
      <c r="DG63" s="332"/>
      <c r="DH63" s="332"/>
      <c r="DI63" s="332"/>
      <c r="DJ63" s="332"/>
      <c r="DK63" s="332"/>
      <c r="DL63" s="332"/>
      <c r="DM63" s="332"/>
      <c r="DN63" s="332"/>
      <c r="DO63" s="332"/>
      <c r="DP63" s="332"/>
      <c r="DQ63" s="332"/>
      <c r="DR63" s="332"/>
      <c r="DS63" s="332"/>
      <c r="DT63" s="53">
        <v>45455</v>
      </c>
      <c r="DU63" s="53">
        <v>45469</v>
      </c>
      <c r="DV63" s="106">
        <f>EDATE(T64,3)</f>
        <v>45533</v>
      </c>
      <c r="DW63" s="106">
        <f>EDATE(DV63,3)</f>
        <v>45625</v>
      </c>
      <c r="DX63" s="106">
        <f>EDATE(CA63,3)</f>
        <v>91</v>
      </c>
      <c r="DY63" s="106">
        <f t="shared" ref="DY63" si="165">EDATE(DX63,3)</f>
        <v>182</v>
      </c>
      <c r="DZ63" s="106">
        <f t="shared" ref="DZ63" si="166">EDATE(DY63,3)</f>
        <v>274</v>
      </c>
      <c r="EA63" s="106">
        <f t="shared" ref="EA63" si="167">EDATE(DZ63,3)</f>
        <v>365</v>
      </c>
      <c r="EB63" s="106">
        <f t="shared" ref="EB63" si="168">EDATE(EA63,3)</f>
        <v>455</v>
      </c>
      <c r="EC63" s="106">
        <f t="shared" ref="EC63" si="169">EDATE(EB63,3)</f>
        <v>547</v>
      </c>
      <c r="ED63" s="54"/>
      <c r="EE63" s="54"/>
      <c r="EF63" s="344"/>
      <c r="EG63" s="345"/>
      <c r="EH63" s="344"/>
    </row>
    <row r="64" spans="2:138" ht="31.15">
      <c r="B64" s="353"/>
      <c r="C64" s="341"/>
      <c r="D64" s="341"/>
      <c r="E64" s="341"/>
      <c r="F64" s="341"/>
      <c r="G64" s="341"/>
      <c r="H64" s="325" t="s">
        <v>150</v>
      </c>
      <c r="I64" s="110">
        <v>45376</v>
      </c>
      <c r="J64" s="111"/>
      <c r="K64" s="112">
        <v>45397</v>
      </c>
      <c r="L64" s="277" t="s">
        <v>148</v>
      </c>
      <c r="M64" s="112">
        <v>45404</v>
      </c>
      <c r="N64" s="112">
        <v>45411</v>
      </c>
      <c r="O64" s="325" t="s">
        <v>148</v>
      </c>
      <c r="P64" s="112">
        <v>45419</v>
      </c>
      <c r="Q64" s="112">
        <v>45426</v>
      </c>
      <c r="R64" s="112">
        <v>45432</v>
      </c>
      <c r="S64" s="325" t="s">
        <v>148</v>
      </c>
      <c r="T64" s="139">
        <v>45441</v>
      </c>
      <c r="U64" s="112" t="s">
        <v>181</v>
      </c>
      <c r="V64" s="112"/>
      <c r="W64" s="325" t="s">
        <v>148</v>
      </c>
      <c r="X64" s="112"/>
      <c r="Y64" s="112"/>
      <c r="Z64" s="112"/>
      <c r="AA64" s="325" t="s">
        <v>148</v>
      </c>
      <c r="AB64" s="112"/>
      <c r="AC64" s="112"/>
      <c r="AD64" s="112"/>
      <c r="AE64" s="325" t="s">
        <v>148</v>
      </c>
      <c r="AF64" s="112"/>
      <c r="AG64" s="112"/>
      <c r="AH64" s="112"/>
      <c r="AI64" s="325" t="s">
        <v>148</v>
      </c>
      <c r="AJ64" s="112"/>
      <c r="AK64" s="112"/>
      <c r="AL64" s="112"/>
      <c r="AM64" s="325" t="s">
        <v>148</v>
      </c>
      <c r="AN64" s="112"/>
      <c r="AO64" s="112"/>
      <c r="AP64" s="112"/>
      <c r="AQ64" s="325" t="s">
        <v>148</v>
      </c>
      <c r="AR64" s="112"/>
      <c r="AS64" s="112"/>
      <c r="AT64" s="112"/>
      <c r="AU64" s="328" t="s">
        <v>148</v>
      </c>
      <c r="AV64" s="112"/>
      <c r="AW64" s="112"/>
      <c r="AX64" s="112"/>
      <c r="AY64" s="328" t="s">
        <v>148</v>
      </c>
      <c r="AZ64" s="112"/>
      <c r="BA64" s="112"/>
      <c r="BB64" s="112"/>
      <c r="BC64" s="328" t="s">
        <v>148</v>
      </c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12">
        <v>45455</v>
      </c>
      <c r="DU64" s="134" t="s">
        <v>183</v>
      </c>
      <c r="DV64" s="325" t="s">
        <v>148</v>
      </c>
      <c r="DW64" s="325"/>
      <c r="DX64" s="325"/>
      <c r="DY64" s="325"/>
      <c r="DZ64" s="325"/>
      <c r="EA64" s="325"/>
      <c r="EB64" s="325"/>
      <c r="EC64" s="325"/>
      <c r="ED64" s="61"/>
      <c r="EE64" s="61"/>
      <c r="EF64" s="344"/>
      <c r="EG64" s="345"/>
      <c r="EH64" s="345"/>
    </row>
    <row r="65" spans="1:138" s="119" customFormat="1" ht="31.15">
      <c r="B65" s="352" t="s">
        <v>215</v>
      </c>
      <c r="C65" s="340" t="s">
        <v>246</v>
      </c>
      <c r="D65" s="340" t="s">
        <v>208</v>
      </c>
      <c r="E65" s="340" t="s">
        <v>247</v>
      </c>
      <c r="F65" s="340" t="s">
        <v>229</v>
      </c>
      <c r="G65" s="340" t="s">
        <v>146</v>
      </c>
      <c r="H65" s="106" t="s">
        <v>147</v>
      </c>
      <c r="I65" s="107">
        <v>45376</v>
      </c>
      <c r="J65" s="108"/>
      <c r="K65" s="109" t="s">
        <v>248</v>
      </c>
      <c r="L65" s="276" t="s">
        <v>148</v>
      </c>
      <c r="M65" s="106" t="e">
        <f>K65+7</f>
        <v>#VALUE!</v>
      </c>
      <c r="N65" s="106" t="e">
        <f>M65+7</f>
        <v>#VALUE!</v>
      </c>
      <c r="O65" s="106" t="s">
        <v>149</v>
      </c>
      <c r="P65" s="106" t="e">
        <f>N65+7</f>
        <v>#VALUE!</v>
      </c>
      <c r="Q65" s="106" t="e">
        <f>P65+7</f>
        <v>#VALUE!</v>
      </c>
      <c r="R65" s="106" t="e">
        <f>Q65+7</f>
        <v>#VALUE!</v>
      </c>
      <c r="S65" s="53" t="s">
        <v>149</v>
      </c>
      <c r="T65" s="53" t="e">
        <f>R65+7</f>
        <v>#VALUE!</v>
      </c>
      <c r="U65" s="53" t="e">
        <f>T65+7</f>
        <v>#VALUE!</v>
      </c>
      <c r="V65" s="53" t="e">
        <f>U65+7</f>
        <v>#VALUE!</v>
      </c>
      <c r="W65" s="53" t="s">
        <v>149</v>
      </c>
      <c r="X65" s="53" t="e">
        <f>V65+7</f>
        <v>#VALUE!</v>
      </c>
      <c r="Y65" s="53" t="e">
        <f>X65+7</f>
        <v>#VALUE!</v>
      </c>
      <c r="Z65" s="53" t="e">
        <f>Y65+7</f>
        <v>#VALUE!</v>
      </c>
      <c r="AA65" s="53" t="s">
        <v>149</v>
      </c>
      <c r="AB65" s="53" t="e">
        <f>Z65+7</f>
        <v>#VALUE!</v>
      </c>
      <c r="AC65" s="53" t="e">
        <f>AB65+7</f>
        <v>#VALUE!</v>
      </c>
      <c r="AD65" s="53" t="e">
        <f>AC65+7</f>
        <v>#VALUE!</v>
      </c>
      <c r="AE65" s="53" t="s">
        <v>149</v>
      </c>
      <c r="AF65" s="53" t="e">
        <f>AD65+7</f>
        <v>#VALUE!</v>
      </c>
      <c r="AG65" s="53" t="e">
        <f>AF65+7</f>
        <v>#VALUE!</v>
      </c>
      <c r="AH65" s="53" t="e">
        <f>AG65+7</f>
        <v>#VALUE!</v>
      </c>
      <c r="AI65" s="53" t="s">
        <v>149</v>
      </c>
      <c r="AJ65" s="53" t="e">
        <f>AH65+7</f>
        <v>#VALUE!</v>
      </c>
      <c r="AK65" s="53" t="e">
        <f>AJ65+7</f>
        <v>#VALUE!</v>
      </c>
      <c r="AL65" s="53" t="e">
        <f>AK65+7</f>
        <v>#VALUE!</v>
      </c>
      <c r="AM65" s="53" t="s">
        <v>149</v>
      </c>
      <c r="AN65" s="53" t="e">
        <f>AL65+7</f>
        <v>#VALUE!</v>
      </c>
      <c r="AO65" s="53" t="e">
        <f>AN65+7</f>
        <v>#VALUE!</v>
      </c>
      <c r="AP65" s="53" t="e">
        <f>AO65+7</f>
        <v>#VALUE!</v>
      </c>
      <c r="AQ65" s="53" t="s">
        <v>149</v>
      </c>
      <c r="AR65" s="53" t="e">
        <f>AP65+7</f>
        <v>#VALUE!</v>
      </c>
      <c r="AS65" s="53" t="e">
        <f>AR65+7</f>
        <v>#VALUE!</v>
      </c>
      <c r="AT65" s="53" t="e">
        <f>AS65+7</f>
        <v>#VALUE!</v>
      </c>
      <c r="AU65" s="332" t="s">
        <v>149</v>
      </c>
      <c r="AV65" s="53" t="e">
        <f>AT65+7</f>
        <v>#VALUE!</v>
      </c>
      <c r="AW65" s="53" t="e">
        <f>AV65+7</f>
        <v>#VALUE!</v>
      </c>
      <c r="AX65" s="53" t="e">
        <f>AW65+7</f>
        <v>#VALUE!</v>
      </c>
      <c r="AY65" s="332" t="s">
        <v>149</v>
      </c>
      <c r="AZ65" s="53" t="e">
        <f>AX65+7</f>
        <v>#VALUE!</v>
      </c>
      <c r="BA65" s="53" t="e">
        <f>AZ65+7</f>
        <v>#VALUE!</v>
      </c>
      <c r="BB65" s="53" t="e">
        <f>BA65+7</f>
        <v>#VALUE!</v>
      </c>
      <c r="BC65" s="332" t="s">
        <v>149</v>
      </c>
      <c r="BD65" s="332"/>
      <c r="BE65" s="332"/>
      <c r="BF65" s="332"/>
      <c r="BG65" s="332"/>
      <c r="BH65" s="332"/>
      <c r="BI65" s="332"/>
      <c r="BJ65" s="332"/>
      <c r="BK65" s="332"/>
      <c r="BL65" s="332"/>
      <c r="BM65" s="332"/>
      <c r="BN65" s="332"/>
      <c r="BO65" s="332"/>
      <c r="BP65" s="332"/>
      <c r="BQ65" s="332"/>
      <c r="BR65" s="332"/>
      <c r="BS65" s="332"/>
      <c r="BT65" s="332"/>
      <c r="BU65" s="332"/>
      <c r="BV65" s="332"/>
      <c r="BW65" s="332"/>
      <c r="BX65" s="332"/>
      <c r="BY65" s="332"/>
      <c r="BZ65" s="332"/>
      <c r="CA65" s="332"/>
      <c r="CB65" s="332"/>
      <c r="CC65" s="332"/>
      <c r="CD65" s="332"/>
      <c r="CE65" s="332"/>
      <c r="CF65" s="332"/>
      <c r="CG65" s="332"/>
      <c r="CH65" s="332"/>
      <c r="CI65" s="332"/>
      <c r="CJ65" s="332"/>
      <c r="CK65" s="332"/>
      <c r="CL65" s="332"/>
      <c r="CM65" s="332"/>
      <c r="CN65" s="332"/>
      <c r="CO65" s="332"/>
      <c r="CP65" s="332"/>
      <c r="CQ65" s="332"/>
      <c r="CR65" s="332"/>
      <c r="CS65" s="332"/>
      <c r="CT65" s="332"/>
      <c r="CU65" s="332"/>
      <c r="CV65" s="332"/>
      <c r="CW65" s="332"/>
      <c r="CX65" s="332"/>
      <c r="CY65" s="332"/>
      <c r="CZ65" s="332"/>
      <c r="DA65" s="332"/>
      <c r="DB65" s="332"/>
      <c r="DC65" s="332"/>
      <c r="DD65" s="332"/>
      <c r="DE65" s="332"/>
      <c r="DF65" s="332"/>
      <c r="DG65" s="332"/>
      <c r="DH65" s="332"/>
      <c r="DI65" s="332"/>
      <c r="DJ65" s="332"/>
      <c r="DK65" s="332"/>
      <c r="DL65" s="332"/>
      <c r="DM65" s="332"/>
      <c r="DN65" s="332"/>
      <c r="DO65" s="332"/>
      <c r="DP65" s="332"/>
      <c r="DQ65" s="332"/>
      <c r="DR65" s="332"/>
      <c r="DS65" s="332"/>
      <c r="DT65" s="53" t="e">
        <f>AX65+7</f>
        <v>#VALUE!</v>
      </c>
      <c r="DU65" s="53">
        <f>AW66+28</f>
        <v>28</v>
      </c>
      <c r="DV65" s="106">
        <f>EDATE(AW66,3)</f>
        <v>91</v>
      </c>
      <c r="DW65" s="106">
        <f>EDATE(DV65,3)</f>
        <v>182</v>
      </c>
      <c r="DX65" s="106">
        <f>EDATE(CA65,3)</f>
        <v>91</v>
      </c>
      <c r="DY65" s="106">
        <f t="shared" ref="DY65" si="170">EDATE(DX65,3)</f>
        <v>182</v>
      </c>
      <c r="DZ65" s="106">
        <f t="shared" ref="DZ65" si="171">EDATE(DY65,3)</f>
        <v>274</v>
      </c>
      <c r="EA65" s="106">
        <f t="shared" ref="EA65" si="172">EDATE(DZ65,3)</f>
        <v>365</v>
      </c>
      <c r="EB65" s="106">
        <f t="shared" ref="EB65" si="173">EDATE(EA65,3)</f>
        <v>455</v>
      </c>
      <c r="EC65" s="106">
        <f t="shared" ref="EC65" si="174">EDATE(EB65,3)</f>
        <v>547</v>
      </c>
      <c r="ED65" s="54"/>
      <c r="EE65" s="54"/>
      <c r="EF65" s="344"/>
      <c r="EG65" s="345"/>
      <c r="EH65" s="344"/>
    </row>
    <row r="66" spans="1:138" s="119" customFormat="1" ht="31.15">
      <c r="B66" s="353"/>
      <c r="C66" s="341"/>
      <c r="D66" s="341"/>
      <c r="E66" s="341"/>
      <c r="F66" s="341"/>
      <c r="G66" s="341"/>
      <c r="H66" s="325" t="s">
        <v>150</v>
      </c>
      <c r="I66" s="110">
        <v>45377</v>
      </c>
      <c r="J66" s="111"/>
      <c r="K66" s="112"/>
      <c r="L66" s="277" t="s">
        <v>148</v>
      </c>
      <c r="M66" s="112"/>
      <c r="N66" s="112"/>
      <c r="O66" s="325"/>
      <c r="P66" s="112"/>
      <c r="Q66" s="112"/>
      <c r="R66" s="112"/>
      <c r="S66" s="325" t="s">
        <v>148</v>
      </c>
      <c r="T66" s="112"/>
      <c r="U66" s="112"/>
      <c r="V66" s="112"/>
      <c r="W66" s="325" t="s">
        <v>148</v>
      </c>
      <c r="X66" s="112"/>
      <c r="Y66" s="112"/>
      <c r="Z66" s="112"/>
      <c r="AA66" s="325" t="s">
        <v>148</v>
      </c>
      <c r="AB66" s="112"/>
      <c r="AC66" s="112"/>
      <c r="AD66" s="112"/>
      <c r="AE66" s="325" t="s">
        <v>148</v>
      </c>
      <c r="AF66" s="112"/>
      <c r="AG66" s="112"/>
      <c r="AH66" s="112"/>
      <c r="AI66" s="325" t="s">
        <v>148</v>
      </c>
      <c r="AJ66" s="112"/>
      <c r="AK66" s="112"/>
      <c r="AL66" s="112"/>
      <c r="AM66" s="325" t="s">
        <v>148</v>
      </c>
      <c r="AN66" s="112"/>
      <c r="AO66" s="112"/>
      <c r="AP66" s="112"/>
      <c r="AQ66" s="325" t="s">
        <v>148</v>
      </c>
      <c r="AR66" s="112"/>
      <c r="AS66" s="112"/>
      <c r="AT66" s="112"/>
      <c r="AU66" s="328" t="s">
        <v>148</v>
      </c>
      <c r="AV66" s="112"/>
      <c r="AW66" s="112"/>
      <c r="AX66" s="112"/>
      <c r="AY66" s="328" t="s">
        <v>148</v>
      </c>
      <c r="AZ66" s="112"/>
      <c r="BA66" s="112"/>
      <c r="BB66" s="112"/>
      <c r="BC66" s="328" t="s">
        <v>148</v>
      </c>
      <c r="BD66" s="121"/>
      <c r="BE66" s="121"/>
      <c r="BF66" s="121"/>
      <c r="BG66" s="121"/>
      <c r="BH66" s="121"/>
      <c r="BI66" s="121"/>
      <c r="BJ66" s="121"/>
      <c r="BK66" s="121"/>
      <c r="BL66" s="121"/>
      <c r="BM66" s="121"/>
      <c r="BN66" s="121"/>
      <c r="BO66" s="121"/>
      <c r="BP66" s="121"/>
      <c r="BQ66" s="121"/>
      <c r="BR66" s="121"/>
      <c r="BS66" s="121"/>
      <c r="BT66" s="121"/>
      <c r="BU66" s="121"/>
      <c r="BV66" s="121"/>
      <c r="BW66" s="121"/>
      <c r="BX66" s="121"/>
      <c r="BY66" s="121"/>
      <c r="BZ66" s="121"/>
      <c r="CA66" s="121"/>
      <c r="CB66" s="121"/>
      <c r="CC66" s="121"/>
      <c r="CD66" s="121"/>
      <c r="CE66" s="121"/>
      <c r="CF66" s="121"/>
      <c r="CG66" s="121"/>
      <c r="CH66" s="121"/>
      <c r="CI66" s="121"/>
      <c r="CJ66" s="121"/>
      <c r="CK66" s="121"/>
      <c r="CL66" s="121"/>
      <c r="CM66" s="121"/>
      <c r="CN66" s="121"/>
      <c r="CO66" s="121"/>
      <c r="CP66" s="121"/>
      <c r="CQ66" s="121"/>
      <c r="CR66" s="121"/>
      <c r="CS66" s="121"/>
      <c r="CT66" s="121"/>
      <c r="CU66" s="121"/>
      <c r="CV66" s="121"/>
      <c r="CW66" s="121"/>
      <c r="CX66" s="121"/>
      <c r="CY66" s="121"/>
      <c r="CZ66" s="121"/>
      <c r="DA66" s="121"/>
      <c r="DB66" s="121"/>
      <c r="DC66" s="121"/>
      <c r="DD66" s="121"/>
      <c r="DE66" s="121"/>
      <c r="DF66" s="121"/>
      <c r="DG66" s="121"/>
      <c r="DH66" s="121"/>
      <c r="DI66" s="121"/>
      <c r="DJ66" s="121"/>
      <c r="DK66" s="121"/>
      <c r="DL66" s="121"/>
      <c r="DM66" s="121"/>
      <c r="DN66" s="121"/>
      <c r="DO66" s="121"/>
      <c r="DP66" s="121"/>
      <c r="DQ66" s="121"/>
      <c r="DR66" s="121"/>
      <c r="DS66" s="121"/>
      <c r="DT66" s="112"/>
      <c r="DU66" s="134"/>
      <c r="DV66" s="325"/>
      <c r="DW66" s="325"/>
      <c r="DX66" s="325"/>
      <c r="DY66" s="325"/>
      <c r="DZ66" s="325"/>
      <c r="EA66" s="325"/>
      <c r="EB66" s="325"/>
      <c r="EC66" s="325"/>
      <c r="ED66" s="61"/>
      <c r="EE66" s="61"/>
      <c r="EF66" s="344"/>
      <c r="EG66" s="345"/>
      <c r="EH66" s="345"/>
    </row>
    <row r="67" spans="1:138" s="119" customFormat="1" ht="31.15">
      <c r="B67" s="352" t="s">
        <v>236</v>
      </c>
      <c r="C67" s="340" t="s">
        <v>249</v>
      </c>
      <c r="D67" s="340" t="s">
        <v>157</v>
      </c>
      <c r="E67" s="340" t="s">
        <v>185</v>
      </c>
      <c r="F67" s="340" t="s">
        <v>229</v>
      </c>
      <c r="G67" s="340" t="s">
        <v>146</v>
      </c>
      <c r="H67" s="106" t="s">
        <v>147</v>
      </c>
      <c r="I67" s="107">
        <v>45376</v>
      </c>
      <c r="J67" s="108"/>
      <c r="K67" s="109">
        <v>45393</v>
      </c>
      <c r="L67" s="276" t="s">
        <v>148</v>
      </c>
      <c r="M67" s="106">
        <f>K67+7</f>
        <v>45400</v>
      </c>
      <c r="N67" s="106">
        <f>M67+7</f>
        <v>45407</v>
      </c>
      <c r="O67" s="106" t="s">
        <v>149</v>
      </c>
      <c r="P67" s="106">
        <f>N67+7</f>
        <v>45414</v>
      </c>
      <c r="Q67" s="106">
        <f>P67+7</f>
        <v>45421</v>
      </c>
      <c r="R67" s="106">
        <f>Q67+7</f>
        <v>45428</v>
      </c>
      <c r="S67" s="53" t="s">
        <v>149</v>
      </c>
      <c r="T67" s="53">
        <f>R67+7</f>
        <v>45435</v>
      </c>
      <c r="U67" s="53">
        <f>T67+7</f>
        <v>45442</v>
      </c>
      <c r="V67" s="53">
        <f>U67+7</f>
        <v>45449</v>
      </c>
      <c r="W67" s="53" t="s">
        <v>149</v>
      </c>
      <c r="X67" s="53">
        <f>V67+7</f>
        <v>45456</v>
      </c>
      <c r="Y67" s="53">
        <f>X67+7</f>
        <v>45463</v>
      </c>
      <c r="Z67" s="53">
        <f>Y67+7</f>
        <v>45470</v>
      </c>
      <c r="AA67" s="53" t="s">
        <v>149</v>
      </c>
      <c r="AB67" s="53">
        <f>Z67+7</f>
        <v>45477</v>
      </c>
      <c r="AC67" s="53">
        <f>AB67+7</f>
        <v>45484</v>
      </c>
      <c r="AD67" s="53">
        <f>AC67+7</f>
        <v>45491</v>
      </c>
      <c r="AE67" s="53" t="s">
        <v>149</v>
      </c>
      <c r="AF67" s="53">
        <f>AD67+7</f>
        <v>45498</v>
      </c>
      <c r="AG67" s="53">
        <f>AF67+7</f>
        <v>45505</v>
      </c>
      <c r="AH67" s="53">
        <f>AG67+7</f>
        <v>45512</v>
      </c>
      <c r="AI67" s="53" t="s">
        <v>149</v>
      </c>
      <c r="AJ67" s="53">
        <f>AH67+7</f>
        <v>45519</v>
      </c>
      <c r="AK67" s="53">
        <f>AJ67+7</f>
        <v>45526</v>
      </c>
      <c r="AL67" s="53">
        <f>AK67+7</f>
        <v>45533</v>
      </c>
      <c r="AM67" s="53" t="s">
        <v>149</v>
      </c>
      <c r="AN67" s="53">
        <f>AL67+7</f>
        <v>45540</v>
      </c>
      <c r="AO67" s="53">
        <f>AN67+7</f>
        <v>45547</v>
      </c>
      <c r="AP67" s="53">
        <f>AO67+7</f>
        <v>45554</v>
      </c>
      <c r="AQ67" s="53" t="s">
        <v>149</v>
      </c>
      <c r="AR67" s="53">
        <f>AP67+7</f>
        <v>45561</v>
      </c>
      <c r="AS67" s="53">
        <f>AR67+7</f>
        <v>45568</v>
      </c>
      <c r="AT67" s="53">
        <f>AS67+7</f>
        <v>45575</v>
      </c>
      <c r="AU67" s="332" t="s">
        <v>149</v>
      </c>
      <c r="AV67" s="53">
        <f>AT67+7</f>
        <v>45582</v>
      </c>
      <c r="AW67" s="53">
        <f>AV67+7</f>
        <v>45589</v>
      </c>
      <c r="AX67" s="53">
        <f>AW67+7</f>
        <v>45596</v>
      </c>
      <c r="AY67" s="332" t="s">
        <v>149</v>
      </c>
      <c r="AZ67" s="53">
        <f>AX67+7</f>
        <v>45603</v>
      </c>
      <c r="BA67" s="53">
        <f>AZ67+7</f>
        <v>45610</v>
      </c>
      <c r="BB67" s="53">
        <f>BA67+7</f>
        <v>45617</v>
      </c>
      <c r="BC67" s="332" t="s">
        <v>149</v>
      </c>
      <c r="BD67" s="332"/>
      <c r="BE67" s="332"/>
      <c r="BF67" s="332"/>
      <c r="BG67" s="332"/>
      <c r="BH67" s="332"/>
      <c r="BI67" s="332"/>
      <c r="BJ67" s="332"/>
      <c r="BK67" s="332"/>
      <c r="BL67" s="332"/>
      <c r="BM67" s="332"/>
      <c r="BN67" s="332"/>
      <c r="BO67" s="332"/>
      <c r="BP67" s="332"/>
      <c r="BQ67" s="332"/>
      <c r="BR67" s="332"/>
      <c r="BS67" s="332"/>
      <c r="BT67" s="332"/>
      <c r="BU67" s="332"/>
      <c r="BV67" s="332"/>
      <c r="BW67" s="332"/>
      <c r="BX67" s="332"/>
      <c r="BY67" s="332"/>
      <c r="BZ67" s="332"/>
      <c r="CA67" s="332"/>
      <c r="CB67" s="332"/>
      <c r="CC67" s="332"/>
      <c r="CD67" s="332"/>
      <c r="CE67" s="332"/>
      <c r="CF67" s="332"/>
      <c r="CG67" s="332"/>
      <c r="CH67" s="332"/>
      <c r="CI67" s="332"/>
      <c r="CJ67" s="332"/>
      <c r="CK67" s="332"/>
      <c r="CL67" s="332"/>
      <c r="CM67" s="332"/>
      <c r="CN67" s="332"/>
      <c r="CO67" s="332"/>
      <c r="CP67" s="332"/>
      <c r="CQ67" s="332"/>
      <c r="CR67" s="332"/>
      <c r="CS67" s="332"/>
      <c r="CT67" s="332"/>
      <c r="CU67" s="332"/>
      <c r="CV67" s="332"/>
      <c r="CW67" s="332"/>
      <c r="CX67" s="332"/>
      <c r="CY67" s="332"/>
      <c r="CZ67" s="332"/>
      <c r="DA67" s="332"/>
      <c r="DB67" s="332"/>
      <c r="DC67" s="332"/>
      <c r="DD67" s="332"/>
      <c r="DE67" s="332"/>
      <c r="DF67" s="332"/>
      <c r="DG67" s="332"/>
      <c r="DH67" s="332"/>
      <c r="DI67" s="332"/>
      <c r="DJ67" s="332"/>
      <c r="DK67" s="332"/>
      <c r="DL67" s="332"/>
      <c r="DM67" s="332"/>
      <c r="DN67" s="332"/>
      <c r="DO67" s="332"/>
      <c r="DP67" s="332"/>
      <c r="DQ67" s="332"/>
      <c r="DR67" s="332"/>
      <c r="DS67" s="332"/>
      <c r="DT67" s="53">
        <f>AX67+7</f>
        <v>45603</v>
      </c>
      <c r="DU67" s="53">
        <f>AW68+28</f>
        <v>28</v>
      </c>
      <c r="DV67" s="106">
        <f>EDATE(AW68,3)</f>
        <v>91</v>
      </c>
      <c r="DW67" s="106">
        <f>EDATE(DV67,3)</f>
        <v>182</v>
      </c>
      <c r="DX67" s="106">
        <f>EDATE(CA67,3)</f>
        <v>91</v>
      </c>
      <c r="DY67" s="106">
        <f t="shared" ref="DY67" si="175">EDATE(DX67,3)</f>
        <v>182</v>
      </c>
      <c r="DZ67" s="106">
        <f t="shared" ref="DZ67" si="176">EDATE(DY67,3)</f>
        <v>274</v>
      </c>
      <c r="EA67" s="106">
        <f t="shared" ref="EA67" si="177">EDATE(DZ67,3)</f>
        <v>365</v>
      </c>
      <c r="EB67" s="106">
        <f t="shared" ref="EB67" si="178">EDATE(EA67,3)</f>
        <v>455</v>
      </c>
      <c r="EC67" s="106">
        <f t="shared" ref="EC67" si="179">EDATE(EB67,3)</f>
        <v>547</v>
      </c>
      <c r="ED67" s="54"/>
      <c r="EE67" s="54"/>
      <c r="EF67" s="344"/>
      <c r="EG67" s="345"/>
      <c r="EH67" s="344"/>
    </row>
    <row r="68" spans="1:138" s="119" customFormat="1" ht="31.15">
      <c r="B68" s="353"/>
      <c r="C68" s="341"/>
      <c r="D68" s="341"/>
      <c r="E68" s="341"/>
      <c r="F68" s="341"/>
      <c r="G68" s="341"/>
      <c r="H68" s="325" t="s">
        <v>150</v>
      </c>
      <c r="I68" s="110">
        <v>45376</v>
      </c>
      <c r="J68" s="111"/>
      <c r="K68" s="112"/>
      <c r="L68" s="277" t="s">
        <v>148</v>
      </c>
      <c r="M68" s="112"/>
      <c r="N68" s="112"/>
      <c r="O68" s="325"/>
      <c r="P68" s="112"/>
      <c r="Q68" s="112"/>
      <c r="R68" s="112"/>
      <c r="S68" s="325" t="s">
        <v>148</v>
      </c>
      <c r="T68" s="112"/>
      <c r="U68" s="112"/>
      <c r="V68" s="112"/>
      <c r="W68" s="325" t="s">
        <v>148</v>
      </c>
      <c r="X68" s="112"/>
      <c r="Y68" s="112"/>
      <c r="Z68" s="112"/>
      <c r="AA68" s="325" t="s">
        <v>148</v>
      </c>
      <c r="AB68" s="112"/>
      <c r="AC68" s="112"/>
      <c r="AD68" s="112"/>
      <c r="AE68" s="325" t="s">
        <v>148</v>
      </c>
      <c r="AF68" s="112"/>
      <c r="AG68" s="112"/>
      <c r="AH68" s="112"/>
      <c r="AI68" s="325" t="s">
        <v>148</v>
      </c>
      <c r="AJ68" s="112"/>
      <c r="AK68" s="112"/>
      <c r="AL68" s="112"/>
      <c r="AM68" s="325" t="s">
        <v>148</v>
      </c>
      <c r="AN68" s="112"/>
      <c r="AO68" s="112"/>
      <c r="AP68" s="112"/>
      <c r="AQ68" s="325" t="s">
        <v>148</v>
      </c>
      <c r="AR68" s="112"/>
      <c r="AS68" s="112"/>
      <c r="AT68" s="112"/>
      <c r="AU68" s="328" t="s">
        <v>148</v>
      </c>
      <c r="AV68" s="112"/>
      <c r="AW68" s="112"/>
      <c r="AX68" s="112"/>
      <c r="AY68" s="328" t="s">
        <v>148</v>
      </c>
      <c r="AZ68" s="112"/>
      <c r="BA68" s="112"/>
      <c r="BB68" s="112"/>
      <c r="BC68" s="328" t="s">
        <v>148</v>
      </c>
      <c r="BD68" s="121"/>
      <c r="BE68" s="121"/>
      <c r="BF68" s="121"/>
      <c r="BG68" s="121"/>
      <c r="BH68" s="121"/>
      <c r="BI68" s="121"/>
      <c r="BJ68" s="121"/>
      <c r="BK68" s="121"/>
      <c r="BL68" s="121"/>
      <c r="BM68" s="121"/>
      <c r="BN68" s="121"/>
      <c r="BO68" s="121"/>
      <c r="BP68" s="121"/>
      <c r="BQ68" s="121"/>
      <c r="BR68" s="121"/>
      <c r="BS68" s="121"/>
      <c r="BT68" s="121"/>
      <c r="BU68" s="121"/>
      <c r="BV68" s="121"/>
      <c r="BW68" s="121"/>
      <c r="BX68" s="121"/>
      <c r="BY68" s="121"/>
      <c r="BZ68" s="121"/>
      <c r="CA68" s="121"/>
      <c r="CB68" s="121"/>
      <c r="CC68" s="121"/>
      <c r="CD68" s="121"/>
      <c r="CE68" s="121"/>
      <c r="CF68" s="121"/>
      <c r="CG68" s="121"/>
      <c r="CH68" s="121"/>
      <c r="CI68" s="121"/>
      <c r="CJ68" s="121"/>
      <c r="CK68" s="121"/>
      <c r="CL68" s="121"/>
      <c r="CM68" s="121"/>
      <c r="CN68" s="121"/>
      <c r="CO68" s="121"/>
      <c r="CP68" s="121"/>
      <c r="CQ68" s="121"/>
      <c r="CR68" s="121"/>
      <c r="CS68" s="121"/>
      <c r="CT68" s="121"/>
      <c r="CU68" s="121"/>
      <c r="CV68" s="121"/>
      <c r="CW68" s="121"/>
      <c r="CX68" s="121"/>
      <c r="CY68" s="121"/>
      <c r="CZ68" s="121"/>
      <c r="DA68" s="121"/>
      <c r="DB68" s="121"/>
      <c r="DC68" s="121"/>
      <c r="DD68" s="121"/>
      <c r="DE68" s="121"/>
      <c r="DF68" s="121"/>
      <c r="DG68" s="121"/>
      <c r="DH68" s="121"/>
      <c r="DI68" s="121"/>
      <c r="DJ68" s="121"/>
      <c r="DK68" s="121"/>
      <c r="DL68" s="121"/>
      <c r="DM68" s="121"/>
      <c r="DN68" s="121"/>
      <c r="DO68" s="121"/>
      <c r="DP68" s="121"/>
      <c r="DQ68" s="121"/>
      <c r="DR68" s="121"/>
      <c r="DS68" s="121"/>
      <c r="DT68" s="112"/>
      <c r="DU68" s="134"/>
      <c r="DV68" s="325"/>
      <c r="DW68" s="325"/>
      <c r="DX68" s="325"/>
      <c r="DY68" s="325"/>
      <c r="DZ68" s="325"/>
      <c r="EA68" s="325"/>
      <c r="EB68" s="325"/>
      <c r="EC68" s="325"/>
      <c r="ED68" s="61"/>
      <c r="EE68" s="61"/>
      <c r="EF68" s="344"/>
      <c r="EG68" s="345"/>
      <c r="EH68" s="345"/>
    </row>
    <row r="69" spans="1:138" s="119" customFormat="1" ht="31.15">
      <c r="B69" s="352" t="s">
        <v>203</v>
      </c>
      <c r="C69" s="366" t="s">
        <v>244</v>
      </c>
      <c r="D69" s="340" t="s">
        <v>199</v>
      </c>
      <c r="E69" s="340" t="s">
        <v>205</v>
      </c>
      <c r="F69" s="340" t="s">
        <v>250</v>
      </c>
      <c r="G69" s="340" t="s">
        <v>146</v>
      </c>
      <c r="H69" s="106" t="s">
        <v>147</v>
      </c>
      <c r="I69" s="107">
        <v>45376</v>
      </c>
      <c r="J69" s="108"/>
      <c r="K69" s="109">
        <v>45386</v>
      </c>
      <c r="L69" s="276" t="s">
        <v>148</v>
      </c>
      <c r="M69" s="106">
        <f>K70+7</f>
        <v>45404</v>
      </c>
      <c r="N69" s="106">
        <f>M69+7</f>
        <v>45411</v>
      </c>
      <c r="O69" s="106" t="s">
        <v>149</v>
      </c>
      <c r="P69" s="106">
        <f>N69+7</f>
        <v>45418</v>
      </c>
      <c r="Q69" s="106">
        <f>P69+7</f>
        <v>45425</v>
      </c>
      <c r="R69" s="106">
        <f>Q69+7</f>
        <v>45432</v>
      </c>
      <c r="S69" s="53" t="s">
        <v>149</v>
      </c>
      <c r="T69" s="53">
        <f>R69+7</f>
        <v>45439</v>
      </c>
      <c r="U69" s="53">
        <f>T69+7</f>
        <v>45446</v>
      </c>
      <c r="V69" s="53">
        <f>U69+7</f>
        <v>45453</v>
      </c>
      <c r="W69" s="53" t="s">
        <v>149</v>
      </c>
      <c r="X69" s="53">
        <f>V69+7</f>
        <v>45460</v>
      </c>
      <c r="Y69" s="53">
        <f>X69+7</f>
        <v>45467</v>
      </c>
      <c r="Z69" s="53">
        <f>Y69+7</f>
        <v>45474</v>
      </c>
      <c r="AA69" s="53" t="s">
        <v>149</v>
      </c>
      <c r="AB69" s="53">
        <f>Z69+7</f>
        <v>45481</v>
      </c>
      <c r="AC69" s="53">
        <f>AB69+7</f>
        <v>45488</v>
      </c>
      <c r="AD69" s="53">
        <f>AC69+7</f>
        <v>45495</v>
      </c>
      <c r="AE69" s="53" t="s">
        <v>149</v>
      </c>
      <c r="AF69" s="53">
        <f>AD69+7</f>
        <v>45502</v>
      </c>
      <c r="AG69" s="53">
        <f>AF69+7</f>
        <v>45509</v>
      </c>
      <c r="AH69" s="53">
        <f>AG69+7</f>
        <v>45516</v>
      </c>
      <c r="AI69" s="53" t="s">
        <v>149</v>
      </c>
      <c r="AJ69" s="53">
        <f>AH69+7</f>
        <v>45523</v>
      </c>
      <c r="AK69" s="53">
        <f>AJ69+7</f>
        <v>45530</v>
      </c>
      <c r="AL69" s="53">
        <f>AK69+7</f>
        <v>45537</v>
      </c>
      <c r="AM69" s="53" t="s">
        <v>149</v>
      </c>
      <c r="AN69" s="53">
        <f>AL69+7</f>
        <v>45544</v>
      </c>
      <c r="AO69" s="53">
        <f>AN69+7</f>
        <v>45551</v>
      </c>
      <c r="AP69" s="53">
        <f>AO69+7</f>
        <v>45558</v>
      </c>
      <c r="AQ69" s="53" t="s">
        <v>149</v>
      </c>
      <c r="AR69" s="53">
        <f>AP69+7</f>
        <v>45565</v>
      </c>
      <c r="AS69" s="53">
        <f>AR69+7</f>
        <v>45572</v>
      </c>
      <c r="AT69" s="53">
        <f>AS69+7</f>
        <v>45579</v>
      </c>
      <c r="AU69" s="332" t="s">
        <v>149</v>
      </c>
      <c r="AV69" s="53">
        <f>AT69+7</f>
        <v>45586</v>
      </c>
      <c r="AW69" s="53">
        <f>AV69+7</f>
        <v>45593</v>
      </c>
      <c r="AX69" s="53">
        <f>AW69+7</f>
        <v>45600</v>
      </c>
      <c r="AY69" s="332" t="s">
        <v>149</v>
      </c>
      <c r="AZ69" s="53">
        <f>AX69+7</f>
        <v>45607</v>
      </c>
      <c r="BA69" s="53">
        <f>AZ69+7</f>
        <v>45614</v>
      </c>
      <c r="BB69" s="53">
        <f>BA69+7</f>
        <v>45621</v>
      </c>
      <c r="BC69" s="332" t="s">
        <v>149</v>
      </c>
      <c r="BD69" s="332"/>
      <c r="BE69" s="332"/>
      <c r="BF69" s="332"/>
      <c r="BG69" s="332"/>
      <c r="BH69" s="332"/>
      <c r="BI69" s="332"/>
      <c r="BJ69" s="332"/>
      <c r="BK69" s="332"/>
      <c r="BL69" s="332"/>
      <c r="BM69" s="332"/>
      <c r="BN69" s="332"/>
      <c r="BO69" s="332"/>
      <c r="BP69" s="332"/>
      <c r="BQ69" s="332"/>
      <c r="BR69" s="332"/>
      <c r="BS69" s="332"/>
      <c r="BT69" s="332"/>
      <c r="BU69" s="332"/>
      <c r="BV69" s="332"/>
      <c r="BW69" s="332"/>
      <c r="BX69" s="332"/>
      <c r="BY69" s="332"/>
      <c r="BZ69" s="332"/>
      <c r="CA69" s="332"/>
      <c r="CB69" s="332"/>
      <c r="CC69" s="332"/>
      <c r="CD69" s="332"/>
      <c r="CE69" s="332"/>
      <c r="CF69" s="332"/>
      <c r="CG69" s="332"/>
      <c r="CH69" s="332"/>
      <c r="CI69" s="332"/>
      <c r="CJ69" s="332"/>
      <c r="CK69" s="332"/>
      <c r="CL69" s="332"/>
      <c r="CM69" s="332"/>
      <c r="CN69" s="332"/>
      <c r="CO69" s="332"/>
      <c r="CP69" s="332"/>
      <c r="CQ69" s="332"/>
      <c r="CR69" s="332"/>
      <c r="CS69" s="332"/>
      <c r="CT69" s="332"/>
      <c r="CU69" s="332"/>
      <c r="CV69" s="332"/>
      <c r="CW69" s="332"/>
      <c r="CX69" s="332"/>
      <c r="CY69" s="332"/>
      <c r="CZ69" s="332"/>
      <c r="DA69" s="332"/>
      <c r="DB69" s="332"/>
      <c r="DC69" s="332"/>
      <c r="DD69" s="332"/>
      <c r="DE69" s="332"/>
      <c r="DF69" s="332"/>
      <c r="DG69" s="332"/>
      <c r="DH69" s="332"/>
      <c r="DI69" s="332"/>
      <c r="DJ69" s="332"/>
      <c r="DK69" s="332"/>
      <c r="DL69" s="332"/>
      <c r="DM69" s="332"/>
      <c r="DN69" s="332"/>
      <c r="DO69" s="332"/>
      <c r="DP69" s="332"/>
      <c r="DQ69" s="332"/>
      <c r="DR69" s="332"/>
      <c r="DS69" s="332"/>
      <c r="DT69" s="53">
        <f>AX69+7</f>
        <v>45607</v>
      </c>
      <c r="DU69" s="53">
        <f>AW70+28</f>
        <v>28</v>
      </c>
      <c r="DV69" s="106">
        <f>EDATE(AW70,3)</f>
        <v>91</v>
      </c>
      <c r="DW69" s="106">
        <f>EDATE(DV69,3)</f>
        <v>182</v>
      </c>
      <c r="DX69" s="106">
        <f>EDATE(CA69,3)</f>
        <v>91</v>
      </c>
      <c r="DY69" s="106">
        <f t="shared" ref="DY69" si="180">EDATE(DX69,3)</f>
        <v>182</v>
      </c>
      <c r="DZ69" s="106">
        <f t="shared" ref="DZ69" si="181">EDATE(DY69,3)</f>
        <v>274</v>
      </c>
      <c r="EA69" s="106">
        <f t="shared" ref="EA69" si="182">EDATE(DZ69,3)</f>
        <v>365</v>
      </c>
      <c r="EB69" s="106">
        <f t="shared" ref="EB69" si="183">EDATE(EA69,3)</f>
        <v>455</v>
      </c>
      <c r="EC69" s="106">
        <f t="shared" ref="EC69" si="184">EDATE(EB69,3)</f>
        <v>547</v>
      </c>
      <c r="ED69" s="54"/>
      <c r="EE69" s="54"/>
      <c r="EF69" s="344"/>
      <c r="EG69" s="345"/>
      <c r="EH69" s="344"/>
    </row>
    <row r="70" spans="1:138" s="119" customFormat="1" ht="31.15">
      <c r="B70" s="353"/>
      <c r="C70" s="367"/>
      <c r="D70" s="341"/>
      <c r="E70" s="341"/>
      <c r="F70" s="341"/>
      <c r="G70" s="341"/>
      <c r="H70" s="325" t="s">
        <v>150</v>
      </c>
      <c r="I70" s="110">
        <v>45376</v>
      </c>
      <c r="J70" s="111"/>
      <c r="K70" s="112">
        <v>45397</v>
      </c>
      <c r="L70" s="277" t="s">
        <v>148</v>
      </c>
      <c r="M70" s="112">
        <v>45404</v>
      </c>
      <c r="N70" s="112">
        <v>45411</v>
      </c>
      <c r="O70" s="325" t="s">
        <v>148</v>
      </c>
      <c r="P70" s="112">
        <v>45419</v>
      </c>
      <c r="Q70" s="112">
        <v>45426</v>
      </c>
      <c r="R70" s="112"/>
      <c r="S70" s="325" t="s">
        <v>148</v>
      </c>
      <c r="T70" s="112"/>
      <c r="U70" s="112"/>
      <c r="V70" s="112"/>
      <c r="W70" s="325" t="s">
        <v>148</v>
      </c>
      <c r="X70" s="112"/>
      <c r="Y70" s="112"/>
      <c r="Z70" s="112"/>
      <c r="AA70" s="325" t="s">
        <v>148</v>
      </c>
      <c r="AB70" s="112"/>
      <c r="AC70" s="112"/>
      <c r="AD70" s="112"/>
      <c r="AE70" s="325" t="s">
        <v>148</v>
      </c>
      <c r="AF70" s="112"/>
      <c r="AG70" s="112"/>
      <c r="AH70" s="112"/>
      <c r="AI70" s="325" t="s">
        <v>148</v>
      </c>
      <c r="AJ70" s="112"/>
      <c r="AK70" s="112"/>
      <c r="AL70" s="112"/>
      <c r="AM70" s="325" t="s">
        <v>148</v>
      </c>
      <c r="AN70" s="112"/>
      <c r="AO70" s="112"/>
      <c r="AP70" s="112"/>
      <c r="AQ70" s="325" t="s">
        <v>148</v>
      </c>
      <c r="AR70" s="112"/>
      <c r="AS70" s="112"/>
      <c r="AT70" s="112"/>
      <c r="AU70" s="328" t="s">
        <v>148</v>
      </c>
      <c r="AV70" s="112"/>
      <c r="AW70" s="112"/>
      <c r="AX70" s="112"/>
      <c r="AY70" s="328" t="s">
        <v>148</v>
      </c>
      <c r="AZ70" s="112"/>
      <c r="BA70" s="112"/>
      <c r="BB70" s="112"/>
      <c r="BC70" s="328" t="s">
        <v>148</v>
      </c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12"/>
      <c r="DU70" s="134"/>
      <c r="DV70" s="325"/>
      <c r="DW70" s="325"/>
      <c r="DX70" s="325"/>
      <c r="DY70" s="325"/>
      <c r="DZ70" s="325"/>
      <c r="EA70" s="325"/>
      <c r="EB70" s="325"/>
      <c r="EC70" s="325"/>
      <c r="ED70" s="61"/>
      <c r="EE70" s="61"/>
      <c r="EF70" s="344"/>
      <c r="EG70" s="345"/>
      <c r="EH70" s="345"/>
    </row>
    <row r="71" spans="1:138" s="119" customFormat="1" ht="31.15">
      <c r="B71" s="352" t="s">
        <v>221</v>
      </c>
      <c r="C71" s="340" t="s">
        <v>251</v>
      </c>
      <c r="D71" s="340" t="s">
        <v>199</v>
      </c>
      <c r="E71" s="340" t="s">
        <v>235</v>
      </c>
      <c r="F71" s="340" t="s">
        <v>252</v>
      </c>
      <c r="G71" s="340" t="s">
        <v>253</v>
      </c>
      <c r="H71" s="106" t="s">
        <v>147</v>
      </c>
      <c r="I71" s="107">
        <v>45376</v>
      </c>
      <c r="J71" s="108"/>
      <c r="K71" s="109">
        <v>45386</v>
      </c>
      <c r="L71" s="276" t="s">
        <v>148</v>
      </c>
      <c r="M71" s="106">
        <f>K71+7</f>
        <v>45393</v>
      </c>
      <c r="N71" s="106">
        <f>M71+7</f>
        <v>45400</v>
      </c>
      <c r="O71" s="106" t="s">
        <v>149</v>
      </c>
      <c r="P71" s="106">
        <f>N71+7</f>
        <v>45407</v>
      </c>
      <c r="Q71" s="106">
        <f>P71+7</f>
        <v>45414</v>
      </c>
      <c r="R71" s="106">
        <f>Q71+7</f>
        <v>45421</v>
      </c>
      <c r="S71" s="53" t="s">
        <v>149</v>
      </c>
      <c r="T71" s="53">
        <f>R71+7</f>
        <v>45428</v>
      </c>
      <c r="U71" s="53">
        <f>T71+7</f>
        <v>45435</v>
      </c>
      <c r="V71" s="53">
        <f>U71+7</f>
        <v>45442</v>
      </c>
      <c r="W71" s="53" t="s">
        <v>149</v>
      </c>
      <c r="X71" s="53">
        <f>V71+7</f>
        <v>45449</v>
      </c>
      <c r="Y71" s="53">
        <f>X71+7</f>
        <v>45456</v>
      </c>
      <c r="Z71" s="53">
        <f>Y71+7</f>
        <v>45463</v>
      </c>
      <c r="AA71" s="53" t="s">
        <v>149</v>
      </c>
      <c r="AB71" s="53">
        <f>Z71+7</f>
        <v>45470</v>
      </c>
      <c r="AC71" s="53">
        <f>AB71+7</f>
        <v>45477</v>
      </c>
      <c r="AD71" s="53">
        <f>AC71+7</f>
        <v>45484</v>
      </c>
      <c r="AE71" s="53" t="s">
        <v>149</v>
      </c>
      <c r="AF71" s="53">
        <f>AD71+7</f>
        <v>45491</v>
      </c>
      <c r="AG71" s="53">
        <f>AF71+7</f>
        <v>45498</v>
      </c>
      <c r="AH71" s="53">
        <f>AG71+7</f>
        <v>45505</v>
      </c>
      <c r="AI71" s="53" t="s">
        <v>149</v>
      </c>
      <c r="AJ71" s="53">
        <f>AH71+7</f>
        <v>45512</v>
      </c>
      <c r="AK71" s="53">
        <f>AJ71+7</f>
        <v>45519</v>
      </c>
      <c r="AL71" s="53">
        <f>AK71+7</f>
        <v>45526</v>
      </c>
      <c r="AM71" s="53" t="s">
        <v>149</v>
      </c>
      <c r="AN71" s="53">
        <f>AL71+7</f>
        <v>45533</v>
      </c>
      <c r="AO71" s="53">
        <f>AN71+7</f>
        <v>45540</v>
      </c>
      <c r="AP71" s="53">
        <f>AO71+7</f>
        <v>45547</v>
      </c>
      <c r="AQ71" s="53" t="s">
        <v>149</v>
      </c>
      <c r="AR71" s="53">
        <f>AP71+7</f>
        <v>45554</v>
      </c>
      <c r="AS71" s="53">
        <f>AR71+7</f>
        <v>45561</v>
      </c>
      <c r="AT71" s="53">
        <f>AS71+7</f>
        <v>45568</v>
      </c>
      <c r="AU71" s="332" t="s">
        <v>149</v>
      </c>
      <c r="AV71" s="53">
        <f>AT71+7</f>
        <v>45575</v>
      </c>
      <c r="AW71" s="53">
        <f>AV71+7</f>
        <v>45582</v>
      </c>
      <c r="AX71" s="53">
        <f>AW71+7</f>
        <v>45589</v>
      </c>
      <c r="AY71" s="332" t="s">
        <v>149</v>
      </c>
      <c r="AZ71" s="53">
        <f>AX71+7</f>
        <v>45596</v>
      </c>
      <c r="BA71" s="53">
        <f>AZ71+7</f>
        <v>45603</v>
      </c>
      <c r="BB71" s="53">
        <f>BA71+7</f>
        <v>45610</v>
      </c>
      <c r="BC71" s="332" t="s">
        <v>149</v>
      </c>
      <c r="BD71" s="332"/>
      <c r="BE71" s="332"/>
      <c r="BF71" s="332"/>
      <c r="BG71" s="332"/>
      <c r="BH71" s="332"/>
      <c r="BI71" s="332"/>
      <c r="BJ71" s="332"/>
      <c r="BK71" s="332"/>
      <c r="BL71" s="332"/>
      <c r="BM71" s="332"/>
      <c r="BN71" s="332"/>
      <c r="BO71" s="332"/>
      <c r="BP71" s="332"/>
      <c r="BQ71" s="332"/>
      <c r="BR71" s="332"/>
      <c r="BS71" s="332"/>
      <c r="BT71" s="332"/>
      <c r="BU71" s="332"/>
      <c r="BV71" s="332"/>
      <c r="BW71" s="332"/>
      <c r="BX71" s="332"/>
      <c r="BY71" s="332"/>
      <c r="BZ71" s="332"/>
      <c r="CA71" s="332"/>
      <c r="CB71" s="332"/>
      <c r="CC71" s="332"/>
      <c r="CD71" s="332"/>
      <c r="CE71" s="332"/>
      <c r="CF71" s="332"/>
      <c r="CG71" s="332"/>
      <c r="CH71" s="332"/>
      <c r="CI71" s="332"/>
      <c r="CJ71" s="332"/>
      <c r="CK71" s="332"/>
      <c r="CL71" s="332"/>
      <c r="CM71" s="332"/>
      <c r="CN71" s="332"/>
      <c r="CO71" s="332"/>
      <c r="CP71" s="332"/>
      <c r="CQ71" s="332"/>
      <c r="CR71" s="332"/>
      <c r="CS71" s="332"/>
      <c r="CT71" s="332"/>
      <c r="CU71" s="332"/>
      <c r="CV71" s="332"/>
      <c r="CW71" s="332"/>
      <c r="CX71" s="332"/>
      <c r="CY71" s="332"/>
      <c r="CZ71" s="332"/>
      <c r="DA71" s="332"/>
      <c r="DB71" s="332"/>
      <c r="DC71" s="332"/>
      <c r="DD71" s="332"/>
      <c r="DE71" s="332"/>
      <c r="DF71" s="332"/>
      <c r="DG71" s="332"/>
      <c r="DH71" s="332"/>
      <c r="DI71" s="332"/>
      <c r="DJ71" s="332"/>
      <c r="DK71" s="332"/>
      <c r="DL71" s="332"/>
      <c r="DM71" s="332"/>
      <c r="DN71" s="332"/>
      <c r="DO71" s="332"/>
      <c r="DP71" s="332"/>
      <c r="DQ71" s="332"/>
      <c r="DR71" s="332"/>
      <c r="DS71" s="332"/>
      <c r="DT71" s="53">
        <f>AX71+7</f>
        <v>45596</v>
      </c>
      <c r="DU71" s="53">
        <f>AW72+28</f>
        <v>28</v>
      </c>
      <c r="DV71" s="106">
        <f>EDATE(AW72,3)</f>
        <v>91</v>
      </c>
      <c r="DW71" s="106">
        <f>EDATE(DV71,3)</f>
        <v>182</v>
      </c>
      <c r="DX71" s="106">
        <f>EDATE(CA71,3)</f>
        <v>91</v>
      </c>
      <c r="DY71" s="106">
        <f t="shared" ref="DY71" si="185">EDATE(DX71,3)</f>
        <v>182</v>
      </c>
      <c r="DZ71" s="106">
        <f t="shared" ref="DZ71" si="186">EDATE(DY71,3)</f>
        <v>274</v>
      </c>
      <c r="EA71" s="106">
        <f t="shared" ref="EA71" si="187">EDATE(DZ71,3)</f>
        <v>365</v>
      </c>
      <c r="EB71" s="106">
        <f t="shared" ref="EB71" si="188">EDATE(EA71,3)</f>
        <v>455</v>
      </c>
      <c r="EC71" s="106">
        <f t="shared" ref="EC71" si="189">EDATE(EB71,3)</f>
        <v>547</v>
      </c>
      <c r="ED71" s="54"/>
      <c r="EE71" s="54"/>
      <c r="EF71" s="344"/>
      <c r="EG71" s="345"/>
      <c r="EH71" s="344"/>
    </row>
    <row r="72" spans="1:138" s="119" customFormat="1" ht="31.15">
      <c r="B72" s="353"/>
      <c r="C72" s="341"/>
      <c r="D72" s="341"/>
      <c r="E72" s="341"/>
      <c r="F72" s="341"/>
      <c r="G72" s="341"/>
      <c r="H72" s="325" t="s">
        <v>150</v>
      </c>
      <c r="I72" s="110">
        <v>45376</v>
      </c>
      <c r="J72" s="111"/>
      <c r="K72" s="112">
        <v>45386</v>
      </c>
      <c r="L72" s="277" t="s">
        <v>148</v>
      </c>
      <c r="M72" s="112">
        <v>45393</v>
      </c>
      <c r="N72" s="112">
        <v>45399</v>
      </c>
      <c r="O72" s="325" t="s">
        <v>148</v>
      </c>
      <c r="P72" s="112">
        <v>45414</v>
      </c>
      <c r="Q72" s="112">
        <v>45421</v>
      </c>
      <c r="R72" s="112">
        <v>45425</v>
      </c>
      <c r="S72" s="325" t="s">
        <v>148</v>
      </c>
      <c r="T72" s="112">
        <v>45435</v>
      </c>
      <c r="U72" s="112">
        <v>45442</v>
      </c>
      <c r="V72" s="112">
        <v>45448</v>
      </c>
      <c r="W72" s="325" t="s">
        <v>148</v>
      </c>
      <c r="X72" s="112">
        <v>45455</v>
      </c>
      <c r="Y72" s="112">
        <v>45462</v>
      </c>
      <c r="Z72" s="112">
        <v>45469</v>
      </c>
      <c r="AA72" s="325" t="s">
        <v>148</v>
      </c>
      <c r="AB72" s="112">
        <v>45476</v>
      </c>
      <c r="AC72" s="112">
        <v>45483</v>
      </c>
      <c r="AD72" s="112">
        <v>45490</v>
      </c>
      <c r="AE72" s="325" t="s">
        <v>148</v>
      </c>
      <c r="AF72" s="112">
        <v>45497</v>
      </c>
      <c r="AG72" s="112">
        <v>45504</v>
      </c>
      <c r="AH72" s="112">
        <v>45511</v>
      </c>
      <c r="AI72" s="325" t="s">
        <v>148</v>
      </c>
      <c r="AJ72" s="112">
        <v>45518</v>
      </c>
      <c r="AK72" s="112">
        <v>45525</v>
      </c>
      <c r="AL72" s="112">
        <v>45532</v>
      </c>
      <c r="AM72" s="325" t="s">
        <v>148</v>
      </c>
      <c r="AN72" s="112">
        <v>45539</v>
      </c>
      <c r="AO72" s="112">
        <v>45546</v>
      </c>
      <c r="AP72" s="112"/>
      <c r="AQ72" s="325" t="s">
        <v>148</v>
      </c>
      <c r="AR72" s="112">
        <v>45560</v>
      </c>
      <c r="AS72" s="112">
        <v>45567</v>
      </c>
      <c r="AT72" s="112"/>
      <c r="AU72" s="328" t="s">
        <v>148</v>
      </c>
      <c r="AV72" s="112">
        <v>45581</v>
      </c>
      <c r="AW72" s="112"/>
      <c r="AX72" s="112"/>
      <c r="AY72" s="328" t="s">
        <v>148</v>
      </c>
      <c r="AZ72" s="112">
        <v>45602</v>
      </c>
      <c r="BA72" s="112">
        <v>45609</v>
      </c>
      <c r="BB72" s="112"/>
      <c r="BC72" s="328" t="s">
        <v>148</v>
      </c>
      <c r="BD72" s="121">
        <v>45623</v>
      </c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12">
        <v>45628</v>
      </c>
      <c r="DU72" s="134">
        <v>45649</v>
      </c>
      <c r="DV72" s="325">
        <v>45670</v>
      </c>
      <c r="DW72" s="325">
        <v>45768</v>
      </c>
      <c r="DX72" s="325">
        <v>45810</v>
      </c>
      <c r="DY72" s="325"/>
      <c r="DZ72" s="325"/>
      <c r="EA72" s="325"/>
      <c r="EB72" s="325"/>
      <c r="EC72" s="325"/>
      <c r="ED72" s="61"/>
      <c r="EE72" s="61"/>
      <c r="EF72" s="344"/>
      <c r="EG72" s="345"/>
      <c r="EH72" s="345"/>
    </row>
    <row r="73" spans="1:138" s="119" customFormat="1" ht="31.15">
      <c r="B73" s="352" t="s">
        <v>221</v>
      </c>
      <c r="C73" s="340" t="s">
        <v>254</v>
      </c>
      <c r="D73" s="340" t="s">
        <v>143</v>
      </c>
      <c r="E73" s="340" t="s">
        <v>255</v>
      </c>
      <c r="F73" s="340" t="s">
        <v>162</v>
      </c>
      <c r="G73" s="340" t="s">
        <v>146</v>
      </c>
      <c r="H73" s="106" t="s">
        <v>147</v>
      </c>
      <c r="I73" s="107">
        <v>45376</v>
      </c>
      <c r="J73" s="108"/>
      <c r="K73" s="109">
        <v>45379</v>
      </c>
      <c r="L73" s="276" t="s">
        <v>148</v>
      </c>
      <c r="M73" s="106">
        <v>45386</v>
      </c>
      <c r="N73" s="106">
        <f>M73+7</f>
        <v>45393</v>
      </c>
      <c r="O73" s="106" t="s">
        <v>149</v>
      </c>
      <c r="P73" s="106">
        <v>45400</v>
      </c>
      <c r="Q73" s="106">
        <f>P73+7</f>
        <v>45407</v>
      </c>
      <c r="R73" s="106">
        <f>Q73+7</f>
        <v>45414</v>
      </c>
      <c r="S73" s="53" t="s">
        <v>149</v>
      </c>
      <c r="T73" s="53">
        <f>R73+7</f>
        <v>45421</v>
      </c>
      <c r="U73" s="53">
        <f>T73+7</f>
        <v>45428</v>
      </c>
      <c r="V73" s="53">
        <f>U73+7</f>
        <v>45435</v>
      </c>
      <c r="W73" s="53" t="s">
        <v>149</v>
      </c>
      <c r="X73" s="53">
        <f>V73+7</f>
        <v>45442</v>
      </c>
      <c r="Y73" s="53">
        <f>X73+7</f>
        <v>45449</v>
      </c>
      <c r="Z73" s="53">
        <f>Y73+7</f>
        <v>45456</v>
      </c>
      <c r="AA73" s="53" t="s">
        <v>149</v>
      </c>
      <c r="AB73" s="53">
        <f>Z73+7</f>
        <v>45463</v>
      </c>
      <c r="AC73" s="53">
        <f>AB73+7</f>
        <v>45470</v>
      </c>
      <c r="AD73" s="53">
        <f>AC73+7</f>
        <v>45477</v>
      </c>
      <c r="AE73" s="53" t="s">
        <v>149</v>
      </c>
      <c r="AF73" s="53">
        <f>AD73+7</f>
        <v>45484</v>
      </c>
      <c r="AG73" s="53">
        <f>AF73+7</f>
        <v>45491</v>
      </c>
      <c r="AH73" s="53">
        <f>AG73+7</f>
        <v>45498</v>
      </c>
      <c r="AI73" s="53" t="s">
        <v>149</v>
      </c>
      <c r="AJ73" s="53">
        <f>AH73+7</f>
        <v>45505</v>
      </c>
      <c r="AK73" s="53">
        <f>AJ73+7</f>
        <v>45512</v>
      </c>
      <c r="AL73" s="53">
        <f>AK73+7</f>
        <v>45519</v>
      </c>
      <c r="AM73" s="53" t="s">
        <v>149</v>
      </c>
      <c r="AN73" s="53">
        <f>AL73+7</f>
        <v>45526</v>
      </c>
      <c r="AO73" s="53">
        <f>AN73+7</f>
        <v>45533</v>
      </c>
      <c r="AP73" s="53">
        <f>AO73+7</f>
        <v>45540</v>
      </c>
      <c r="AQ73" s="53" t="s">
        <v>149</v>
      </c>
      <c r="AR73" s="53">
        <f>AP73+7</f>
        <v>45547</v>
      </c>
      <c r="AS73" s="53">
        <f>AR73+7</f>
        <v>45554</v>
      </c>
      <c r="AT73" s="53">
        <f>AS73+7</f>
        <v>45561</v>
      </c>
      <c r="AU73" s="332" t="s">
        <v>149</v>
      </c>
      <c r="AV73" s="53">
        <f>AT73+7</f>
        <v>45568</v>
      </c>
      <c r="AW73" s="53">
        <f>AV73+7</f>
        <v>45575</v>
      </c>
      <c r="AX73" s="53">
        <f>AW73+7</f>
        <v>45582</v>
      </c>
      <c r="AY73" s="332" t="s">
        <v>149</v>
      </c>
      <c r="AZ73" s="53">
        <f>AX73+7</f>
        <v>45589</v>
      </c>
      <c r="BA73" s="53">
        <f>AZ73+7</f>
        <v>45596</v>
      </c>
      <c r="BB73" s="53">
        <f>BA73+7</f>
        <v>45603</v>
      </c>
      <c r="BC73" s="332" t="s">
        <v>149</v>
      </c>
      <c r="BD73" s="332"/>
      <c r="BE73" s="332"/>
      <c r="BF73" s="332"/>
      <c r="BG73" s="332"/>
      <c r="BH73" s="332"/>
      <c r="BI73" s="332"/>
      <c r="BJ73" s="332"/>
      <c r="BK73" s="332"/>
      <c r="BL73" s="332"/>
      <c r="BM73" s="332"/>
      <c r="BN73" s="332"/>
      <c r="BO73" s="332"/>
      <c r="BP73" s="332"/>
      <c r="BQ73" s="332"/>
      <c r="BR73" s="332"/>
      <c r="BS73" s="332"/>
      <c r="BT73" s="332"/>
      <c r="BU73" s="332"/>
      <c r="BV73" s="332"/>
      <c r="BW73" s="332"/>
      <c r="BX73" s="332"/>
      <c r="BY73" s="332"/>
      <c r="BZ73" s="332"/>
      <c r="CA73" s="332"/>
      <c r="CB73" s="332"/>
      <c r="CC73" s="332"/>
      <c r="CD73" s="332"/>
      <c r="CE73" s="332"/>
      <c r="CF73" s="332"/>
      <c r="CG73" s="332"/>
      <c r="CH73" s="332"/>
      <c r="CI73" s="332"/>
      <c r="CJ73" s="332"/>
      <c r="CK73" s="332"/>
      <c r="CL73" s="332"/>
      <c r="CM73" s="332"/>
      <c r="CN73" s="332"/>
      <c r="CO73" s="332"/>
      <c r="CP73" s="332"/>
      <c r="CQ73" s="332"/>
      <c r="CR73" s="332"/>
      <c r="CS73" s="332"/>
      <c r="CT73" s="332"/>
      <c r="CU73" s="332"/>
      <c r="CV73" s="332"/>
      <c r="CW73" s="332"/>
      <c r="CX73" s="332"/>
      <c r="CY73" s="332"/>
      <c r="CZ73" s="332"/>
      <c r="DA73" s="332"/>
      <c r="DB73" s="332"/>
      <c r="DC73" s="332"/>
      <c r="DD73" s="332"/>
      <c r="DE73" s="332"/>
      <c r="DF73" s="332"/>
      <c r="DG73" s="332"/>
      <c r="DH73" s="332"/>
      <c r="DI73" s="332"/>
      <c r="DJ73" s="332"/>
      <c r="DK73" s="332"/>
      <c r="DL73" s="332"/>
      <c r="DM73" s="332"/>
      <c r="DN73" s="332"/>
      <c r="DO73" s="332"/>
      <c r="DP73" s="332"/>
      <c r="DQ73" s="332"/>
      <c r="DR73" s="332"/>
      <c r="DS73" s="332"/>
      <c r="DT73" s="53">
        <v>45439</v>
      </c>
      <c r="DU73" s="53">
        <v>45456</v>
      </c>
      <c r="DV73" s="325">
        <f>EDATE(U74,3)</f>
        <v>45520</v>
      </c>
      <c r="DW73" s="106">
        <f>EDATE(DV73,3)</f>
        <v>45612</v>
      </c>
      <c r="DX73" s="106">
        <f t="shared" ref="DX73:EC73" si="190">EDATE(DW73,3)</f>
        <v>45704</v>
      </c>
      <c r="DY73" s="106">
        <f t="shared" si="190"/>
        <v>45793</v>
      </c>
      <c r="DZ73" s="106">
        <f t="shared" si="190"/>
        <v>45885</v>
      </c>
      <c r="EA73" s="106">
        <f t="shared" si="190"/>
        <v>45977</v>
      </c>
      <c r="EB73" s="106">
        <f t="shared" si="190"/>
        <v>46069</v>
      </c>
      <c r="EC73" s="106">
        <f t="shared" si="190"/>
        <v>46158</v>
      </c>
      <c r="ED73" s="54"/>
      <c r="EE73" s="54"/>
      <c r="EF73" s="344"/>
      <c r="EG73" s="345"/>
      <c r="EH73" s="344"/>
    </row>
    <row r="74" spans="1:138" s="119" customFormat="1" ht="31.15">
      <c r="B74" s="353"/>
      <c r="C74" s="341"/>
      <c r="D74" s="341"/>
      <c r="E74" s="341"/>
      <c r="F74" s="341"/>
      <c r="G74" s="341"/>
      <c r="H74" s="325" t="s">
        <v>150</v>
      </c>
      <c r="I74" s="110">
        <v>45376</v>
      </c>
      <c r="J74" s="111"/>
      <c r="K74" s="112">
        <v>45379</v>
      </c>
      <c r="L74" s="277" t="s">
        <v>148</v>
      </c>
      <c r="M74" s="112">
        <v>45386</v>
      </c>
      <c r="N74" s="112">
        <v>45393</v>
      </c>
      <c r="O74" s="325" t="s">
        <v>148</v>
      </c>
      <c r="P74" s="112">
        <v>45400</v>
      </c>
      <c r="Q74" s="112">
        <v>45407</v>
      </c>
      <c r="R74" s="112">
        <v>45414</v>
      </c>
      <c r="S74" s="325" t="s">
        <v>148</v>
      </c>
      <c r="T74" s="112">
        <v>45421</v>
      </c>
      <c r="U74" s="89">
        <v>45428</v>
      </c>
      <c r="V74" s="112"/>
      <c r="W74" s="325" t="s">
        <v>148</v>
      </c>
      <c r="X74" s="112"/>
      <c r="Y74" s="112"/>
      <c r="Z74" s="112"/>
      <c r="AA74" s="325" t="s">
        <v>148</v>
      </c>
      <c r="AB74" s="112"/>
      <c r="AC74" s="112"/>
      <c r="AD74" s="112"/>
      <c r="AE74" s="325" t="s">
        <v>148</v>
      </c>
      <c r="AF74" s="112"/>
      <c r="AG74" s="112"/>
      <c r="AH74" s="112"/>
      <c r="AI74" s="325" t="s">
        <v>148</v>
      </c>
      <c r="AJ74" s="112"/>
      <c r="AK74" s="112"/>
      <c r="AL74" s="112"/>
      <c r="AM74" s="325" t="s">
        <v>148</v>
      </c>
      <c r="AN74" s="112"/>
      <c r="AO74" s="112"/>
      <c r="AP74" s="112"/>
      <c r="AQ74" s="325" t="s">
        <v>148</v>
      </c>
      <c r="AR74" s="112"/>
      <c r="AS74" s="112"/>
      <c r="AT74" s="112"/>
      <c r="AU74" s="328" t="s">
        <v>148</v>
      </c>
      <c r="AV74" s="112"/>
      <c r="AW74" s="112"/>
      <c r="AX74" s="112"/>
      <c r="AY74" s="328" t="s">
        <v>148</v>
      </c>
      <c r="AZ74" s="112"/>
      <c r="BA74" s="112"/>
      <c r="BB74" s="112"/>
      <c r="BC74" s="328" t="s">
        <v>148</v>
      </c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12">
        <v>45439</v>
      </c>
      <c r="DU74" s="134">
        <v>45464</v>
      </c>
      <c r="DV74" s="31">
        <v>45524</v>
      </c>
      <c r="DW74" s="325">
        <v>45616</v>
      </c>
      <c r="DX74" s="325"/>
      <c r="DY74" s="325"/>
      <c r="DZ74" s="325"/>
      <c r="EA74" s="325"/>
      <c r="EB74" s="325"/>
      <c r="EC74" s="325"/>
      <c r="ED74" s="61"/>
      <c r="EE74" s="61"/>
      <c r="EF74" s="344"/>
      <c r="EG74" s="345"/>
      <c r="EH74" s="345"/>
    </row>
    <row r="75" spans="1:138" s="119" customFormat="1" ht="31.15">
      <c r="B75" s="352" t="s">
        <v>236</v>
      </c>
      <c r="C75" s="340" t="s">
        <v>237</v>
      </c>
      <c r="D75" s="340" t="s">
        <v>187</v>
      </c>
      <c r="E75" s="340" t="s">
        <v>256</v>
      </c>
      <c r="F75" s="340" t="s">
        <v>229</v>
      </c>
      <c r="G75" s="340" t="s">
        <v>146</v>
      </c>
      <c r="H75" s="106" t="s">
        <v>147</v>
      </c>
      <c r="I75" s="107">
        <v>45397</v>
      </c>
      <c r="J75" s="108"/>
      <c r="K75" s="109">
        <v>45400</v>
      </c>
      <c r="L75" s="276" t="s">
        <v>148</v>
      </c>
      <c r="M75" s="106">
        <f>K75+7</f>
        <v>45407</v>
      </c>
      <c r="N75" s="106">
        <f>M75+7</f>
        <v>45414</v>
      </c>
      <c r="O75" s="106" t="s">
        <v>149</v>
      </c>
      <c r="P75" s="106">
        <f>N75+7</f>
        <v>45421</v>
      </c>
      <c r="Q75" s="106">
        <f>P75+7</f>
        <v>45428</v>
      </c>
      <c r="R75" s="106">
        <f>Q75+7</f>
        <v>45435</v>
      </c>
      <c r="S75" s="53" t="s">
        <v>149</v>
      </c>
      <c r="T75" s="53">
        <f>R75+7</f>
        <v>45442</v>
      </c>
      <c r="U75" s="53">
        <f>T75+7</f>
        <v>45449</v>
      </c>
      <c r="V75" s="53">
        <f>U75+7</f>
        <v>45456</v>
      </c>
      <c r="W75" s="53" t="s">
        <v>149</v>
      </c>
      <c r="X75" s="53">
        <f>V75+7</f>
        <v>45463</v>
      </c>
      <c r="Y75" s="53">
        <f>X75+7</f>
        <v>45470</v>
      </c>
      <c r="Z75" s="53">
        <f>Y75+7</f>
        <v>45477</v>
      </c>
      <c r="AA75" s="53" t="s">
        <v>149</v>
      </c>
      <c r="AB75" s="53">
        <f>Z75+7</f>
        <v>45484</v>
      </c>
      <c r="AC75" s="53">
        <f>AB75+7</f>
        <v>45491</v>
      </c>
      <c r="AD75" s="53">
        <f>AC75+7</f>
        <v>45498</v>
      </c>
      <c r="AE75" s="53" t="s">
        <v>149</v>
      </c>
      <c r="AF75" s="53">
        <f>AD75+7</f>
        <v>45505</v>
      </c>
      <c r="AG75" s="53">
        <f>AF75+7</f>
        <v>45512</v>
      </c>
      <c r="AH75" s="53">
        <f>AG75+7</f>
        <v>45519</v>
      </c>
      <c r="AI75" s="53" t="s">
        <v>149</v>
      </c>
      <c r="AJ75" s="53">
        <f>AH75+7</f>
        <v>45526</v>
      </c>
      <c r="AK75" s="53">
        <f>AJ75+7</f>
        <v>45533</v>
      </c>
      <c r="AL75" s="53">
        <f>AK75+7</f>
        <v>45540</v>
      </c>
      <c r="AM75" s="53" t="s">
        <v>149</v>
      </c>
      <c r="AN75" s="53">
        <f>AL75+7</f>
        <v>45547</v>
      </c>
      <c r="AO75" s="53">
        <f>AN75+7</f>
        <v>45554</v>
      </c>
      <c r="AP75" s="53">
        <f>AO75+7</f>
        <v>45561</v>
      </c>
      <c r="AQ75" s="53" t="s">
        <v>149</v>
      </c>
      <c r="AR75" s="53">
        <f>AP75+7</f>
        <v>45568</v>
      </c>
      <c r="AS75" s="53">
        <f>AR75+7</f>
        <v>45575</v>
      </c>
      <c r="AT75" s="53">
        <f>AS75+7</f>
        <v>45582</v>
      </c>
      <c r="AU75" s="332" t="s">
        <v>149</v>
      </c>
      <c r="AV75" s="53">
        <f>AT75+7</f>
        <v>45589</v>
      </c>
      <c r="AW75" s="53">
        <f>AV75+7</f>
        <v>45596</v>
      </c>
      <c r="AX75" s="53">
        <f>AW75+7</f>
        <v>45603</v>
      </c>
      <c r="AY75" s="332" t="s">
        <v>149</v>
      </c>
      <c r="AZ75" s="53">
        <f>AX75+7</f>
        <v>45610</v>
      </c>
      <c r="BA75" s="53">
        <f>AZ75+7</f>
        <v>45617</v>
      </c>
      <c r="BB75" s="53">
        <f>BA75+7</f>
        <v>45624</v>
      </c>
      <c r="BC75" s="332" t="s">
        <v>149</v>
      </c>
      <c r="BD75" s="332"/>
      <c r="BE75" s="332"/>
      <c r="BF75" s="332"/>
      <c r="BG75" s="332"/>
      <c r="BH75" s="332"/>
      <c r="BI75" s="332"/>
      <c r="BJ75" s="332"/>
      <c r="BK75" s="332"/>
      <c r="BL75" s="332"/>
      <c r="BM75" s="332"/>
      <c r="BN75" s="332"/>
      <c r="BO75" s="332"/>
      <c r="BP75" s="332"/>
      <c r="BQ75" s="332"/>
      <c r="BR75" s="332"/>
      <c r="BS75" s="332"/>
      <c r="BT75" s="332"/>
      <c r="BU75" s="332"/>
      <c r="BV75" s="332"/>
      <c r="BW75" s="332"/>
      <c r="BX75" s="332"/>
      <c r="BY75" s="332"/>
      <c r="BZ75" s="332"/>
      <c r="CA75" s="332"/>
      <c r="CB75" s="332"/>
      <c r="CC75" s="332"/>
      <c r="CD75" s="332"/>
      <c r="CE75" s="332"/>
      <c r="CF75" s="332"/>
      <c r="CG75" s="332"/>
      <c r="CH75" s="332"/>
      <c r="CI75" s="332"/>
      <c r="CJ75" s="332"/>
      <c r="CK75" s="332"/>
      <c r="CL75" s="332"/>
      <c r="CM75" s="332"/>
      <c r="CN75" s="332"/>
      <c r="CO75" s="332"/>
      <c r="CP75" s="332"/>
      <c r="CQ75" s="332"/>
      <c r="CR75" s="332"/>
      <c r="CS75" s="332"/>
      <c r="CT75" s="332"/>
      <c r="CU75" s="332"/>
      <c r="CV75" s="332"/>
      <c r="CW75" s="332"/>
      <c r="CX75" s="332"/>
      <c r="CY75" s="332"/>
      <c r="CZ75" s="332"/>
      <c r="DA75" s="332"/>
      <c r="DB75" s="332"/>
      <c r="DC75" s="332"/>
      <c r="DD75" s="332"/>
      <c r="DE75" s="332"/>
      <c r="DF75" s="332"/>
      <c r="DG75" s="332"/>
      <c r="DH75" s="332"/>
      <c r="DI75" s="332"/>
      <c r="DJ75" s="332"/>
      <c r="DK75" s="332"/>
      <c r="DL75" s="332"/>
      <c r="DM75" s="332"/>
      <c r="DN75" s="332"/>
      <c r="DO75" s="332"/>
      <c r="DP75" s="332"/>
      <c r="DQ75" s="332"/>
      <c r="DR75" s="332"/>
      <c r="DS75" s="332"/>
      <c r="DT75" s="53">
        <f>AX75+7</f>
        <v>45610</v>
      </c>
      <c r="DU75" s="53">
        <f>AW76+28</f>
        <v>28</v>
      </c>
      <c r="DV75" s="106">
        <f>EDATE(AW76,3)</f>
        <v>91</v>
      </c>
      <c r="DW75" s="106">
        <f>EDATE(DV75,3)</f>
        <v>182</v>
      </c>
      <c r="DX75" s="106">
        <f>EDATE(CA75,3)</f>
        <v>91</v>
      </c>
      <c r="DY75" s="106">
        <f t="shared" ref="DY75" si="191">EDATE(DX75,3)</f>
        <v>182</v>
      </c>
      <c r="DZ75" s="106">
        <f t="shared" ref="DZ75" si="192">EDATE(DY75,3)</f>
        <v>274</v>
      </c>
      <c r="EA75" s="106">
        <f t="shared" ref="EA75" si="193">EDATE(DZ75,3)</f>
        <v>365</v>
      </c>
      <c r="EB75" s="106">
        <f t="shared" ref="EB75" si="194">EDATE(EA75,3)</f>
        <v>455</v>
      </c>
      <c r="EC75" s="106">
        <f t="shared" ref="EC75" si="195">EDATE(EB75,3)</f>
        <v>547</v>
      </c>
      <c r="ED75" s="54"/>
      <c r="EE75" s="54"/>
      <c r="EF75" s="344"/>
      <c r="EG75" s="345"/>
      <c r="EH75" s="344"/>
    </row>
    <row r="76" spans="1:138" s="119" customFormat="1" ht="31.15">
      <c r="B76" s="353"/>
      <c r="C76" s="341"/>
      <c r="D76" s="341"/>
      <c r="E76" s="341"/>
      <c r="F76" s="341"/>
      <c r="G76" s="341"/>
      <c r="H76" s="325" t="s">
        <v>150</v>
      </c>
      <c r="I76" s="110"/>
      <c r="J76" s="111"/>
      <c r="K76" s="112"/>
      <c r="L76" s="277" t="s">
        <v>148</v>
      </c>
      <c r="M76" s="112"/>
      <c r="N76" s="112"/>
      <c r="O76" s="325"/>
      <c r="P76" s="112"/>
      <c r="Q76" s="112"/>
      <c r="R76" s="112"/>
      <c r="S76" s="325" t="s">
        <v>148</v>
      </c>
      <c r="T76" s="112"/>
      <c r="U76" s="112"/>
      <c r="V76" s="112"/>
      <c r="W76" s="325" t="s">
        <v>148</v>
      </c>
      <c r="X76" s="112"/>
      <c r="Y76" s="112"/>
      <c r="Z76" s="112"/>
      <c r="AA76" s="325" t="s">
        <v>148</v>
      </c>
      <c r="AB76" s="112"/>
      <c r="AC76" s="112"/>
      <c r="AD76" s="112"/>
      <c r="AE76" s="325" t="s">
        <v>148</v>
      </c>
      <c r="AF76" s="112"/>
      <c r="AG76" s="112"/>
      <c r="AH76" s="112"/>
      <c r="AI76" s="325" t="s">
        <v>148</v>
      </c>
      <c r="AJ76" s="112"/>
      <c r="AK76" s="112"/>
      <c r="AL76" s="112"/>
      <c r="AM76" s="325" t="s">
        <v>148</v>
      </c>
      <c r="AN76" s="112"/>
      <c r="AO76" s="112"/>
      <c r="AP76" s="112"/>
      <c r="AQ76" s="325" t="s">
        <v>148</v>
      </c>
      <c r="AR76" s="112"/>
      <c r="AS76" s="112"/>
      <c r="AT76" s="112"/>
      <c r="AU76" s="328" t="s">
        <v>148</v>
      </c>
      <c r="AV76" s="112"/>
      <c r="AW76" s="112"/>
      <c r="AX76" s="112"/>
      <c r="AY76" s="328" t="s">
        <v>148</v>
      </c>
      <c r="AZ76" s="112"/>
      <c r="BA76" s="112"/>
      <c r="BB76" s="112"/>
      <c r="BC76" s="328" t="s">
        <v>148</v>
      </c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12"/>
      <c r="DU76" s="134"/>
      <c r="DV76" s="325"/>
      <c r="DW76" s="325"/>
      <c r="DX76" s="325"/>
      <c r="DY76" s="325"/>
      <c r="DZ76" s="325"/>
      <c r="EA76" s="325"/>
      <c r="EB76" s="325"/>
      <c r="EC76" s="325"/>
      <c r="ED76" s="61"/>
      <c r="EE76" s="61"/>
      <c r="EF76" s="344"/>
      <c r="EG76" s="345"/>
      <c r="EH76" s="345"/>
    </row>
    <row r="77" spans="1:138" s="36" customFormat="1" ht="31.15">
      <c r="A77" s="31"/>
      <c r="B77" s="352" t="s">
        <v>257</v>
      </c>
      <c r="C77" s="340" t="s">
        <v>258</v>
      </c>
      <c r="D77" s="342" t="s">
        <v>259</v>
      </c>
      <c r="E77" s="340" t="s">
        <v>260</v>
      </c>
      <c r="F77" s="340" t="s">
        <v>162</v>
      </c>
      <c r="G77" s="340" t="s">
        <v>146</v>
      </c>
      <c r="H77" s="32" t="s">
        <v>147</v>
      </c>
      <c r="I77" s="31">
        <v>45419</v>
      </c>
      <c r="J77" s="33"/>
      <c r="K77" s="31">
        <v>45428</v>
      </c>
      <c r="L77" s="276" t="s">
        <v>148</v>
      </c>
      <c r="M77" s="33">
        <f>K77+7</f>
        <v>45435</v>
      </c>
      <c r="N77" s="33">
        <f t="shared" ref="N77" si="196">M77+7</f>
        <v>45442</v>
      </c>
      <c r="O77" s="33" t="s">
        <v>149</v>
      </c>
      <c r="P77" s="33">
        <f t="shared" ref="P77" si="197">N77+7</f>
        <v>45449</v>
      </c>
      <c r="Q77" s="33">
        <f t="shared" ref="Q77:R77" si="198">P77+7</f>
        <v>45456</v>
      </c>
      <c r="R77" s="33">
        <f t="shared" si="198"/>
        <v>45463</v>
      </c>
      <c r="S77" s="34" t="s">
        <v>149</v>
      </c>
      <c r="T77" s="34">
        <f t="shared" ref="T77" si="199">R77+7</f>
        <v>45470</v>
      </c>
      <c r="U77" s="34">
        <f t="shared" ref="U77:V77" si="200">T77+7</f>
        <v>45477</v>
      </c>
      <c r="V77" s="34">
        <f t="shared" si="200"/>
        <v>45484</v>
      </c>
      <c r="W77" s="34" t="s">
        <v>149</v>
      </c>
      <c r="X77" s="34">
        <f t="shared" ref="X77" si="201">V77+7</f>
        <v>45491</v>
      </c>
      <c r="Y77" s="34">
        <f t="shared" ref="Y77:Z77" si="202">X77+7</f>
        <v>45498</v>
      </c>
      <c r="Z77" s="34">
        <f t="shared" si="202"/>
        <v>45505</v>
      </c>
      <c r="AA77" s="34" t="s">
        <v>149</v>
      </c>
      <c r="AB77" s="34">
        <f t="shared" ref="AB77" si="203">Z77+7</f>
        <v>45512</v>
      </c>
      <c r="AC77" s="34">
        <f t="shared" ref="AC77:AD77" si="204">AB77+7</f>
        <v>45519</v>
      </c>
      <c r="AD77" s="34">
        <f t="shared" si="204"/>
        <v>45526</v>
      </c>
      <c r="AE77" s="34" t="s">
        <v>149</v>
      </c>
      <c r="AF77" s="34">
        <f t="shared" ref="AF77" si="205">AD77+7</f>
        <v>45533</v>
      </c>
      <c r="AG77" s="34">
        <f t="shared" ref="AG77:AH77" si="206">AF77+7</f>
        <v>45540</v>
      </c>
      <c r="AH77" s="34">
        <f t="shared" si="206"/>
        <v>45547</v>
      </c>
      <c r="AI77" s="34" t="s">
        <v>149</v>
      </c>
      <c r="AJ77" s="34">
        <f t="shared" ref="AJ77" si="207">AH77+7</f>
        <v>45554</v>
      </c>
      <c r="AK77" s="34">
        <f t="shared" ref="AK77:AL77" si="208">AJ77+7</f>
        <v>45561</v>
      </c>
      <c r="AL77" s="34">
        <f t="shared" si="208"/>
        <v>45568</v>
      </c>
      <c r="AM77" s="34" t="s">
        <v>149</v>
      </c>
      <c r="AN77" s="34">
        <f t="shared" ref="AN77" si="209">AL77+7</f>
        <v>45575</v>
      </c>
      <c r="AO77" s="34">
        <f t="shared" ref="AO77:AP77" si="210">AN77+7</f>
        <v>45582</v>
      </c>
      <c r="AP77" s="34">
        <f t="shared" si="210"/>
        <v>45589</v>
      </c>
      <c r="AQ77" s="34" t="s">
        <v>149</v>
      </c>
      <c r="AR77" s="34">
        <f t="shared" ref="AR77" si="211">AP77+7</f>
        <v>45596</v>
      </c>
      <c r="AS77" s="34">
        <f t="shared" ref="AS77:AT77" si="212">AR77+7</f>
        <v>45603</v>
      </c>
      <c r="AT77" s="34">
        <f t="shared" si="212"/>
        <v>45610</v>
      </c>
      <c r="AU77" s="34" t="s">
        <v>149</v>
      </c>
      <c r="AV77" s="34">
        <f t="shared" ref="AV77" si="213">AT77+7</f>
        <v>45617</v>
      </c>
      <c r="AW77" s="34">
        <f t="shared" ref="AW77:AX77" si="214">AV77+7</f>
        <v>45624</v>
      </c>
      <c r="AX77" s="34">
        <f t="shared" si="214"/>
        <v>45631</v>
      </c>
      <c r="AY77" s="34" t="s">
        <v>149</v>
      </c>
      <c r="AZ77" s="34">
        <f t="shared" ref="AZ77" si="215">AX77+7</f>
        <v>45638</v>
      </c>
      <c r="BA77" s="34">
        <f t="shared" ref="BA77:BB77" si="216">AZ77+7</f>
        <v>45645</v>
      </c>
      <c r="BB77" s="34">
        <f t="shared" si="216"/>
        <v>45652</v>
      </c>
      <c r="BC77" s="34" t="s">
        <v>149</v>
      </c>
      <c r="BD77" s="34">
        <f t="shared" ref="BD77" si="217">BB77+7</f>
        <v>45659</v>
      </c>
      <c r="BE77" s="34">
        <f t="shared" ref="BE77:BF77" si="218">BD77+7</f>
        <v>45666</v>
      </c>
      <c r="BF77" s="34">
        <f t="shared" si="218"/>
        <v>45673</v>
      </c>
      <c r="BG77" s="34" t="s">
        <v>148</v>
      </c>
      <c r="BH77" s="34">
        <f t="shared" ref="BH77" si="219">BF77+7</f>
        <v>45680</v>
      </c>
      <c r="BI77" s="34">
        <f t="shared" ref="BI77:BJ77" si="220">BH77+7</f>
        <v>45687</v>
      </c>
      <c r="BJ77" s="34">
        <f t="shared" si="220"/>
        <v>45694</v>
      </c>
      <c r="BK77" s="34" t="s">
        <v>148</v>
      </c>
      <c r="BL77" s="34">
        <f t="shared" ref="BL77" si="221">BJ77+7</f>
        <v>45701</v>
      </c>
      <c r="BM77" s="34">
        <f t="shared" ref="BM77:BN77" si="222">BL77+7</f>
        <v>45708</v>
      </c>
      <c r="BN77" s="34">
        <f t="shared" si="222"/>
        <v>45715</v>
      </c>
      <c r="BO77" s="34" t="s">
        <v>149</v>
      </c>
      <c r="BP77" s="34">
        <f t="shared" ref="BP77" si="223">BN77+7</f>
        <v>45722</v>
      </c>
      <c r="BQ77" s="34">
        <f t="shared" ref="BQ77:BR77" si="224">BP77+7</f>
        <v>45729</v>
      </c>
      <c r="BR77" s="34">
        <f t="shared" si="224"/>
        <v>45736</v>
      </c>
      <c r="BS77" s="34" t="s">
        <v>148</v>
      </c>
      <c r="BT77" s="34">
        <f t="shared" ref="BT77" si="225">BR77+7</f>
        <v>45743</v>
      </c>
      <c r="BU77" s="34">
        <f t="shared" ref="BU77:BV77" si="226">BT77+7</f>
        <v>45750</v>
      </c>
      <c r="BV77" s="34">
        <f t="shared" si="226"/>
        <v>45757</v>
      </c>
      <c r="BW77" s="34" t="s">
        <v>149</v>
      </c>
      <c r="BX77" s="34">
        <f t="shared" ref="BX77" si="227">BV77+7</f>
        <v>45764</v>
      </c>
      <c r="BY77" s="34">
        <f t="shared" ref="BY77" si="228">BX77+7</f>
        <v>45771</v>
      </c>
      <c r="BZ77" s="34">
        <f t="shared" ref="BZ77" si="229">BY77+7</f>
        <v>45778</v>
      </c>
      <c r="CA77" s="34" t="s">
        <v>149</v>
      </c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4"/>
      <c r="CP77" s="34"/>
      <c r="CQ77" s="34"/>
      <c r="CR77" s="34"/>
      <c r="CS77" s="34"/>
      <c r="CT77" s="34"/>
      <c r="CU77" s="34"/>
      <c r="CV77" s="34"/>
      <c r="CW77" s="34"/>
      <c r="CX77" s="34"/>
      <c r="CY77" s="34"/>
      <c r="CZ77" s="34"/>
      <c r="DA77" s="34"/>
      <c r="DB77" s="34"/>
      <c r="DC77" s="34"/>
      <c r="DD77" s="34"/>
      <c r="DE77" s="34"/>
      <c r="DF77" s="34"/>
      <c r="DG77" s="34"/>
      <c r="DH77" s="34"/>
      <c r="DI77" s="34"/>
      <c r="DJ77" s="34"/>
      <c r="DK77" s="34"/>
      <c r="DL77" s="34"/>
      <c r="DM77" s="34"/>
      <c r="DN77" s="34"/>
      <c r="DO77" s="34"/>
      <c r="DP77" s="34"/>
      <c r="DQ77" s="34"/>
      <c r="DR77" s="34"/>
      <c r="DS77" s="34"/>
      <c r="DT77" s="34"/>
      <c r="DU77" s="34"/>
      <c r="DV77" s="32"/>
      <c r="DW77" s="32"/>
      <c r="DX77" s="32"/>
      <c r="DY77" s="32"/>
      <c r="DZ77" s="32"/>
      <c r="EA77" s="32"/>
      <c r="EB77" s="32"/>
      <c r="EC77" s="32"/>
      <c r="ED77" s="123"/>
      <c r="EE77" s="54"/>
      <c r="EF77" s="340"/>
      <c r="EG77" s="364"/>
      <c r="EH77" s="340"/>
    </row>
    <row r="78" spans="1:138" s="144" customFormat="1" ht="31.15">
      <c r="A78" s="112"/>
      <c r="B78" s="353"/>
      <c r="C78" s="341"/>
      <c r="D78" s="343"/>
      <c r="E78" s="341"/>
      <c r="F78" s="341"/>
      <c r="G78" s="341"/>
      <c r="H78" s="325" t="s">
        <v>150</v>
      </c>
      <c r="I78" s="112">
        <v>45413</v>
      </c>
      <c r="J78" s="325"/>
      <c r="K78" s="112">
        <v>45428</v>
      </c>
      <c r="L78" s="277" t="s">
        <v>148</v>
      </c>
      <c r="M78" s="112">
        <v>45435</v>
      </c>
      <c r="N78" s="112">
        <v>45456</v>
      </c>
      <c r="O78" s="325" t="s">
        <v>148</v>
      </c>
      <c r="P78" s="112">
        <v>45470</v>
      </c>
      <c r="Q78" s="112">
        <v>45481</v>
      </c>
      <c r="R78" s="112">
        <v>45488</v>
      </c>
      <c r="S78" s="325" t="s">
        <v>148</v>
      </c>
      <c r="T78" s="112"/>
      <c r="U78" s="112"/>
      <c r="V78" s="112"/>
      <c r="W78" s="46" t="s">
        <v>148</v>
      </c>
      <c r="X78" s="112"/>
      <c r="Y78" s="112"/>
      <c r="Z78" s="112"/>
      <c r="AA78" s="142"/>
      <c r="AB78" s="112"/>
      <c r="AC78" s="112"/>
      <c r="AD78" s="112"/>
      <c r="AE78" s="333"/>
      <c r="AF78" s="333"/>
      <c r="AG78" s="333"/>
      <c r="AH78" s="333"/>
      <c r="AI78" s="333"/>
      <c r="AJ78" s="333"/>
      <c r="AK78" s="333"/>
      <c r="AL78" s="333"/>
      <c r="AM78" s="333"/>
      <c r="AN78" s="333"/>
      <c r="AO78" s="333"/>
      <c r="AP78" s="333"/>
      <c r="AQ78" s="329"/>
      <c r="AR78" s="333"/>
      <c r="AS78" s="333"/>
      <c r="AT78" s="333"/>
      <c r="AU78" s="333"/>
      <c r="AV78" s="333"/>
      <c r="AW78" s="333"/>
      <c r="AX78" s="333"/>
      <c r="AY78" s="333"/>
      <c r="AZ78" s="143"/>
      <c r="BA78" s="143"/>
      <c r="BB78" s="143"/>
      <c r="BC78" s="333"/>
      <c r="BD78" s="333"/>
      <c r="BE78" s="333"/>
      <c r="BF78" s="333"/>
      <c r="BG78" s="333"/>
      <c r="BH78" s="333"/>
      <c r="BI78" s="333"/>
      <c r="BJ78" s="333"/>
      <c r="BK78" s="333"/>
      <c r="BL78" s="333"/>
      <c r="BM78" s="333"/>
      <c r="BN78" s="333"/>
      <c r="BO78" s="333"/>
      <c r="BP78" s="333"/>
      <c r="BQ78" s="333"/>
      <c r="BR78" s="333"/>
      <c r="BS78" s="333"/>
      <c r="BT78" s="333"/>
      <c r="BU78" s="333"/>
      <c r="BV78" s="333"/>
      <c r="BW78" s="333"/>
      <c r="BX78" s="333"/>
      <c r="BY78" s="333"/>
      <c r="BZ78" s="333"/>
      <c r="CA78" s="333"/>
      <c r="CB78" s="333"/>
      <c r="CC78" s="333"/>
      <c r="CD78" s="333"/>
      <c r="CE78" s="333"/>
      <c r="CF78" s="333"/>
      <c r="CG78" s="333"/>
      <c r="CH78" s="333"/>
      <c r="CI78" s="333"/>
      <c r="CJ78" s="333"/>
      <c r="CK78" s="333"/>
      <c r="CL78" s="333"/>
      <c r="CM78" s="333"/>
      <c r="CN78" s="333"/>
      <c r="CO78" s="333"/>
      <c r="CP78" s="333"/>
      <c r="CQ78" s="333"/>
      <c r="CR78" s="333"/>
      <c r="CS78" s="333"/>
      <c r="CT78" s="333"/>
      <c r="CU78" s="333"/>
      <c r="CV78" s="333"/>
      <c r="CW78" s="333"/>
      <c r="CX78" s="333"/>
      <c r="CY78" s="333"/>
      <c r="CZ78" s="333"/>
      <c r="DA78" s="333"/>
      <c r="DB78" s="333"/>
      <c r="DC78" s="333"/>
      <c r="DD78" s="333"/>
      <c r="DE78" s="333"/>
      <c r="DF78" s="333"/>
      <c r="DG78" s="333"/>
      <c r="DH78" s="333"/>
      <c r="DI78" s="333"/>
      <c r="DJ78" s="333"/>
      <c r="DK78" s="333"/>
      <c r="DL78" s="333"/>
      <c r="DM78" s="333"/>
      <c r="DN78" s="333"/>
      <c r="DO78" s="333"/>
      <c r="DP78" s="333"/>
      <c r="DQ78" s="333"/>
      <c r="DR78" s="333"/>
      <c r="DS78" s="333"/>
      <c r="DT78" s="333">
        <v>45504</v>
      </c>
      <c r="DU78" s="334">
        <v>45509</v>
      </c>
      <c r="DV78" s="46">
        <v>45569</v>
      </c>
      <c r="DW78" s="46">
        <v>45665</v>
      </c>
      <c r="DX78" s="46">
        <v>45695</v>
      </c>
      <c r="DY78" s="46"/>
      <c r="DZ78" s="46"/>
      <c r="EA78" s="46"/>
      <c r="EB78" s="46"/>
      <c r="EC78" s="46"/>
      <c r="ED78" s="142"/>
      <c r="EE78" s="142"/>
      <c r="EF78" s="341"/>
      <c r="EG78" s="365"/>
      <c r="EH78" s="341"/>
    </row>
    <row r="79" spans="1:138" s="36" customFormat="1" ht="31.15">
      <c r="A79" s="31"/>
      <c r="B79" s="352" t="s">
        <v>261</v>
      </c>
      <c r="C79" s="340" t="s">
        <v>262</v>
      </c>
      <c r="D79" s="342" t="s">
        <v>242</v>
      </c>
      <c r="E79" s="340" t="s">
        <v>263</v>
      </c>
      <c r="F79" s="340" t="s">
        <v>229</v>
      </c>
      <c r="G79" s="340" t="s">
        <v>146</v>
      </c>
      <c r="H79" s="40" t="s">
        <v>147</v>
      </c>
      <c r="I79" s="31">
        <v>45422</v>
      </c>
      <c r="J79" s="94"/>
      <c r="K79" s="31">
        <v>45428</v>
      </c>
      <c r="L79" s="276" t="s">
        <v>148</v>
      </c>
      <c r="M79" s="94">
        <f>K79+7</f>
        <v>45435</v>
      </c>
      <c r="N79" s="94">
        <f>M79+7</f>
        <v>45442</v>
      </c>
      <c r="O79" s="94" t="s">
        <v>149</v>
      </c>
      <c r="P79" s="94">
        <f>N79+7</f>
        <v>45449</v>
      </c>
      <c r="Q79" s="94">
        <f>P79+7</f>
        <v>45456</v>
      </c>
      <c r="R79" s="94">
        <f>Q79+7</f>
        <v>45463</v>
      </c>
      <c r="S79" s="141" t="s">
        <v>149</v>
      </c>
      <c r="T79" s="141">
        <f>R79+7</f>
        <v>45470</v>
      </c>
      <c r="U79" s="141">
        <f>T79+7</f>
        <v>45477</v>
      </c>
      <c r="V79" s="141">
        <f>U79+7</f>
        <v>45484</v>
      </c>
      <c r="W79" s="141" t="s">
        <v>149</v>
      </c>
      <c r="X79" s="141">
        <f>V79+7</f>
        <v>45491</v>
      </c>
      <c r="Y79" s="141">
        <f>X79+7</f>
        <v>45498</v>
      </c>
      <c r="Z79" s="141">
        <f>Y79+7</f>
        <v>45505</v>
      </c>
      <c r="AA79" s="141" t="s">
        <v>149</v>
      </c>
      <c r="AB79" s="141">
        <f>Z79+7</f>
        <v>45512</v>
      </c>
      <c r="AC79" s="141">
        <f>AB79+7</f>
        <v>45519</v>
      </c>
      <c r="AD79" s="141">
        <f>AC79+7</f>
        <v>45526</v>
      </c>
      <c r="AE79" s="141" t="s">
        <v>149</v>
      </c>
      <c r="AF79" s="141">
        <f>AD79+7</f>
        <v>45533</v>
      </c>
      <c r="AG79" s="141">
        <f>AF79+7</f>
        <v>45540</v>
      </c>
      <c r="AH79" s="141">
        <f>AG79+7</f>
        <v>45547</v>
      </c>
      <c r="AI79" s="141" t="s">
        <v>149</v>
      </c>
      <c r="AJ79" s="141">
        <f>AH79+7</f>
        <v>45554</v>
      </c>
      <c r="AK79" s="141">
        <f>AJ79+7</f>
        <v>45561</v>
      </c>
      <c r="AL79" s="141">
        <f>AK79+7</f>
        <v>45568</v>
      </c>
      <c r="AM79" s="141" t="s">
        <v>149</v>
      </c>
      <c r="AN79" s="141">
        <f>AL79+7</f>
        <v>45575</v>
      </c>
      <c r="AO79" s="141">
        <f>AN79+7</f>
        <v>45582</v>
      </c>
      <c r="AP79" s="141">
        <f>AO79+7</f>
        <v>45589</v>
      </c>
      <c r="AQ79" s="141" t="s">
        <v>149</v>
      </c>
      <c r="AR79" s="141">
        <f>AP79+7</f>
        <v>45596</v>
      </c>
      <c r="AS79" s="141">
        <f>AR79+7</f>
        <v>45603</v>
      </c>
      <c r="AT79" s="141">
        <f>AS79+7</f>
        <v>45610</v>
      </c>
      <c r="AU79" s="141" t="s">
        <v>149</v>
      </c>
      <c r="AV79" s="141">
        <f>AT79+7</f>
        <v>45617</v>
      </c>
      <c r="AW79" s="141">
        <f>AV79+7</f>
        <v>45624</v>
      </c>
      <c r="AX79" s="141">
        <f>AW79+7</f>
        <v>45631</v>
      </c>
      <c r="AY79" s="141" t="s">
        <v>149</v>
      </c>
      <c r="AZ79" s="141">
        <f>AX79+7</f>
        <v>45638</v>
      </c>
      <c r="BA79" s="141">
        <f>AZ79+7</f>
        <v>45645</v>
      </c>
      <c r="BB79" s="141">
        <f>BA79+7</f>
        <v>45652</v>
      </c>
      <c r="BC79" s="141" t="s">
        <v>149</v>
      </c>
      <c r="BD79" s="141">
        <f>BB79+7</f>
        <v>45659</v>
      </c>
      <c r="BE79" s="141">
        <f>BD79+7</f>
        <v>45666</v>
      </c>
      <c r="BF79" s="141">
        <f>BE79+7</f>
        <v>45673</v>
      </c>
      <c r="BG79" s="141" t="s">
        <v>148</v>
      </c>
      <c r="BH79" s="141">
        <f>BF79+7</f>
        <v>45680</v>
      </c>
      <c r="BI79" s="141">
        <f>BH79+7</f>
        <v>45687</v>
      </c>
      <c r="BJ79" s="141">
        <f>BI79+7</f>
        <v>45694</v>
      </c>
      <c r="BK79" s="141" t="s">
        <v>148</v>
      </c>
      <c r="BL79" s="141">
        <f>BJ79+7</f>
        <v>45701</v>
      </c>
      <c r="BM79" s="141">
        <f>BL79+7</f>
        <v>45708</v>
      </c>
      <c r="BN79" s="141">
        <f>BM79+7</f>
        <v>45715</v>
      </c>
      <c r="BO79" s="141" t="s">
        <v>149</v>
      </c>
      <c r="BP79" s="141">
        <f>BN79+7</f>
        <v>45722</v>
      </c>
      <c r="BQ79" s="141">
        <f>BP79+7</f>
        <v>45729</v>
      </c>
      <c r="BR79" s="141">
        <f>BQ79+7</f>
        <v>45736</v>
      </c>
      <c r="BS79" s="141" t="s">
        <v>148</v>
      </c>
      <c r="BT79" s="141">
        <f>BR79+7</f>
        <v>45743</v>
      </c>
      <c r="BU79" s="141">
        <f>BT79+7</f>
        <v>45750</v>
      </c>
      <c r="BV79" s="141">
        <f>BU79+7</f>
        <v>45757</v>
      </c>
      <c r="BW79" s="141" t="s">
        <v>149</v>
      </c>
      <c r="BX79" s="141">
        <f>BV79+7</f>
        <v>45764</v>
      </c>
      <c r="BY79" s="141">
        <f>BX79+7</f>
        <v>45771</v>
      </c>
      <c r="BZ79" s="141">
        <f>BY79+7</f>
        <v>45778</v>
      </c>
      <c r="CA79" s="141" t="s">
        <v>149</v>
      </c>
      <c r="CB79" s="141"/>
      <c r="CC79" s="141"/>
      <c r="CD79" s="141"/>
      <c r="CE79" s="141"/>
      <c r="CF79" s="141"/>
      <c r="CG79" s="141"/>
      <c r="CH79" s="141"/>
      <c r="CI79" s="141"/>
      <c r="CJ79" s="141"/>
      <c r="CK79" s="141"/>
      <c r="CL79" s="141"/>
      <c r="CM79" s="141"/>
      <c r="CN79" s="141"/>
      <c r="CO79" s="141"/>
      <c r="CP79" s="141"/>
      <c r="CQ79" s="141"/>
      <c r="CR79" s="141"/>
      <c r="CS79" s="141"/>
      <c r="CT79" s="141"/>
      <c r="CU79" s="141"/>
      <c r="CV79" s="141"/>
      <c r="CW79" s="141"/>
      <c r="CX79" s="141"/>
      <c r="CY79" s="141"/>
      <c r="CZ79" s="141"/>
      <c r="DA79" s="141"/>
      <c r="DB79" s="141"/>
      <c r="DC79" s="141"/>
      <c r="DD79" s="141"/>
      <c r="DE79" s="141"/>
      <c r="DF79" s="141"/>
      <c r="DG79" s="141"/>
      <c r="DH79" s="141"/>
      <c r="DI79" s="141"/>
      <c r="DJ79" s="141"/>
      <c r="DK79" s="141"/>
      <c r="DL79" s="141"/>
      <c r="DM79" s="141"/>
      <c r="DN79" s="141"/>
      <c r="DO79" s="141"/>
      <c r="DP79" s="141"/>
      <c r="DQ79" s="141"/>
      <c r="DR79" s="141"/>
      <c r="DS79" s="141"/>
      <c r="DT79" s="141"/>
      <c r="DU79" s="141"/>
      <c r="DV79" s="40"/>
      <c r="DW79" s="40"/>
      <c r="DX79" s="40"/>
      <c r="DY79" s="40"/>
      <c r="DZ79" s="40"/>
      <c r="EA79" s="40"/>
      <c r="EB79" s="40"/>
      <c r="EC79" s="40"/>
      <c r="ED79" s="267"/>
      <c r="EE79" s="35"/>
      <c r="EF79" s="344"/>
      <c r="EG79" s="345"/>
      <c r="EH79" s="344"/>
    </row>
    <row r="80" spans="1:138" s="144" customFormat="1" ht="31.15">
      <c r="A80" s="112"/>
      <c r="B80" s="353"/>
      <c r="C80" s="341"/>
      <c r="D80" s="343"/>
      <c r="E80" s="341"/>
      <c r="F80" s="341"/>
      <c r="G80" s="341"/>
      <c r="H80" s="325" t="s">
        <v>150</v>
      </c>
      <c r="I80" s="112">
        <v>45415</v>
      </c>
      <c r="J80" s="325"/>
      <c r="K80" s="112"/>
      <c r="L80" s="277" t="s">
        <v>148</v>
      </c>
      <c r="M80" s="112"/>
      <c r="N80" s="112"/>
      <c r="O80" s="325"/>
      <c r="P80" s="112"/>
      <c r="Q80" s="112"/>
      <c r="R80" s="112"/>
      <c r="S80" s="325"/>
      <c r="T80" s="112"/>
      <c r="U80" s="112"/>
      <c r="V80" s="112"/>
      <c r="W80" s="46"/>
      <c r="X80" s="112"/>
      <c r="Y80" s="112"/>
      <c r="Z80" s="112"/>
      <c r="AA80" s="142"/>
      <c r="AB80" s="112"/>
      <c r="AC80" s="112"/>
      <c r="AD80" s="112"/>
      <c r="AE80" s="333"/>
      <c r="AF80" s="333"/>
      <c r="AG80" s="333"/>
      <c r="AH80" s="333"/>
      <c r="AI80" s="333"/>
      <c r="AJ80" s="333"/>
      <c r="AK80" s="333"/>
      <c r="AL80" s="333"/>
      <c r="AM80" s="333"/>
      <c r="AN80" s="333"/>
      <c r="AO80" s="333"/>
      <c r="AP80" s="333"/>
      <c r="AQ80" s="329"/>
      <c r="AR80" s="333"/>
      <c r="AS80" s="333"/>
      <c r="AT80" s="333"/>
      <c r="AU80" s="333"/>
      <c r="AV80" s="333"/>
      <c r="AW80" s="333"/>
      <c r="AX80" s="333"/>
      <c r="AY80" s="333"/>
      <c r="AZ80" s="143"/>
      <c r="BA80" s="143"/>
      <c r="BB80" s="143"/>
      <c r="BC80" s="333"/>
      <c r="BD80" s="333"/>
      <c r="BE80" s="333"/>
      <c r="BF80" s="333"/>
      <c r="BG80" s="333"/>
      <c r="BH80" s="333"/>
      <c r="BI80" s="333"/>
      <c r="BJ80" s="333"/>
      <c r="BK80" s="333"/>
      <c r="BL80" s="333"/>
      <c r="BM80" s="333"/>
      <c r="BN80" s="333"/>
      <c r="BO80" s="333"/>
      <c r="BP80" s="333"/>
      <c r="BQ80" s="333"/>
      <c r="BR80" s="333"/>
      <c r="BS80" s="333"/>
      <c r="BT80" s="333"/>
      <c r="BU80" s="333"/>
      <c r="BV80" s="333"/>
      <c r="BW80" s="333"/>
      <c r="BX80" s="333"/>
      <c r="BY80" s="333"/>
      <c r="BZ80" s="333"/>
      <c r="CA80" s="333"/>
      <c r="CB80" s="333"/>
      <c r="CC80" s="333"/>
      <c r="CD80" s="333"/>
      <c r="CE80" s="333"/>
      <c r="CF80" s="333"/>
      <c r="CG80" s="333"/>
      <c r="CH80" s="333"/>
      <c r="CI80" s="333"/>
      <c r="CJ80" s="333"/>
      <c r="CK80" s="333"/>
      <c r="CL80" s="333"/>
      <c r="CM80" s="333"/>
      <c r="CN80" s="333"/>
      <c r="CO80" s="333"/>
      <c r="CP80" s="333"/>
      <c r="CQ80" s="333"/>
      <c r="CR80" s="333"/>
      <c r="CS80" s="333"/>
      <c r="CT80" s="333"/>
      <c r="CU80" s="333"/>
      <c r="CV80" s="333"/>
      <c r="CW80" s="333"/>
      <c r="CX80" s="333"/>
      <c r="CY80" s="333"/>
      <c r="CZ80" s="333"/>
      <c r="DA80" s="333"/>
      <c r="DB80" s="333"/>
      <c r="DC80" s="333"/>
      <c r="DD80" s="333"/>
      <c r="DE80" s="333"/>
      <c r="DF80" s="333"/>
      <c r="DG80" s="333"/>
      <c r="DH80" s="333"/>
      <c r="DI80" s="333"/>
      <c r="DJ80" s="333"/>
      <c r="DK80" s="333"/>
      <c r="DL80" s="333"/>
      <c r="DM80" s="333"/>
      <c r="DN80" s="333"/>
      <c r="DO80" s="333"/>
      <c r="DP80" s="333"/>
      <c r="DQ80" s="333"/>
      <c r="DR80" s="333"/>
      <c r="DS80" s="333"/>
      <c r="DT80" s="333"/>
      <c r="DU80" s="334"/>
      <c r="DV80" s="46"/>
      <c r="DW80" s="46"/>
      <c r="DX80" s="46"/>
      <c r="DY80" s="46"/>
      <c r="DZ80" s="46"/>
      <c r="EA80" s="46"/>
      <c r="EB80" s="46"/>
      <c r="EC80" s="46"/>
      <c r="ED80" s="142"/>
      <c r="EE80" s="142"/>
      <c r="EF80" s="344"/>
      <c r="EG80" s="345"/>
      <c r="EH80" s="345"/>
    </row>
    <row r="81" spans="1:138" s="36" customFormat="1" ht="31.15">
      <c r="A81" s="31"/>
      <c r="B81" s="352" t="s">
        <v>257</v>
      </c>
      <c r="C81" s="340" t="s">
        <v>264</v>
      </c>
      <c r="D81" s="342" t="s">
        <v>208</v>
      </c>
      <c r="E81" s="340" t="s">
        <v>265</v>
      </c>
      <c r="F81" s="340" t="s">
        <v>162</v>
      </c>
      <c r="G81" s="340" t="s">
        <v>253</v>
      </c>
      <c r="H81" s="40" t="s">
        <v>147</v>
      </c>
      <c r="I81" s="31">
        <v>45429</v>
      </c>
      <c r="J81" s="94"/>
      <c r="K81" s="31">
        <v>45433</v>
      </c>
      <c r="L81" s="276" t="s">
        <v>148</v>
      </c>
      <c r="M81" s="94">
        <f>K81+7</f>
        <v>45440</v>
      </c>
      <c r="N81" s="94">
        <f t="shared" ref="N81" si="230">M81+7</f>
        <v>45447</v>
      </c>
      <c r="O81" s="94" t="s">
        <v>149</v>
      </c>
      <c r="P81" s="94">
        <f t="shared" ref="P81" si="231">N81+7</f>
        <v>45454</v>
      </c>
      <c r="Q81" s="94">
        <f t="shared" ref="Q81:R81" si="232">P81+7</f>
        <v>45461</v>
      </c>
      <c r="R81" s="94">
        <f t="shared" si="232"/>
        <v>45468</v>
      </c>
      <c r="S81" s="141" t="s">
        <v>149</v>
      </c>
      <c r="T81" s="141">
        <f t="shared" ref="T81" si="233">R81+7</f>
        <v>45475</v>
      </c>
      <c r="U81" s="141">
        <f t="shared" ref="U81:V81" si="234">T81+7</f>
        <v>45482</v>
      </c>
      <c r="V81" s="141">
        <f t="shared" si="234"/>
        <v>45489</v>
      </c>
      <c r="W81" s="141" t="s">
        <v>149</v>
      </c>
      <c r="X81" s="141">
        <f t="shared" ref="X81" si="235">V81+7</f>
        <v>45496</v>
      </c>
      <c r="Y81" s="141">
        <f t="shared" ref="Y81:Z81" si="236">X81+7</f>
        <v>45503</v>
      </c>
      <c r="Z81" s="141">
        <f t="shared" si="236"/>
        <v>45510</v>
      </c>
      <c r="AA81" s="141" t="s">
        <v>149</v>
      </c>
      <c r="AB81" s="141">
        <f t="shared" ref="AB81" si="237">Z81+7</f>
        <v>45517</v>
      </c>
      <c r="AC81" s="141">
        <f t="shared" ref="AC81:AD81" si="238">AB81+7</f>
        <v>45524</v>
      </c>
      <c r="AD81" s="141">
        <f t="shared" si="238"/>
        <v>45531</v>
      </c>
      <c r="AE81" s="141" t="s">
        <v>149</v>
      </c>
      <c r="AF81" s="141">
        <f t="shared" ref="AF81" si="239">AD81+7</f>
        <v>45538</v>
      </c>
      <c r="AG81" s="141">
        <f t="shared" ref="AG81:AH81" si="240">AF81+7</f>
        <v>45545</v>
      </c>
      <c r="AH81" s="141">
        <f t="shared" si="240"/>
        <v>45552</v>
      </c>
      <c r="AI81" s="141" t="s">
        <v>149</v>
      </c>
      <c r="AJ81" s="141">
        <f t="shared" ref="AJ81" si="241">AH81+7</f>
        <v>45559</v>
      </c>
      <c r="AK81" s="141">
        <f t="shared" ref="AK81:AL81" si="242">AJ81+7</f>
        <v>45566</v>
      </c>
      <c r="AL81" s="141">
        <f t="shared" si="242"/>
        <v>45573</v>
      </c>
      <c r="AM81" s="141" t="s">
        <v>149</v>
      </c>
      <c r="AN81" s="141">
        <f t="shared" ref="AN81" si="243">AL81+7</f>
        <v>45580</v>
      </c>
      <c r="AO81" s="141">
        <f t="shared" ref="AO81:AP81" si="244">AN81+7</f>
        <v>45587</v>
      </c>
      <c r="AP81" s="141">
        <f t="shared" si="244"/>
        <v>45594</v>
      </c>
      <c r="AQ81" s="141" t="s">
        <v>149</v>
      </c>
      <c r="AR81" s="141">
        <f t="shared" ref="AR81" si="245">AP81+7</f>
        <v>45601</v>
      </c>
      <c r="AS81" s="141">
        <f t="shared" ref="AS81:AT81" si="246">AR81+7</f>
        <v>45608</v>
      </c>
      <c r="AT81" s="141">
        <f t="shared" si="246"/>
        <v>45615</v>
      </c>
      <c r="AU81" s="141" t="s">
        <v>149</v>
      </c>
      <c r="AV81" s="141">
        <f t="shared" ref="AV81" si="247">AT81+7</f>
        <v>45622</v>
      </c>
      <c r="AW81" s="141">
        <f t="shared" ref="AW81:AX81" si="248">AV81+7</f>
        <v>45629</v>
      </c>
      <c r="AX81" s="141">
        <f t="shared" si="248"/>
        <v>45636</v>
      </c>
      <c r="AY81" s="141" t="s">
        <v>149</v>
      </c>
      <c r="AZ81" s="141">
        <f t="shared" ref="AZ81" si="249">AX81+7</f>
        <v>45643</v>
      </c>
      <c r="BA81" s="141">
        <f t="shared" ref="BA81:BB81" si="250">AZ81+7</f>
        <v>45650</v>
      </c>
      <c r="BB81" s="141">
        <f t="shared" si="250"/>
        <v>45657</v>
      </c>
      <c r="BC81" s="141" t="s">
        <v>149</v>
      </c>
      <c r="BD81" s="141">
        <f t="shared" ref="BD81" si="251">BB81+7</f>
        <v>45664</v>
      </c>
      <c r="BE81" s="141">
        <f t="shared" ref="BE81:BF81" si="252">BD81+7</f>
        <v>45671</v>
      </c>
      <c r="BF81" s="141">
        <f t="shared" si="252"/>
        <v>45678</v>
      </c>
      <c r="BG81" s="141" t="s">
        <v>148</v>
      </c>
      <c r="BH81" s="141">
        <f t="shared" ref="BH81" si="253">BF81+7</f>
        <v>45685</v>
      </c>
      <c r="BI81" s="141">
        <f t="shared" ref="BI81:BJ81" si="254">BH81+7</f>
        <v>45692</v>
      </c>
      <c r="BJ81" s="141">
        <f t="shared" si="254"/>
        <v>45699</v>
      </c>
      <c r="BK81" s="141" t="s">
        <v>148</v>
      </c>
      <c r="BL81" s="141">
        <f t="shared" ref="BL81" si="255">BJ81+7</f>
        <v>45706</v>
      </c>
      <c r="BM81" s="141">
        <f t="shared" ref="BM81:BN81" si="256">BL81+7</f>
        <v>45713</v>
      </c>
      <c r="BN81" s="141">
        <f t="shared" si="256"/>
        <v>45720</v>
      </c>
      <c r="BO81" s="141" t="s">
        <v>149</v>
      </c>
      <c r="BP81" s="141">
        <f t="shared" ref="BP81" si="257">BN81+7</f>
        <v>45727</v>
      </c>
      <c r="BQ81" s="141">
        <f t="shared" ref="BQ81:BR81" si="258">BP81+7</f>
        <v>45734</v>
      </c>
      <c r="BR81" s="141">
        <f t="shared" si="258"/>
        <v>45741</v>
      </c>
      <c r="BS81" s="141" t="s">
        <v>148</v>
      </c>
      <c r="BT81" s="141">
        <f t="shared" ref="BT81" si="259">BR81+7</f>
        <v>45748</v>
      </c>
      <c r="BU81" s="141">
        <f t="shared" ref="BU81:BV81" si="260">BT81+7</f>
        <v>45755</v>
      </c>
      <c r="BV81" s="141">
        <f t="shared" si="260"/>
        <v>45762</v>
      </c>
      <c r="BW81" s="141" t="s">
        <v>149</v>
      </c>
      <c r="BX81" s="141">
        <f t="shared" ref="BX81" si="261">BV81+7</f>
        <v>45769</v>
      </c>
      <c r="BY81" s="141">
        <f t="shared" ref="BY81" si="262">BX81+7</f>
        <v>45776</v>
      </c>
      <c r="BZ81" s="141">
        <f t="shared" ref="BZ81" si="263">BY81+7</f>
        <v>45783</v>
      </c>
      <c r="CA81" s="141" t="s">
        <v>149</v>
      </c>
      <c r="CB81" s="141"/>
      <c r="CC81" s="141"/>
      <c r="CD81" s="141"/>
      <c r="CE81" s="141"/>
      <c r="CF81" s="141"/>
      <c r="CG81" s="141"/>
      <c r="CH81" s="141"/>
      <c r="CI81" s="141"/>
      <c r="CJ81" s="141"/>
      <c r="CK81" s="141"/>
      <c r="CL81" s="141"/>
      <c r="CM81" s="141"/>
      <c r="CN81" s="141"/>
      <c r="CO81" s="141"/>
      <c r="CP81" s="141"/>
      <c r="CQ81" s="141"/>
      <c r="CR81" s="141"/>
      <c r="CS81" s="141"/>
      <c r="CT81" s="141"/>
      <c r="CU81" s="141"/>
      <c r="CV81" s="141"/>
      <c r="CW81" s="141"/>
      <c r="CX81" s="141"/>
      <c r="CY81" s="141"/>
      <c r="CZ81" s="141"/>
      <c r="DA81" s="141"/>
      <c r="DB81" s="141"/>
      <c r="DC81" s="141"/>
      <c r="DD81" s="141"/>
      <c r="DE81" s="141"/>
      <c r="DF81" s="141"/>
      <c r="DG81" s="141"/>
      <c r="DH81" s="141"/>
      <c r="DI81" s="141"/>
      <c r="DJ81" s="141"/>
      <c r="DK81" s="141"/>
      <c r="DL81" s="141"/>
      <c r="DM81" s="141"/>
      <c r="DN81" s="141"/>
      <c r="DO81" s="141"/>
      <c r="DP81" s="141"/>
      <c r="DQ81" s="141"/>
      <c r="DR81" s="141"/>
      <c r="DS81" s="141"/>
      <c r="DT81" s="141"/>
      <c r="DU81" s="141"/>
      <c r="DV81" s="40"/>
      <c r="DW81" s="40"/>
      <c r="DX81" s="40"/>
      <c r="DY81" s="40"/>
      <c r="DZ81" s="40"/>
      <c r="EA81" s="40"/>
      <c r="EB81" s="40"/>
      <c r="EC81" s="40"/>
      <c r="ED81" s="267"/>
      <c r="EE81" s="35"/>
      <c r="EF81" s="344"/>
      <c r="EG81" s="345"/>
      <c r="EH81" s="344"/>
    </row>
    <row r="82" spans="1:138" s="144" customFormat="1" ht="31.15">
      <c r="A82" s="112"/>
      <c r="B82" s="353"/>
      <c r="C82" s="341"/>
      <c r="D82" s="343"/>
      <c r="E82" s="341"/>
      <c r="F82" s="341"/>
      <c r="G82" s="341"/>
      <c r="H82" s="325" t="s">
        <v>150</v>
      </c>
      <c r="I82" s="112">
        <v>45419</v>
      </c>
      <c r="J82" s="325"/>
      <c r="K82" s="112">
        <v>45433</v>
      </c>
      <c r="L82" s="277" t="s">
        <v>148</v>
      </c>
      <c r="M82" s="112">
        <v>45440</v>
      </c>
      <c r="N82" s="112">
        <v>45447</v>
      </c>
      <c r="O82" s="325" t="s">
        <v>148</v>
      </c>
      <c r="P82" s="112">
        <v>45454</v>
      </c>
      <c r="Q82" s="144">
        <v>45468</v>
      </c>
      <c r="R82" s="112">
        <v>45475</v>
      </c>
      <c r="S82" s="325" t="s">
        <v>148</v>
      </c>
      <c r="T82" s="144">
        <v>45482</v>
      </c>
      <c r="U82" s="144">
        <v>45489</v>
      </c>
      <c r="V82" s="112">
        <v>45496</v>
      </c>
      <c r="W82" s="46" t="s">
        <v>148</v>
      </c>
      <c r="X82" s="112"/>
      <c r="Y82" s="112"/>
      <c r="Z82" s="112"/>
      <c r="AA82" s="142"/>
      <c r="AB82" s="112"/>
      <c r="AC82" s="112"/>
      <c r="AD82" s="112"/>
      <c r="AE82" s="333"/>
      <c r="AF82" s="333"/>
      <c r="AG82" s="333"/>
      <c r="AH82" s="333"/>
      <c r="AI82" s="333"/>
      <c r="AJ82" s="333"/>
      <c r="AK82" s="333"/>
      <c r="AL82" s="333"/>
      <c r="AM82" s="333"/>
      <c r="AN82" s="333"/>
      <c r="AO82" s="333"/>
      <c r="AP82" s="333"/>
      <c r="AQ82" s="329"/>
      <c r="AR82" s="333"/>
      <c r="AS82" s="333"/>
      <c r="AT82" s="333"/>
      <c r="AU82" s="333"/>
      <c r="AV82" s="333"/>
      <c r="AW82" s="333"/>
      <c r="AX82" s="333"/>
      <c r="AY82" s="333"/>
      <c r="AZ82" s="143"/>
      <c r="BA82" s="143"/>
      <c r="BB82" s="143"/>
      <c r="BC82" s="333"/>
      <c r="BD82" s="333"/>
      <c r="BE82" s="333"/>
      <c r="BF82" s="333"/>
      <c r="BG82" s="333"/>
      <c r="BH82" s="333"/>
      <c r="BI82" s="333"/>
      <c r="BJ82" s="333"/>
      <c r="BK82" s="333"/>
      <c r="BL82" s="333"/>
      <c r="BM82" s="333"/>
      <c r="BN82" s="333"/>
      <c r="BO82" s="333"/>
      <c r="BP82" s="333"/>
      <c r="BQ82" s="333"/>
      <c r="BR82" s="333"/>
      <c r="BS82" s="333"/>
      <c r="BT82" s="333"/>
      <c r="BU82" s="333"/>
      <c r="BV82" s="333"/>
      <c r="BW82" s="333"/>
      <c r="BX82" s="333"/>
      <c r="BY82" s="333"/>
      <c r="BZ82" s="333"/>
      <c r="CA82" s="333"/>
      <c r="CB82" s="333"/>
      <c r="CC82" s="333"/>
      <c r="CD82" s="333"/>
      <c r="CE82" s="333"/>
      <c r="CF82" s="333"/>
      <c r="CG82" s="333"/>
      <c r="CH82" s="333"/>
      <c r="CI82" s="333"/>
      <c r="CJ82" s="333"/>
      <c r="CK82" s="333"/>
      <c r="CL82" s="333"/>
      <c r="CM82" s="333"/>
      <c r="CN82" s="333"/>
      <c r="CO82" s="333"/>
      <c r="CP82" s="333"/>
      <c r="CQ82" s="333"/>
      <c r="CR82" s="333"/>
      <c r="CS82" s="333"/>
      <c r="CT82" s="333"/>
      <c r="CU82" s="333"/>
      <c r="CV82" s="333"/>
      <c r="CW82" s="333"/>
      <c r="CX82" s="333"/>
      <c r="CY82" s="333"/>
      <c r="CZ82" s="333"/>
      <c r="DA82" s="333"/>
      <c r="DB82" s="333"/>
      <c r="DC82" s="333"/>
      <c r="DD82" s="333"/>
      <c r="DE82" s="333"/>
      <c r="DF82" s="333"/>
      <c r="DG82" s="333"/>
      <c r="DH82" s="333"/>
      <c r="DI82" s="333"/>
      <c r="DJ82" s="333"/>
      <c r="DK82" s="333"/>
      <c r="DL82" s="333"/>
      <c r="DM82" s="333"/>
      <c r="DN82" s="333"/>
      <c r="DO82" s="333"/>
      <c r="DP82" s="333"/>
      <c r="DQ82" s="333"/>
      <c r="DR82" s="333"/>
      <c r="DS82" s="333"/>
      <c r="DT82" s="333">
        <v>45503</v>
      </c>
      <c r="DU82" s="334">
        <v>45524</v>
      </c>
      <c r="DV82" s="144">
        <v>45548</v>
      </c>
      <c r="DW82" s="46">
        <v>45608</v>
      </c>
      <c r="DX82" s="255">
        <v>45670</v>
      </c>
      <c r="DY82" s="255">
        <v>45729</v>
      </c>
      <c r="DZ82" s="46">
        <v>45909</v>
      </c>
      <c r="EA82" s="46"/>
      <c r="EB82" s="46"/>
      <c r="EC82" s="46"/>
      <c r="ED82" s="142"/>
      <c r="EE82" s="142"/>
      <c r="EF82" s="344"/>
      <c r="EG82" s="345"/>
      <c r="EH82" s="345"/>
    </row>
    <row r="83" spans="1:138" s="36" customFormat="1" ht="31.15">
      <c r="A83" s="31"/>
      <c r="B83" s="352" t="s">
        <v>266</v>
      </c>
      <c r="C83" s="340" t="s">
        <v>267</v>
      </c>
      <c r="D83" s="342" t="s">
        <v>199</v>
      </c>
      <c r="E83" s="340" t="s">
        <v>217</v>
      </c>
      <c r="F83" s="340" t="s">
        <v>197</v>
      </c>
      <c r="G83" s="340" t="s">
        <v>146</v>
      </c>
      <c r="H83" s="40" t="s">
        <v>147</v>
      </c>
      <c r="I83" s="31">
        <v>45422</v>
      </c>
      <c r="J83" s="94"/>
      <c r="K83" s="31">
        <v>45428</v>
      </c>
      <c r="L83" s="276" t="s">
        <v>148</v>
      </c>
      <c r="M83" s="94">
        <f>K83+7</f>
        <v>45435</v>
      </c>
      <c r="N83" s="94">
        <f t="shared" ref="N83" si="264">M83+7</f>
        <v>45442</v>
      </c>
      <c r="O83" s="94" t="s">
        <v>149</v>
      </c>
      <c r="P83" s="94">
        <f t="shared" ref="P83" si="265">N83+7</f>
        <v>45449</v>
      </c>
      <c r="Q83" s="94">
        <f t="shared" ref="Q83:R83" si="266">P83+7</f>
        <v>45456</v>
      </c>
      <c r="R83" s="94">
        <f t="shared" si="266"/>
        <v>45463</v>
      </c>
      <c r="S83" s="141" t="s">
        <v>149</v>
      </c>
      <c r="T83" s="141">
        <f t="shared" ref="T83" si="267">R83+7</f>
        <v>45470</v>
      </c>
      <c r="U83" s="141">
        <f t="shared" ref="U83:V83" si="268">T83+7</f>
        <v>45477</v>
      </c>
      <c r="V83" s="141">
        <f t="shared" si="268"/>
        <v>45484</v>
      </c>
      <c r="W83" s="141" t="s">
        <v>149</v>
      </c>
      <c r="X83" s="141">
        <f t="shared" ref="X83" si="269">V83+7</f>
        <v>45491</v>
      </c>
      <c r="Y83" s="141">
        <f t="shared" ref="Y83:Z83" si="270">X83+7</f>
        <v>45498</v>
      </c>
      <c r="Z83" s="141">
        <f t="shared" si="270"/>
        <v>45505</v>
      </c>
      <c r="AA83" s="141" t="s">
        <v>149</v>
      </c>
      <c r="AB83" s="141">
        <f t="shared" ref="AB83" si="271">Z83+7</f>
        <v>45512</v>
      </c>
      <c r="AC83" s="141">
        <f t="shared" ref="AC83:AD83" si="272">AB83+7</f>
        <v>45519</v>
      </c>
      <c r="AD83" s="141">
        <f t="shared" si="272"/>
        <v>45526</v>
      </c>
      <c r="AE83" s="141" t="s">
        <v>149</v>
      </c>
      <c r="AF83" s="141">
        <f t="shared" ref="AF83" si="273">AD83+7</f>
        <v>45533</v>
      </c>
      <c r="AG83" s="141">
        <f t="shared" ref="AG83:AH83" si="274">AF83+7</f>
        <v>45540</v>
      </c>
      <c r="AH83" s="141">
        <f t="shared" si="274"/>
        <v>45547</v>
      </c>
      <c r="AI83" s="141" t="s">
        <v>149</v>
      </c>
      <c r="AJ83" s="141">
        <f t="shared" ref="AJ83" si="275">AH83+7</f>
        <v>45554</v>
      </c>
      <c r="AK83" s="141">
        <f t="shared" ref="AK83:AL83" si="276">AJ83+7</f>
        <v>45561</v>
      </c>
      <c r="AL83" s="141">
        <f t="shared" si="276"/>
        <v>45568</v>
      </c>
      <c r="AM83" s="141" t="s">
        <v>149</v>
      </c>
      <c r="AN83" s="141">
        <f t="shared" ref="AN83" si="277">AL83+7</f>
        <v>45575</v>
      </c>
      <c r="AO83" s="141">
        <f t="shared" ref="AO83:AP83" si="278">AN83+7</f>
        <v>45582</v>
      </c>
      <c r="AP83" s="141">
        <f t="shared" si="278"/>
        <v>45589</v>
      </c>
      <c r="AQ83" s="141" t="s">
        <v>149</v>
      </c>
      <c r="AR83" s="141">
        <f t="shared" ref="AR83" si="279">AP83+7</f>
        <v>45596</v>
      </c>
      <c r="AS83" s="141">
        <f t="shared" ref="AS83:AT83" si="280">AR83+7</f>
        <v>45603</v>
      </c>
      <c r="AT83" s="141">
        <f t="shared" si="280"/>
        <v>45610</v>
      </c>
      <c r="AU83" s="141" t="s">
        <v>149</v>
      </c>
      <c r="AV83" s="141">
        <f t="shared" ref="AV83" si="281">AT83+7</f>
        <v>45617</v>
      </c>
      <c r="AW83" s="141">
        <f t="shared" ref="AW83:AX83" si="282">AV83+7</f>
        <v>45624</v>
      </c>
      <c r="AX83" s="141">
        <f t="shared" si="282"/>
        <v>45631</v>
      </c>
      <c r="AY83" s="141" t="s">
        <v>149</v>
      </c>
      <c r="AZ83" s="141">
        <f t="shared" ref="AZ83" si="283">AX83+7</f>
        <v>45638</v>
      </c>
      <c r="BA83" s="141">
        <f t="shared" ref="BA83:BB83" si="284">AZ83+7</f>
        <v>45645</v>
      </c>
      <c r="BB83" s="141">
        <f t="shared" si="284"/>
        <v>45652</v>
      </c>
      <c r="BC83" s="141" t="s">
        <v>149</v>
      </c>
      <c r="BD83" s="141">
        <f t="shared" ref="BD83" si="285">BB83+7</f>
        <v>45659</v>
      </c>
      <c r="BE83" s="141">
        <f t="shared" ref="BE83:BF83" si="286">BD83+7</f>
        <v>45666</v>
      </c>
      <c r="BF83" s="141">
        <f t="shared" si="286"/>
        <v>45673</v>
      </c>
      <c r="BG83" s="141" t="s">
        <v>148</v>
      </c>
      <c r="BH83" s="141">
        <f t="shared" ref="BH83" si="287">BF83+7</f>
        <v>45680</v>
      </c>
      <c r="BI83" s="141">
        <f t="shared" ref="BI83:BJ83" si="288">BH83+7</f>
        <v>45687</v>
      </c>
      <c r="BJ83" s="141">
        <f t="shared" si="288"/>
        <v>45694</v>
      </c>
      <c r="BK83" s="141" t="s">
        <v>148</v>
      </c>
      <c r="BL83" s="141">
        <f t="shared" ref="BL83" si="289">BJ83+7</f>
        <v>45701</v>
      </c>
      <c r="BM83" s="141">
        <f t="shared" ref="BM83:BN83" si="290">BL83+7</f>
        <v>45708</v>
      </c>
      <c r="BN83" s="141">
        <f t="shared" si="290"/>
        <v>45715</v>
      </c>
      <c r="BO83" s="141" t="s">
        <v>149</v>
      </c>
      <c r="BP83" s="141">
        <f t="shared" ref="BP83" si="291">BN83+7</f>
        <v>45722</v>
      </c>
      <c r="BQ83" s="141">
        <f t="shared" ref="BQ83:BR83" si="292">BP83+7</f>
        <v>45729</v>
      </c>
      <c r="BR83" s="141">
        <f t="shared" si="292"/>
        <v>45736</v>
      </c>
      <c r="BS83" s="141" t="s">
        <v>148</v>
      </c>
      <c r="BT83" s="141">
        <f t="shared" ref="BT83" si="293">BR83+7</f>
        <v>45743</v>
      </c>
      <c r="BU83" s="141">
        <f t="shared" ref="BU83:BV83" si="294">BT83+7</f>
        <v>45750</v>
      </c>
      <c r="BV83" s="141">
        <f t="shared" si="294"/>
        <v>45757</v>
      </c>
      <c r="BW83" s="141" t="s">
        <v>149</v>
      </c>
      <c r="BX83" s="141">
        <f t="shared" ref="BX83" si="295">BV83+7</f>
        <v>45764</v>
      </c>
      <c r="BY83" s="141">
        <f t="shared" ref="BY83" si="296">BX83+7</f>
        <v>45771</v>
      </c>
      <c r="BZ83" s="141">
        <f t="shared" ref="BZ83" si="297">BY83+7</f>
        <v>45778</v>
      </c>
      <c r="CA83" s="141" t="s">
        <v>149</v>
      </c>
      <c r="CB83" s="141"/>
      <c r="CC83" s="141"/>
      <c r="CD83" s="141"/>
      <c r="CE83" s="141"/>
      <c r="CF83" s="141"/>
      <c r="CG83" s="141"/>
      <c r="CH83" s="141"/>
      <c r="CI83" s="141"/>
      <c r="CJ83" s="141"/>
      <c r="CK83" s="141"/>
      <c r="CL83" s="141"/>
      <c r="CM83" s="141"/>
      <c r="CN83" s="141"/>
      <c r="CO83" s="141"/>
      <c r="CP83" s="141"/>
      <c r="CQ83" s="141"/>
      <c r="CR83" s="141"/>
      <c r="CS83" s="141"/>
      <c r="CT83" s="141"/>
      <c r="CU83" s="141"/>
      <c r="CV83" s="141"/>
      <c r="CW83" s="141"/>
      <c r="CX83" s="141"/>
      <c r="CY83" s="141"/>
      <c r="CZ83" s="141"/>
      <c r="DA83" s="141"/>
      <c r="DB83" s="141"/>
      <c r="DC83" s="141"/>
      <c r="DD83" s="141"/>
      <c r="DE83" s="141"/>
      <c r="DF83" s="141"/>
      <c r="DG83" s="141"/>
      <c r="DH83" s="141"/>
      <c r="DI83" s="141"/>
      <c r="DJ83" s="141"/>
      <c r="DK83" s="141"/>
      <c r="DL83" s="141"/>
      <c r="DM83" s="141"/>
      <c r="DN83" s="141"/>
      <c r="DO83" s="141"/>
      <c r="DP83" s="141"/>
      <c r="DQ83" s="141"/>
      <c r="DR83" s="141"/>
      <c r="DS83" s="141"/>
      <c r="DT83" s="141"/>
      <c r="DU83" s="141"/>
      <c r="DV83" s="40"/>
      <c r="DW83" s="40"/>
      <c r="DX83" s="40"/>
      <c r="DY83" s="40"/>
      <c r="DZ83" s="40"/>
      <c r="EA83" s="40"/>
      <c r="EB83" s="40"/>
      <c r="EC83" s="40"/>
      <c r="ED83" s="267"/>
      <c r="EE83" s="35"/>
      <c r="EF83" s="344"/>
      <c r="EG83" s="345"/>
      <c r="EH83" s="344"/>
    </row>
    <row r="84" spans="1:138" s="144" customFormat="1" ht="31.15">
      <c r="A84" s="112"/>
      <c r="B84" s="353"/>
      <c r="C84" s="341"/>
      <c r="D84" s="343"/>
      <c r="E84" s="341"/>
      <c r="F84" s="341"/>
      <c r="G84" s="341"/>
      <c r="H84" s="325" t="s">
        <v>150</v>
      </c>
      <c r="I84" s="112">
        <v>45419</v>
      </c>
      <c r="J84" s="325"/>
      <c r="K84" s="112">
        <v>45428</v>
      </c>
      <c r="L84" s="277" t="s">
        <v>148</v>
      </c>
      <c r="M84" s="112">
        <v>45435</v>
      </c>
      <c r="N84" s="112">
        <v>45442</v>
      </c>
      <c r="O84" s="325" t="s">
        <v>148</v>
      </c>
      <c r="P84" s="112">
        <v>45450</v>
      </c>
      <c r="Q84" s="112">
        <v>45457</v>
      </c>
      <c r="R84" s="112">
        <v>45464</v>
      </c>
      <c r="S84" s="325" t="s">
        <v>148</v>
      </c>
      <c r="T84" s="112">
        <v>45469</v>
      </c>
      <c r="U84" s="112">
        <v>45476</v>
      </c>
      <c r="V84" s="112"/>
      <c r="W84" s="46"/>
      <c r="X84" s="112"/>
      <c r="Y84" s="112"/>
      <c r="Z84" s="112"/>
      <c r="AA84" s="142"/>
      <c r="AB84" s="112"/>
      <c r="AC84" s="112"/>
      <c r="AD84" s="112"/>
      <c r="AE84" s="333"/>
      <c r="AF84" s="333"/>
      <c r="AG84" s="333"/>
      <c r="AH84" s="333"/>
      <c r="AI84" s="333"/>
      <c r="AJ84" s="333"/>
      <c r="AK84" s="333"/>
      <c r="AL84" s="333"/>
      <c r="AM84" s="333"/>
      <c r="AN84" s="333"/>
      <c r="AO84" s="333"/>
      <c r="AP84" s="333"/>
      <c r="AQ84" s="329"/>
      <c r="AR84" s="333"/>
      <c r="AS84" s="333"/>
      <c r="AT84" s="333"/>
      <c r="AU84" s="333"/>
      <c r="AV84" s="333"/>
      <c r="AW84" s="333"/>
      <c r="AX84" s="333"/>
      <c r="AY84" s="333"/>
      <c r="AZ84" s="143"/>
      <c r="BA84" s="143"/>
      <c r="BB84" s="143"/>
      <c r="BC84" s="333"/>
      <c r="BD84" s="333"/>
      <c r="BE84" s="333"/>
      <c r="BF84" s="333"/>
      <c r="BG84" s="333"/>
      <c r="BH84" s="333"/>
      <c r="BI84" s="333"/>
      <c r="BJ84" s="333"/>
      <c r="BK84" s="333"/>
      <c r="BL84" s="333"/>
      <c r="BM84" s="333"/>
      <c r="BN84" s="333"/>
      <c r="BO84" s="333"/>
      <c r="BP84" s="333"/>
      <c r="BQ84" s="333"/>
      <c r="BR84" s="333"/>
      <c r="BS84" s="333"/>
      <c r="BT84" s="333"/>
      <c r="BU84" s="333"/>
      <c r="BV84" s="333"/>
      <c r="BW84" s="333"/>
      <c r="BX84" s="333"/>
      <c r="BY84" s="333"/>
      <c r="BZ84" s="333"/>
      <c r="CA84" s="333"/>
      <c r="CB84" s="333"/>
      <c r="CC84" s="333"/>
      <c r="CD84" s="333"/>
      <c r="CE84" s="333"/>
      <c r="CF84" s="333"/>
      <c r="CG84" s="333"/>
      <c r="CH84" s="333"/>
      <c r="CI84" s="333"/>
      <c r="CJ84" s="333"/>
      <c r="CK84" s="333"/>
      <c r="CL84" s="333"/>
      <c r="CM84" s="333"/>
      <c r="CN84" s="333"/>
      <c r="CO84" s="333"/>
      <c r="CP84" s="333"/>
      <c r="CQ84" s="333"/>
      <c r="CR84" s="333"/>
      <c r="CS84" s="333"/>
      <c r="CT84" s="333"/>
      <c r="CU84" s="333"/>
      <c r="CV84" s="333"/>
      <c r="CW84" s="333"/>
      <c r="CX84" s="333"/>
      <c r="CY84" s="333"/>
      <c r="CZ84" s="333"/>
      <c r="DA84" s="333"/>
      <c r="DB84" s="333"/>
      <c r="DC84" s="333"/>
      <c r="DD84" s="333"/>
      <c r="DE84" s="333"/>
      <c r="DF84" s="333"/>
      <c r="DG84" s="333"/>
      <c r="DH84" s="333"/>
      <c r="DI84" s="333"/>
      <c r="DJ84" s="333"/>
      <c r="DK84" s="333"/>
      <c r="DL84" s="333"/>
      <c r="DM84" s="333"/>
      <c r="DN84" s="333"/>
      <c r="DO84" s="333"/>
      <c r="DP84" s="333"/>
      <c r="DQ84" s="333"/>
      <c r="DR84" s="333"/>
      <c r="DS84" s="333"/>
      <c r="DT84" s="333">
        <v>45483</v>
      </c>
      <c r="DU84" s="334" t="s">
        <v>181</v>
      </c>
      <c r="DV84" s="46">
        <v>45572</v>
      </c>
      <c r="DW84" s="46"/>
      <c r="DX84" s="46"/>
      <c r="DY84" s="46"/>
      <c r="DZ84" s="46"/>
      <c r="EA84" s="46"/>
      <c r="EB84" s="46"/>
      <c r="EC84" s="46"/>
      <c r="ED84" s="142"/>
      <c r="EE84" s="142"/>
      <c r="EF84" s="344"/>
      <c r="EG84" s="345"/>
      <c r="EH84" s="345"/>
    </row>
    <row r="85" spans="1:138" s="36" customFormat="1" ht="31.15">
      <c r="A85" s="31"/>
      <c r="B85" s="352" t="s">
        <v>257</v>
      </c>
      <c r="C85" s="340" t="s">
        <v>264</v>
      </c>
      <c r="D85" s="342" t="s">
        <v>208</v>
      </c>
      <c r="E85" s="340" t="s">
        <v>268</v>
      </c>
      <c r="F85" s="340" t="s">
        <v>162</v>
      </c>
      <c r="G85" s="340" t="s">
        <v>253</v>
      </c>
      <c r="H85" s="40" t="s">
        <v>147</v>
      </c>
      <c r="I85" s="31">
        <v>45422</v>
      </c>
      <c r="J85" s="94"/>
      <c r="K85" s="31">
        <v>45433</v>
      </c>
      <c r="L85" s="276" t="s">
        <v>148</v>
      </c>
      <c r="M85" s="94">
        <f>K85+7</f>
        <v>45440</v>
      </c>
      <c r="N85" s="94">
        <f t="shared" ref="N85" si="298">M85+7</f>
        <v>45447</v>
      </c>
      <c r="O85" s="94" t="s">
        <v>149</v>
      </c>
      <c r="P85" s="94">
        <f t="shared" ref="P85" si="299">N85+7</f>
        <v>45454</v>
      </c>
      <c r="Q85" s="94">
        <f t="shared" ref="Q85:R85" si="300">P85+7</f>
        <v>45461</v>
      </c>
      <c r="R85" s="94">
        <f t="shared" si="300"/>
        <v>45468</v>
      </c>
      <c r="S85" s="141" t="s">
        <v>149</v>
      </c>
      <c r="T85" s="141">
        <f t="shared" ref="T85" si="301">R85+7</f>
        <v>45475</v>
      </c>
      <c r="U85" s="141">
        <f t="shared" ref="U85:V85" si="302">T85+7</f>
        <v>45482</v>
      </c>
      <c r="V85" s="141">
        <f t="shared" si="302"/>
        <v>45489</v>
      </c>
      <c r="W85" s="141" t="s">
        <v>149</v>
      </c>
      <c r="X85" s="141">
        <f t="shared" ref="X85" si="303">V85+7</f>
        <v>45496</v>
      </c>
      <c r="Y85" s="141">
        <f t="shared" ref="Y85:Z85" si="304">X85+7</f>
        <v>45503</v>
      </c>
      <c r="Z85" s="141">
        <f t="shared" si="304"/>
        <v>45510</v>
      </c>
      <c r="AA85" s="141" t="s">
        <v>149</v>
      </c>
      <c r="AB85" s="141">
        <f t="shared" ref="AB85" si="305">Z85+7</f>
        <v>45517</v>
      </c>
      <c r="AC85" s="141">
        <f t="shared" ref="AC85:AD85" si="306">AB85+7</f>
        <v>45524</v>
      </c>
      <c r="AD85" s="141">
        <f t="shared" si="306"/>
        <v>45531</v>
      </c>
      <c r="AE85" s="141" t="s">
        <v>149</v>
      </c>
      <c r="AF85" s="141">
        <f t="shared" ref="AF85" si="307">AD85+7</f>
        <v>45538</v>
      </c>
      <c r="AG85" s="141">
        <f t="shared" ref="AG85:AH85" si="308">AF85+7</f>
        <v>45545</v>
      </c>
      <c r="AH85" s="141">
        <f t="shared" si="308"/>
        <v>45552</v>
      </c>
      <c r="AI85" s="141" t="s">
        <v>149</v>
      </c>
      <c r="AJ85" s="141">
        <f t="shared" ref="AJ85" si="309">AH85+7</f>
        <v>45559</v>
      </c>
      <c r="AK85" s="141">
        <f t="shared" ref="AK85:AL85" si="310">AJ85+7</f>
        <v>45566</v>
      </c>
      <c r="AL85" s="141">
        <f t="shared" si="310"/>
        <v>45573</v>
      </c>
      <c r="AM85" s="141" t="s">
        <v>149</v>
      </c>
      <c r="AN85" s="141">
        <f t="shared" ref="AN85" si="311">AL85+7</f>
        <v>45580</v>
      </c>
      <c r="AO85" s="141">
        <f t="shared" ref="AO85:AP85" si="312">AN85+7</f>
        <v>45587</v>
      </c>
      <c r="AP85" s="141">
        <f t="shared" si="312"/>
        <v>45594</v>
      </c>
      <c r="AQ85" s="141" t="s">
        <v>149</v>
      </c>
      <c r="AR85" s="141">
        <f t="shared" ref="AR85" si="313">AP85+7</f>
        <v>45601</v>
      </c>
      <c r="AS85" s="141">
        <f t="shared" ref="AS85:AT85" si="314">AR85+7</f>
        <v>45608</v>
      </c>
      <c r="AT85" s="141">
        <f t="shared" si="314"/>
        <v>45615</v>
      </c>
      <c r="AU85" s="141" t="s">
        <v>149</v>
      </c>
      <c r="AV85" s="141">
        <f t="shared" ref="AV85" si="315">AT85+7</f>
        <v>45622</v>
      </c>
      <c r="AW85" s="141">
        <f t="shared" ref="AW85:AX85" si="316">AV85+7</f>
        <v>45629</v>
      </c>
      <c r="AX85" s="141">
        <f t="shared" si="316"/>
        <v>45636</v>
      </c>
      <c r="AY85" s="141" t="s">
        <v>149</v>
      </c>
      <c r="AZ85" s="141">
        <f t="shared" ref="AZ85" si="317">AX85+7</f>
        <v>45643</v>
      </c>
      <c r="BA85" s="141">
        <f t="shared" ref="BA85:BB85" si="318">AZ85+7</f>
        <v>45650</v>
      </c>
      <c r="BB85" s="141">
        <f t="shared" si="318"/>
        <v>45657</v>
      </c>
      <c r="BC85" s="141" t="s">
        <v>149</v>
      </c>
      <c r="BD85" s="141">
        <f t="shared" ref="BD85" si="319">BB85+7</f>
        <v>45664</v>
      </c>
      <c r="BE85" s="141">
        <f t="shared" ref="BE85:BF85" si="320">BD85+7</f>
        <v>45671</v>
      </c>
      <c r="BF85" s="141">
        <f t="shared" si="320"/>
        <v>45678</v>
      </c>
      <c r="BG85" s="141" t="s">
        <v>148</v>
      </c>
      <c r="BH85" s="141">
        <f t="shared" ref="BH85" si="321">BF85+7</f>
        <v>45685</v>
      </c>
      <c r="BI85" s="141">
        <f t="shared" ref="BI85:BJ85" si="322">BH85+7</f>
        <v>45692</v>
      </c>
      <c r="BJ85" s="141">
        <f t="shared" si="322"/>
        <v>45699</v>
      </c>
      <c r="BK85" s="141" t="s">
        <v>148</v>
      </c>
      <c r="BL85" s="141">
        <f t="shared" ref="BL85" si="323">BJ85+7</f>
        <v>45706</v>
      </c>
      <c r="BM85" s="141">
        <f t="shared" ref="BM85:BN85" si="324">BL85+7</f>
        <v>45713</v>
      </c>
      <c r="BN85" s="141">
        <f t="shared" si="324"/>
        <v>45720</v>
      </c>
      <c r="BO85" s="141" t="s">
        <v>149</v>
      </c>
      <c r="BP85" s="141">
        <f t="shared" ref="BP85" si="325">BN85+7</f>
        <v>45727</v>
      </c>
      <c r="BQ85" s="141">
        <f t="shared" ref="BQ85:BR85" si="326">BP85+7</f>
        <v>45734</v>
      </c>
      <c r="BR85" s="141">
        <f t="shared" si="326"/>
        <v>45741</v>
      </c>
      <c r="BS85" s="141" t="s">
        <v>148</v>
      </c>
      <c r="BT85" s="141">
        <f t="shared" ref="BT85" si="327">BR85+7</f>
        <v>45748</v>
      </c>
      <c r="BU85" s="141">
        <f t="shared" ref="BU85:BV85" si="328">BT85+7</f>
        <v>45755</v>
      </c>
      <c r="BV85" s="141">
        <f t="shared" si="328"/>
        <v>45762</v>
      </c>
      <c r="BW85" s="141" t="s">
        <v>149</v>
      </c>
      <c r="BX85" s="141">
        <f t="shared" ref="BX85" si="329">BV85+7</f>
        <v>45769</v>
      </c>
      <c r="BY85" s="141">
        <f t="shared" ref="BY85" si="330">BX85+7</f>
        <v>45776</v>
      </c>
      <c r="BZ85" s="141">
        <f t="shared" ref="BZ85" si="331">BY85+7</f>
        <v>45783</v>
      </c>
      <c r="CA85" s="141" t="s">
        <v>149</v>
      </c>
      <c r="CB85" s="141"/>
      <c r="CC85" s="141"/>
      <c r="CD85" s="141"/>
      <c r="CE85" s="141"/>
      <c r="CF85" s="141"/>
      <c r="CG85" s="141"/>
      <c r="CH85" s="141"/>
      <c r="CI85" s="141"/>
      <c r="CJ85" s="141"/>
      <c r="CK85" s="141"/>
      <c r="CL85" s="141"/>
      <c r="CM85" s="141"/>
      <c r="CN85" s="141"/>
      <c r="CO85" s="141"/>
      <c r="CP85" s="141"/>
      <c r="CQ85" s="141"/>
      <c r="CR85" s="141"/>
      <c r="CS85" s="141"/>
      <c r="CT85" s="141"/>
      <c r="CU85" s="141"/>
      <c r="CV85" s="141"/>
      <c r="CW85" s="141"/>
      <c r="CX85" s="141"/>
      <c r="CY85" s="141"/>
      <c r="CZ85" s="141"/>
      <c r="DA85" s="141"/>
      <c r="DB85" s="141"/>
      <c r="DC85" s="141"/>
      <c r="DD85" s="141"/>
      <c r="DE85" s="141"/>
      <c r="DF85" s="141"/>
      <c r="DG85" s="141"/>
      <c r="DH85" s="141"/>
      <c r="DI85" s="141"/>
      <c r="DJ85" s="141"/>
      <c r="DK85" s="141"/>
      <c r="DL85" s="141"/>
      <c r="DM85" s="141"/>
      <c r="DN85" s="141"/>
      <c r="DO85" s="141"/>
      <c r="DP85" s="141"/>
      <c r="DQ85" s="141"/>
      <c r="DR85" s="141"/>
      <c r="DS85" s="141"/>
      <c r="DT85" s="141"/>
      <c r="DU85" s="141"/>
      <c r="DV85" s="40"/>
      <c r="DW85" s="40"/>
      <c r="DX85" s="40"/>
      <c r="DY85" s="40"/>
      <c r="DZ85" s="40"/>
      <c r="EA85" s="40"/>
      <c r="EB85" s="40"/>
      <c r="EC85" s="40"/>
      <c r="ED85" s="267"/>
      <c r="EE85" s="35"/>
      <c r="EF85" s="344"/>
      <c r="EG85" s="345"/>
      <c r="EH85" s="344"/>
    </row>
    <row r="86" spans="1:138" s="144" customFormat="1" ht="31.15">
      <c r="A86" s="112"/>
      <c r="B86" s="353"/>
      <c r="C86" s="341"/>
      <c r="D86" s="343"/>
      <c r="E86" s="341"/>
      <c r="F86" s="341"/>
      <c r="G86" s="341"/>
      <c r="H86" s="325" t="s">
        <v>150</v>
      </c>
      <c r="I86" s="112">
        <v>45419</v>
      </c>
      <c r="J86" s="325"/>
      <c r="K86" s="112">
        <v>45433</v>
      </c>
      <c r="L86" s="277" t="s">
        <v>148</v>
      </c>
      <c r="M86" s="112">
        <v>45440</v>
      </c>
      <c r="N86" s="112">
        <v>45447</v>
      </c>
      <c r="O86" s="325" t="s">
        <v>148</v>
      </c>
      <c r="P86" s="112">
        <v>45454</v>
      </c>
      <c r="Q86" s="112">
        <v>45468</v>
      </c>
      <c r="R86" s="112">
        <v>45475</v>
      </c>
      <c r="S86" s="325" t="s">
        <v>148</v>
      </c>
      <c r="T86" s="112">
        <v>45482</v>
      </c>
      <c r="U86" s="112">
        <v>45489</v>
      </c>
      <c r="V86" s="112">
        <v>45496</v>
      </c>
      <c r="W86" s="46" t="s">
        <v>148</v>
      </c>
      <c r="X86" s="112"/>
      <c r="Y86" s="112"/>
      <c r="Z86" s="112"/>
      <c r="AA86" s="142"/>
      <c r="AB86" s="112"/>
      <c r="AC86" s="112"/>
      <c r="AD86" s="112"/>
      <c r="AE86" s="333"/>
      <c r="AF86" s="333"/>
      <c r="AG86" s="333"/>
      <c r="AH86" s="333"/>
      <c r="AI86" s="333"/>
      <c r="AJ86" s="333"/>
      <c r="AK86" s="333"/>
      <c r="AL86" s="333"/>
      <c r="AM86" s="333"/>
      <c r="AN86" s="333"/>
      <c r="AO86" s="333"/>
      <c r="AP86" s="333"/>
      <c r="AQ86" s="329"/>
      <c r="AR86" s="333"/>
      <c r="AS86" s="333"/>
      <c r="AT86" s="333"/>
      <c r="AU86" s="333"/>
      <c r="AV86" s="333"/>
      <c r="AW86" s="333"/>
      <c r="AX86" s="333"/>
      <c r="AY86" s="333"/>
      <c r="AZ86" s="143"/>
      <c r="BA86" s="143"/>
      <c r="BB86" s="143"/>
      <c r="BC86" s="333"/>
      <c r="BD86" s="333"/>
      <c r="BE86" s="333"/>
      <c r="BF86" s="333"/>
      <c r="BG86" s="333"/>
      <c r="BH86" s="333"/>
      <c r="BI86" s="333"/>
      <c r="BJ86" s="333"/>
      <c r="BK86" s="333"/>
      <c r="BL86" s="333"/>
      <c r="BM86" s="333"/>
      <c r="BN86" s="333"/>
      <c r="BO86" s="333"/>
      <c r="BP86" s="333"/>
      <c r="BQ86" s="333"/>
      <c r="BR86" s="333"/>
      <c r="BS86" s="333"/>
      <c r="BT86" s="333"/>
      <c r="BU86" s="333"/>
      <c r="BV86" s="333"/>
      <c r="BW86" s="333"/>
      <c r="BX86" s="333"/>
      <c r="BY86" s="333"/>
      <c r="BZ86" s="333"/>
      <c r="CA86" s="333"/>
      <c r="CB86" s="333"/>
      <c r="CC86" s="333"/>
      <c r="CD86" s="333"/>
      <c r="CE86" s="333"/>
      <c r="CF86" s="333"/>
      <c r="CG86" s="333"/>
      <c r="CH86" s="333"/>
      <c r="CI86" s="333"/>
      <c r="CJ86" s="333"/>
      <c r="CK86" s="333"/>
      <c r="CL86" s="333"/>
      <c r="CM86" s="333"/>
      <c r="CN86" s="333"/>
      <c r="CO86" s="333"/>
      <c r="CP86" s="333"/>
      <c r="CQ86" s="333"/>
      <c r="CR86" s="333"/>
      <c r="CS86" s="333"/>
      <c r="CT86" s="333"/>
      <c r="CU86" s="333"/>
      <c r="CV86" s="333"/>
      <c r="CW86" s="333"/>
      <c r="CX86" s="333"/>
      <c r="CY86" s="333"/>
      <c r="CZ86" s="333"/>
      <c r="DA86" s="333"/>
      <c r="DB86" s="333"/>
      <c r="DC86" s="333"/>
      <c r="DD86" s="333"/>
      <c r="DE86" s="333"/>
      <c r="DF86" s="333"/>
      <c r="DG86" s="333"/>
      <c r="DH86" s="333"/>
      <c r="DI86" s="333"/>
      <c r="DJ86" s="333"/>
      <c r="DK86" s="333"/>
      <c r="DL86" s="333"/>
      <c r="DM86" s="333"/>
      <c r="DN86" s="333"/>
      <c r="DO86" s="333"/>
      <c r="DP86" s="333"/>
      <c r="DQ86" s="333"/>
      <c r="DR86" s="333"/>
      <c r="DS86" s="333"/>
      <c r="DT86" s="333">
        <v>45503</v>
      </c>
      <c r="DU86" s="334">
        <v>45524</v>
      </c>
      <c r="DV86" s="144">
        <v>45548</v>
      </c>
      <c r="DW86" s="46">
        <v>45608</v>
      </c>
      <c r="DX86" s="255">
        <v>45670</v>
      </c>
      <c r="DY86" s="255">
        <v>45729</v>
      </c>
      <c r="DZ86" s="46">
        <v>45909</v>
      </c>
      <c r="EA86" s="46"/>
      <c r="EB86" s="46"/>
      <c r="EC86" s="46"/>
      <c r="ED86" s="142"/>
      <c r="EE86" s="142"/>
      <c r="EF86" s="344"/>
      <c r="EG86" s="345"/>
      <c r="EH86" s="345"/>
    </row>
    <row r="87" spans="1:138" s="1" customFormat="1" ht="31.15">
      <c r="A87" s="12"/>
      <c r="B87" s="356" t="s">
        <v>221</v>
      </c>
      <c r="C87" s="358" t="s">
        <v>269</v>
      </c>
      <c r="D87" s="360" t="s">
        <v>270</v>
      </c>
      <c r="E87" s="358" t="s">
        <v>271</v>
      </c>
      <c r="F87" s="358" t="s">
        <v>250</v>
      </c>
      <c r="G87" s="358" t="s">
        <v>146</v>
      </c>
      <c r="H87" s="181" t="s">
        <v>147</v>
      </c>
      <c r="I87" s="75">
        <v>45432</v>
      </c>
      <c r="J87" s="182"/>
      <c r="K87" s="75">
        <v>45441</v>
      </c>
      <c r="L87" s="273" t="s">
        <v>148</v>
      </c>
      <c r="M87" s="182">
        <f t="shared" ref="M87" si="332">K87+7</f>
        <v>45448</v>
      </c>
      <c r="N87" s="182">
        <f t="shared" ref="N87" si="333">M87+7</f>
        <v>45455</v>
      </c>
      <c r="O87" s="182" t="s">
        <v>149</v>
      </c>
      <c r="P87" s="182">
        <f t="shared" ref="P87" si="334">N87+7</f>
        <v>45462</v>
      </c>
      <c r="Q87" s="182">
        <f t="shared" ref="Q87" si="335">P87+7</f>
        <v>45469</v>
      </c>
      <c r="R87" s="182">
        <f t="shared" ref="R87" si="336">Q87+7</f>
        <v>45476</v>
      </c>
      <c r="S87" s="180" t="s">
        <v>149</v>
      </c>
      <c r="T87" s="180">
        <f t="shared" ref="T87" si="337">R87+7</f>
        <v>45483</v>
      </c>
      <c r="U87" s="180">
        <f t="shared" ref="U87" si="338">T87+7</f>
        <v>45490</v>
      </c>
      <c r="V87" s="180">
        <f t="shared" ref="V87" si="339">U87+7</f>
        <v>45497</v>
      </c>
      <c r="W87" s="180" t="s">
        <v>149</v>
      </c>
      <c r="X87" s="180">
        <f t="shared" ref="X87" si="340">V87+7</f>
        <v>45504</v>
      </c>
      <c r="Y87" s="180">
        <f t="shared" ref="Y87" si="341">X87+7</f>
        <v>45511</v>
      </c>
      <c r="Z87" s="180">
        <f t="shared" ref="Z87" si="342">Y87+7</f>
        <v>45518</v>
      </c>
      <c r="AA87" s="180" t="s">
        <v>149</v>
      </c>
      <c r="AB87" s="180">
        <f t="shared" ref="AB87" si="343">Z87+7</f>
        <v>45525</v>
      </c>
      <c r="AC87" s="180">
        <f t="shared" ref="AC87" si="344">AB87+7</f>
        <v>45532</v>
      </c>
      <c r="AD87" s="180">
        <f t="shared" ref="AD87" si="345">AC87+7</f>
        <v>45539</v>
      </c>
      <c r="AE87" s="180" t="s">
        <v>149</v>
      </c>
      <c r="AF87" s="180">
        <f t="shared" ref="AF87" si="346">AD87+7</f>
        <v>45546</v>
      </c>
      <c r="AG87" s="180">
        <f t="shared" ref="AG87" si="347">AF87+7</f>
        <v>45553</v>
      </c>
      <c r="AH87" s="180">
        <f t="shared" ref="AH87" si="348">AG87+7</f>
        <v>45560</v>
      </c>
      <c r="AI87" s="180" t="s">
        <v>149</v>
      </c>
      <c r="AJ87" s="180">
        <f t="shared" ref="AJ87" si="349">AH87+7</f>
        <v>45567</v>
      </c>
      <c r="AK87" s="180">
        <f t="shared" ref="AK87" si="350">AJ87+7</f>
        <v>45574</v>
      </c>
      <c r="AL87" s="180">
        <f t="shared" ref="AL87" si="351">AK87+7</f>
        <v>45581</v>
      </c>
      <c r="AM87" s="180" t="s">
        <v>149</v>
      </c>
      <c r="AN87" s="180">
        <f t="shared" ref="AN87" si="352">AL87+7</f>
        <v>45588</v>
      </c>
      <c r="AO87" s="180">
        <f t="shared" ref="AO87" si="353">AN87+7</f>
        <v>45595</v>
      </c>
      <c r="AP87" s="180">
        <f t="shared" ref="AP87" si="354">AO87+7</f>
        <v>45602</v>
      </c>
      <c r="AQ87" s="180" t="s">
        <v>149</v>
      </c>
      <c r="AR87" s="180">
        <f t="shared" ref="AR87" si="355">AP87+7</f>
        <v>45609</v>
      </c>
      <c r="AS87" s="180">
        <f t="shared" ref="AS87" si="356">AR87+7</f>
        <v>45616</v>
      </c>
      <c r="AT87" s="180">
        <f t="shared" ref="AT87" si="357">AS87+7</f>
        <v>45623</v>
      </c>
      <c r="AU87" s="180" t="s">
        <v>149</v>
      </c>
      <c r="AV87" s="180">
        <f t="shared" ref="AV87" si="358">AT87+7</f>
        <v>45630</v>
      </c>
      <c r="AW87" s="180">
        <f t="shared" ref="AW87" si="359">AV87+7</f>
        <v>45637</v>
      </c>
      <c r="AX87" s="180">
        <f t="shared" ref="AX87" si="360">AW87+7</f>
        <v>45644</v>
      </c>
      <c r="AY87" s="180" t="s">
        <v>149</v>
      </c>
      <c r="AZ87" s="180">
        <f t="shared" ref="AZ87" si="361">AX87+7</f>
        <v>45651</v>
      </c>
      <c r="BA87" s="180">
        <f t="shared" ref="BA87" si="362">AZ87+7</f>
        <v>45658</v>
      </c>
      <c r="BB87" s="180">
        <f t="shared" ref="BB87" si="363">BA87+7</f>
        <v>45665</v>
      </c>
      <c r="BC87" s="180" t="s">
        <v>149</v>
      </c>
      <c r="BD87" s="180">
        <f t="shared" ref="BD87" si="364">BB87+7</f>
        <v>45672</v>
      </c>
      <c r="BE87" s="180">
        <f t="shared" ref="BE87" si="365">BD87+7</f>
        <v>45679</v>
      </c>
      <c r="BF87" s="180">
        <f t="shared" ref="BF87" si="366">BE87+7</f>
        <v>45686</v>
      </c>
      <c r="BG87" s="180" t="s">
        <v>148</v>
      </c>
      <c r="BH87" s="180">
        <f t="shared" ref="BH87" si="367">BF87+7</f>
        <v>45693</v>
      </c>
      <c r="BI87" s="180">
        <f t="shared" ref="BI87" si="368">BH87+7</f>
        <v>45700</v>
      </c>
      <c r="BJ87" s="180">
        <f t="shared" ref="BJ87" si="369">BI87+7</f>
        <v>45707</v>
      </c>
      <c r="BK87" s="180" t="s">
        <v>148</v>
      </c>
      <c r="BL87" s="180">
        <f t="shared" ref="BL87" si="370">BJ87+7</f>
        <v>45714</v>
      </c>
      <c r="BM87" s="180">
        <f t="shared" ref="BM87" si="371">BL87+7</f>
        <v>45721</v>
      </c>
      <c r="BN87" s="180">
        <f t="shared" ref="BN87" si="372">BM87+7</f>
        <v>45728</v>
      </c>
      <c r="BO87" s="180" t="s">
        <v>149</v>
      </c>
      <c r="BP87" s="180">
        <f t="shared" ref="BP87" si="373">BN87+7</f>
        <v>45735</v>
      </c>
      <c r="BQ87" s="180">
        <f t="shared" ref="BQ87" si="374">BP87+7</f>
        <v>45742</v>
      </c>
      <c r="BR87" s="180">
        <f t="shared" ref="BR87" si="375">BQ87+7</f>
        <v>45749</v>
      </c>
      <c r="BS87" s="180" t="s">
        <v>148</v>
      </c>
      <c r="BT87" s="180">
        <f t="shared" ref="BT87" si="376">BR87+7</f>
        <v>45756</v>
      </c>
      <c r="BU87" s="180">
        <f t="shared" ref="BU87" si="377">BT87+7</f>
        <v>45763</v>
      </c>
      <c r="BV87" s="180">
        <f t="shared" ref="BV87" si="378">BU87+7</f>
        <v>45770</v>
      </c>
      <c r="BW87" s="180" t="s">
        <v>149</v>
      </c>
      <c r="BX87" s="180">
        <f t="shared" ref="BX87" si="379">BV87+7</f>
        <v>45777</v>
      </c>
      <c r="BY87" s="180">
        <f t="shared" ref="BY87" si="380">BX87+7</f>
        <v>45784</v>
      </c>
      <c r="BZ87" s="180">
        <f t="shared" ref="BZ87" si="381">BY87+7</f>
        <v>45791</v>
      </c>
      <c r="CA87" s="180" t="s">
        <v>149</v>
      </c>
      <c r="CB87" s="180"/>
      <c r="CC87" s="180"/>
      <c r="CD87" s="180"/>
      <c r="CE87" s="180"/>
      <c r="CF87" s="180"/>
      <c r="CG87" s="180"/>
      <c r="CH87" s="180"/>
      <c r="CI87" s="180"/>
      <c r="CJ87" s="180"/>
      <c r="CK87" s="180"/>
      <c r="CL87" s="180"/>
      <c r="CM87" s="180"/>
      <c r="CN87" s="180"/>
      <c r="CO87" s="180"/>
      <c r="CP87" s="180"/>
      <c r="CQ87" s="180"/>
      <c r="CR87" s="180"/>
      <c r="CS87" s="180"/>
      <c r="CT87" s="180"/>
      <c r="CU87" s="180"/>
      <c r="CV87" s="180"/>
      <c r="CW87" s="180"/>
      <c r="CX87" s="180"/>
      <c r="CY87" s="180"/>
      <c r="CZ87" s="180"/>
      <c r="DA87" s="180"/>
      <c r="DB87" s="180"/>
      <c r="DC87" s="180"/>
      <c r="DD87" s="180"/>
      <c r="DE87" s="180"/>
      <c r="DF87" s="180"/>
      <c r="DG87" s="180"/>
      <c r="DH87" s="180"/>
      <c r="DI87" s="180"/>
      <c r="DJ87" s="180"/>
      <c r="DK87" s="180"/>
      <c r="DL87" s="180"/>
      <c r="DM87" s="180"/>
      <c r="DN87" s="180"/>
      <c r="DO87" s="180"/>
      <c r="DP87" s="180"/>
      <c r="DQ87" s="180"/>
      <c r="DR87" s="180"/>
      <c r="DS87" s="180"/>
      <c r="DT87" s="127"/>
      <c r="DU87" s="127"/>
      <c r="DV87" s="125"/>
      <c r="DW87" s="125"/>
      <c r="DX87" s="125"/>
      <c r="DY87" s="125"/>
      <c r="DZ87" s="125"/>
      <c r="EA87" s="125"/>
      <c r="EB87" s="125"/>
      <c r="EC87" s="125"/>
      <c r="ED87" s="268"/>
      <c r="EE87" s="128"/>
      <c r="EF87" s="339"/>
      <c r="EG87" s="338"/>
      <c r="EH87" s="339"/>
    </row>
    <row r="88" spans="1:138" s="129" customFormat="1" ht="31.15">
      <c r="A88" s="113"/>
      <c r="B88" s="357"/>
      <c r="C88" s="359"/>
      <c r="D88" s="361"/>
      <c r="E88" s="359"/>
      <c r="F88" s="359"/>
      <c r="G88" s="359"/>
      <c r="H88" s="324" t="s">
        <v>150</v>
      </c>
      <c r="I88" s="169">
        <v>45432</v>
      </c>
      <c r="J88" s="324"/>
      <c r="K88" s="169">
        <v>45441</v>
      </c>
      <c r="L88" s="274" t="s">
        <v>148</v>
      </c>
      <c r="M88" s="169">
        <v>45450</v>
      </c>
      <c r="N88" s="169">
        <v>45455</v>
      </c>
      <c r="O88" s="324" t="s">
        <v>148</v>
      </c>
      <c r="P88" s="169">
        <v>45462</v>
      </c>
      <c r="Q88" s="169">
        <v>45469</v>
      </c>
      <c r="R88" s="169">
        <v>45476</v>
      </c>
      <c r="S88" s="324" t="s">
        <v>148</v>
      </c>
      <c r="T88" s="169">
        <v>45483</v>
      </c>
      <c r="U88" s="169">
        <v>45490</v>
      </c>
      <c r="V88" s="169">
        <v>45497</v>
      </c>
      <c r="W88" s="152" t="s">
        <v>148</v>
      </c>
      <c r="X88" s="169">
        <v>45511</v>
      </c>
      <c r="Y88" s="169">
        <v>45518</v>
      </c>
      <c r="Z88" s="169">
        <v>45525</v>
      </c>
      <c r="AA88" s="176" t="s">
        <v>148</v>
      </c>
      <c r="AB88" s="169">
        <v>45532</v>
      </c>
      <c r="AC88" s="169">
        <v>45539</v>
      </c>
      <c r="AD88" s="169">
        <v>45546</v>
      </c>
      <c r="AE88" s="177" t="s">
        <v>148</v>
      </c>
      <c r="AF88" s="177">
        <v>45555</v>
      </c>
      <c r="AG88" s="177">
        <v>45565</v>
      </c>
      <c r="AH88" s="177">
        <v>45567</v>
      </c>
      <c r="AI88" s="177" t="s">
        <v>148</v>
      </c>
      <c r="AJ88" s="177">
        <v>45576</v>
      </c>
      <c r="AK88" s="177">
        <v>45583</v>
      </c>
      <c r="AL88" s="177"/>
      <c r="AM88" s="177" t="s">
        <v>148</v>
      </c>
      <c r="AN88" s="177">
        <v>45595</v>
      </c>
      <c r="AO88" s="177">
        <v>45602</v>
      </c>
      <c r="AP88" s="177"/>
      <c r="AQ88" s="178" t="s">
        <v>148</v>
      </c>
      <c r="AR88" s="177">
        <v>45623</v>
      </c>
      <c r="AS88" s="177">
        <v>45630</v>
      </c>
      <c r="AT88" s="177"/>
      <c r="AU88" s="177" t="s">
        <v>149</v>
      </c>
      <c r="AV88" s="177">
        <v>45644</v>
      </c>
      <c r="AW88" s="177">
        <v>45652</v>
      </c>
      <c r="AX88" s="177">
        <v>45659</v>
      </c>
      <c r="AY88" s="177" t="s">
        <v>149</v>
      </c>
      <c r="AZ88" s="281">
        <v>45665</v>
      </c>
      <c r="BA88" s="281">
        <v>45672</v>
      </c>
      <c r="BB88" s="281">
        <v>45679</v>
      </c>
      <c r="BC88" s="177" t="s">
        <v>149</v>
      </c>
      <c r="BD88" s="177">
        <v>45684</v>
      </c>
      <c r="BE88" s="177">
        <v>45693</v>
      </c>
      <c r="BF88" s="177">
        <v>45700</v>
      </c>
      <c r="BG88" s="177" t="s">
        <v>149</v>
      </c>
      <c r="BH88" s="177">
        <v>45707</v>
      </c>
      <c r="BI88" s="177">
        <v>45714</v>
      </c>
      <c r="BJ88" s="177">
        <v>45721</v>
      </c>
      <c r="BK88" s="177" t="s">
        <v>149</v>
      </c>
      <c r="BL88" s="177">
        <v>45728</v>
      </c>
      <c r="BM88" s="177">
        <v>45735</v>
      </c>
      <c r="BN88" s="177">
        <v>45740</v>
      </c>
      <c r="BO88" s="177" t="s">
        <v>149</v>
      </c>
      <c r="BP88" s="177">
        <v>45749</v>
      </c>
      <c r="BQ88" s="177">
        <v>45756</v>
      </c>
      <c r="BR88" s="177">
        <v>45763</v>
      </c>
      <c r="BS88" s="177" t="s">
        <v>149</v>
      </c>
      <c r="BT88" s="177">
        <v>45770</v>
      </c>
      <c r="BU88" s="177">
        <v>45777</v>
      </c>
      <c r="BV88" s="177" t="s">
        <v>272</v>
      </c>
      <c r="BW88" s="177" t="s">
        <v>149</v>
      </c>
      <c r="BX88" s="177">
        <v>45791</v>
      </c>
      <c r="BY88" s="177">
        <v>45798</v>
      </c>
      <c r="BZ88" s="177">
        <v>45805</v>
      </c>
      <c r="CA88" s="177" t="s">
        <v>149</v>
      </c>
      <c r="CB88" s="177">
        <v>45812</v>
      </c>
      <c r="CC88" s="177">
        <v>45819</v>
      </c>
      <c r="CD88" s="177">
        <v>45826</v>
      </c>
      <c r="CE88" s="177" t="s">
        <v>149</v>
      </c>
      <c r="CF88" s="177">
        <v>45833</v>
      </c>
      <c r="CG88" s="177">
        <v>45840</v>
      </c>
      <c r="CH88" s="177">
        <v>45847</v>
      </c>
      <c r="CI88" s="177" t="s">
        <v>149</v>
      </c>
      <c r="CJ88" s="177">
        <v>45854</v>
      </c>
      <c r="CK88" s="177">
        <v>45861</v>
      </c>
      <c r="CL88" s="177">
        <v>45868</v>
      </c>
      <c r="CM88" s="177" t="s">
        <v>148</v>
      </c>
      <c r="CN88" s="177">
        <v>45875</v>
      </c>
      <c r="CO88" s="177">
        <v>45882</v>
      </c>
      <c r="CP88" s="177">
        <v>45889</v>
      </c>
      <c r="CQ88" s="177" t="s">
        <v>148</v>
      </c>
      <c r="CR88" s="177">
        <v>45896</v>
      </c>
      <c r="CS88" s="177">
        <v>45903</v>
      </c>
      <c r="CT88" s="177">
        <v>45910</v>
      </c>
      <c r="CU88" s="282" t="s">
        <v>148</v>
      </c>
      <c r="CV88" s="177">
        <v>45917</v>
      </c>
      <c r="CW88" s="177">
        <v>45924</v>
      </c>
      <c r="CX88" s="177">
        <v>45931</v>
      </c>
      <c r="CY88" s="177" t="s">
        <v>148</v>
      </c>
      <c r="CZ88" s="177">
        <v>45940</v>
      </c>
      <c r="DA88" s="177">
        <v>45945</v>
      </c>
      <c r="DB88" s="177">
        <v>45952</v>
      </c>
      <c r="DC88" s="177" t="s">
        <v>148</v>
      </c>
      <c r="DD88" s="177">
        <v>45959</v>
      </c>
      <c r="DE88" s="177">
        <v>45966</v>
      </c>
      <c r="DF88" s="177">
        <v>45973</v>
      </c>
      <c r="DG88" s="177" t="s">
        <v>148</v>
      </c>
      <c r="DH88" s="177">
        <v>45980</v>
      </c>
      <c r="DI88" s="177">
        <v>45987</v>
      </c>
      <c r="DJ88" s="177">
        <v>45994</v>
      </c>
      <c r="DK88" s="177" t="s">
        <v>148</v>
      </c>
      <c r="DL88" s="177">
        <v>46001</v>
      </c>
      <c r="DM88" s="177">
        <v>46008</v>
      </c>
      <c r="DN88" s="177">
        <v>46015</v>
      </c>
      <c r="DO88" s="177" t="s">
        <v>149</v>
      </c>
      <c r="DP88" s="177">
        <v>46022</v>
      </c>
      <c r="DQ88" s="177">
        <v>46029</v>
      </c>
      <c r="DR88" s="177"/>
      <c r="DS88" s="177"/>
      <c r="DT88" s="28">
        <v>46036</v>
      </c>
      <c r="DU88" s="132" t="s">
        <v>181</v>
      </c>
      <c r="DV88" s="69">
        <v>46126</v>
      </c>
      <c r="DW88" s="69"/>
      <c r="DX88" s="69"/>
      <c r="DY88" s="69"/>
      <c r="DZ88" s="69"/>
      <c r="EA88" s="69"/>
      <c r="EB88" s="69"/>
      <c r="EC88" s="69"/>
      <c r="ED88" s="22"/>
      <c r="EE88" s="22"/>
      <c r="EF88" s="339"/>
      <c r="EG88" s="338"/>
      <c r="EH88" s="338"/>
    </row>
    <row r="89" spans="1:138" s="36" customFormat="1" ht="31.15">
      <c r="A89" s="31"/>
      <c r="B89" s="352" t="s">
        <v>257</v>
      </c>
      <c r="C89" s="340" t="s">
        <v>273</v>
      </c>
      <c r="D89" s="342" t="s">
        <v>274</v>
      </c>
      <c r="E89" s="340" t="s">
        <v>271</v>
      </c>
      <c r="F89" s="340" t="s">
        <v>197</v>
      </c>
      <c r="G89" s="340" t="s">
        <v>146</v>
      </c>
      <c r="H89" s="40" t="s">
        <v>147</v>
      </c>
      <c r="I89" s="31">
        <v>45432</v>
      </c>
      <c r="J89" s="94"/>
      <c r="K89" s="31">
        <v>45442</v>
      </c>
      <c r="L89" s="276" t="s">
        <v>148</v>
      </c>
      <c r="M89" s="94">
        <f>M90</f>
        <v>45449</v>
      </c>
      <c r="N89" s="94">
        <f t="shared" ref="N89" si="382">M89+7</f>
        <v>45456</v>
      </c>
      <c r="O89" s="94" t="s">
        <v>149</v>
      </c>
      <c r="P89" s="94">
        <f t="shared" ref="P89" si="383">N89+7</f>
        <v>45463</v>
      </c>
      <c r="Q89" s="94">
        <f t="shared" ref="Q89" si="384">P89+7</f>
        <v>45470</v>
      </c>
      <c r="R89" s="94">
        <f t="shared" ref="R89" si="385">Q89+7</f>
        <v>45477</v>
      </c>
      <c r="S89" s="141" t="s">
        <v>149</v>
      </c>
      <c r="T89" s="141">
        <f t="shared" ref="T89" si="386">R89+7</f>
        <v>45484</v>
      </c>
      <c r="U89" s="141">
        <f t="shared" ref="U89" si="387">T89+7</f>
        <v>45491</v>
      </c>
      <c r="V89" s="141">
        <f t="shared" ref="V89" si="388">U89+7</f>
        <v>45498</v>
      </c>
      <c r="W89" s="141" t="s">
        <v>149</v>
      </c>
      <c r="X89" s="141">
        <f t="shared" ref="X89" si="389">V89+7</f>
        <v>45505</v>
      </c>
      <c r="Y89" s="141">
        <f t="shared" ref="Y89" si="390">X89+7</f>
        <v>45512</v>
      </c>
      <c r="Z89" s="141">
        <f t="shared" ref="Z89" si="391">Y89+7</f>
        <v>45519</v>
      </c>
      <c r="AA89" s="141" t="s">
        <v>149</v>
      </c>
      <c r="AB89" s="141">
        <f t="shared" ref="AB89" si="392">Z89+7</f>
        <v>45526</v>
      </c>
      <c r="AC89" s="141">
        <f t="shared" ref="AC89" si="393">AB89+7</f>
        <v>45533</v>
      </c>
      <c r="AD89" s="141">
        <f t="shared" ref="AD89" si="394">AC89+7</f>
        <v>45540</v>
      </c>
      <c r="AE89" s="141" t="s">
        <v>149</v>
      </c>
      <c r="AF89" s="141">
        <f t="shared" ref="AF89" si="395">AD89+7</f>
        <v>45547</v>
      </c>
      <c r="AG89" s="141">
        <f t="shared" ref="AG89" si="396">AF89+7</f>
        <v>45554</v>
      </c>
      <c r="AH89" s="141">
        <f t="shared" ref="AH89" si="397">AG89+7</f>
        <v>45561</v>
      </c>
      <c r="AI89" s="141" t="s">
        <v>149</v>
      </c>
      <c r="AJ89" s="141">
        <f t="shared" ref="AJ89" si="398">AH89+7</f>
        <v>45568</v>
      </c>
      <c r="AK89" s="141">
        <f t="shared" ref="AK89" si="399">AJ89+7</f>
        <v>45575</v>
      </c>
      <c r="AL89" s="141">
        <f t="shared" ref="AL89" si="400">AK89+7</f>
        <v>45582</v>
      </c>
      <c r="AM89" s="141" t="s">
        <v>149</v>
      </c>
      <c r="AN89" s="141">
        <f t="shared" ref="AN89" si="401">AL89+7</f>
        <v>45589</v>
      </c>
      <c r="AO89" s="141">
        <f t="shared" ref="AO89" si="402">AN89+7</f>
        <v>45596</v>
      </c>
      <c r="AP89" s="141">
        <f t="shared" ref="AP89" si="403">AO89+7</f>
        <v>45603</v>
      </c>
      <c r="AQ89" s="141" t="s">
        <v>149</v>
      </c>
      <c r="AR89" s="141">
        <f t="shared" ref="AR89" si="404">AP89+7</f>
        <v>45610</v>
      </c>
      <c r="AS89" s="141">
        <f t="shared" ref="AS89" si="405">AR89+7</f>
        <v>45617</v>
      </c>
      <c r="AT89" s="141">
        <f t="shared" ref="AT89" si="406">AS89+7</f>
        <v>45624</v>
      </c>
      <c r="AU89" s="141" t="s">
        <v>149</v>
      </c>
      <c r="AV89" s="141">
        <f t="shared" ref="AV89" si="407">AT89+7</f>
        <v>45631</v>
      </c>
      <c r="AW89" s="141">
        <f t="shared" ref="AW89" si="408">AV89+7</f>
        <v>45638</v>
      </c>
      <c r="AX89" s="141">
        <f t="shared" ref="AX89" si="409">AW89+7</f>
        <v>45645</v>
      </c>
      <c r="AY89" s="141" t="s">
        <v>149</v>
      </c>
      <c r="AZ89" s="141">
        <f t="shared" ref="AZ89" si="410">AX89+7</f>
        <v>45652</v>
      </c>
      <c r="BA89" s="141">
        <f t="shared" ref="BA89" si="411">AZ89+7</f>
        <v>45659</v>
      </c>
      <c r="BB89" s="141">
        <f t="shared" ref="BB89" si="412">BA89+7</f>
        <v>45666</v>
      </c>
      <c r="BC89" s="141" t="s">
        <v>149</v>
      </c>
      <c r="BD89" s="141">
        <f t="shared" ref="BD89" si="413">BB89+7</f>
        <v>45673</v>
      </c>
      <c r="BE89" s="141">
        <f t="shared" ref="BE89" si="414">BD89+7</f>
        <v>45680</v>
      </c>
      <c r="BF89" s="141">
        <f t="shared" ref="BF89" si="415">BE89+7</f>
        <v>45687</v>
      </c>
      <c r="BG89" s="141" t="s">
        <v>148</v>
      </c>
      <c r="BH89" s="141">
        <f t="shared" ref="BH89" si="416">BF89+7</f>
        <v>45694</v>
      </c>
      <c r="BI89" s="141">
        <f t="shared" ref="BI89" si="417">BH89+7</f>
        <v>45701</v>
      </c>
      <c r="BJ89" s="141">
        <f t="shared" ref="BJ89" si="418">BI89+7</f>
        <v>45708</v>
      </c>
      <c r="BK89" s="141" t="s">
        <v>148</v>
      </c>
      <c r="BL89" s="141">
        <f t="shared" ref="BL89" si="419">BJ89+7</f>
        <v>45715</v>
      </c>
      <c r="BM89" s="141">
        <f t="shared" ref="BM89" si="420">BL89+7</f>
        <v>45722</v>
      </c>
      <c r="BN89" s="141">
        <f t="shared" ref="BN89" si="421">BM89+7</f>
        <v>45729</v>
      </c>
      <c r="BO89" s="141" t="s">
        <v>149</v>
      </c>
      <c r="BP89" s="141">
        <f t="shared" ref="BP89" si="422">BN89+7</f>
        <v>45736</v>
      </c>
      <c r="BQ89" s="141">
        <f t="shared" ref="BQ89" si="423">BP89+7</f>
        <v>45743</v>
      </c>
      <c r="BR89" s="141">
        <f t="shared" ref="BR89" si="424">BQ89+7</f>
        <v>45750</v>
      </c>
      <c r="BS89" s="141" t="s">
        <v>148</v>
      </c>
      <c r="BT89" s="141">
        <f t="shared" ref="BT89" si="425">BR89+7</f>
        <v>45757</v>
      </c>
      <c r="BU89" s="141">
        <f t="shared" ref="BU89" si="426">BT89+7</f>
        <v>45764</v>
      </c>
      <c r="BV89" s="141">
        <f t="shared" ref="BV89" si="427">BU89+7</f>
        <v>45771</v>
      </c>
      <c r="BW89" s="141" t="s">
        <v>149</v>
      </c>
      <c r="BX89" s="141">
        <f t="shared" ref="BX89" si="428">BV89+7</f>
        <v>45778</v>
      </c>
      <c r="BY89" s="141">
        <f t="shared" ref="BY89" si="429">BX89+7</f>
        <v>45785</v>
      </c>
      <c r="BZ89" s="141">
        <f t="shared" ref="BZ89" si="430">BY89+7</f>
        <v>45792</v>
      </c>
      <c r="CA89" s="141" t="s">
        <v>149</v>
      </c>
      <c r="CB89" s="141"/>
      <c r="CC89" s="141"/>
      <c r="CD89" s="141"/>
      <c r="CE89" s="141" t="s">
        <v>275</v>
      </c>
      <c r="CF89" s="141"/>
      <c r="CG89" s="141"/>
      <c r="CH89" s="141"/>
      <c r="CI89" s="141"/>
      <c r="CJ89" s="141"/>
      <c r="CK89" s="141"/>
      <c r="CL89" s="141"/>
      <c r="CM89" s="141"/>
      <c r="CN89" s="141"/>
      <c r="CO89" s="141"/>
      <c r="CP89" s="141"/>
      <c r="CQ89" s="141"/>
      <c r="CR89" s="141"/>
      <c r="CS89" s="141"/>
      <c r="CT89" s="141"/>
      <c r="CU89" s="141"/>
      <c r="CV89" s="141"/>
      <c r="CW89" s="141"/>
      <c r="CX89" s="141"/>
      <c r="CY89" s="141"/>
      <c r="CZ89" s="141"/>
      <c r="DA89" s="141"/>
      <c r="DB89" s="141"/>
      <c r="DC89" s="141"/>
      <c r="DD89" s="141"/>
      <c r="DE89" s="141"/>
      <c r="DF89" s="141"/>
      <c r="DG89" s="141"/>
      <c r="DH89" s="141"/>
      <c r="DI89" s="141"/>
      <c r="DJ89" s="141"/>
      <c r="DK89" s="141"/>
      <c r="DL89" s="141"/>
      <c r="DM89" s="141"/>
      <c r="DN89" s="141"/>
      <c r="DO89" s="141"/>
      <c r="DP89" s="141"/>
      <c r="DQ89" s="141"/>
      <c r="DR89" s="141"/>
      <c r="DS89" s="141"/>
      <c r="DT89" s="141"/>
      <c r="DU89" s="141"/>
      <c r="DV89" s="40"/>
      <c r="DW89" s="40"/>
      <c r="DX89" s="40"/>
      <c r="DY89" s="40"/>
      <c r="DZ89" s="40"/>
      <c r="EA89" s="40"/>
      <c r="EB89" s="40"/>
      <c r="EC89" s="40"/>
      <c r="ED89" s="267"/>
      <c r="EE89" s="35"/>
      <c r="EF89" s="344"/>
      <c r="EG89" s="345"/>
      <c r="EH89" s="344"/>
    </row>
    <row r="90" spans="1:138" s="144" customFormat="1" ht="31.15">
      <c r="A90" s="112"/>
      <c r="B90" s="353"/>
      <c r="C90" s="341"/>
      <c r="D90" s="343"/>
      <c r="E90" s="341"/>
      <c r="F90" s="341"/>
      <c r="G90" s="341"/>
      <c r="H90" s="325" t="s">
        <v>150</v>
      </c>
      <c r="I90" s="112">
        <v>45432</v>
      </c>
      <c r="J90" s="325"/>
      <c r="K90" s="112">
        <v>45442</v>
      </c>
      <c r="L90" s="277" t="s">
        <v>148</v>
      </c>
      <c r="M90" s="112">
        <v>45449</v>
      </c>
      <c r="N90" s="112">
        <v>45456</v>
      </c>
      <c r="O90" s="325" t="s">
        <v>148</v>
      </c>
      <c r="P90" s="112">
        <v>45463</v>
      </c>
      <c r="Q90" s="112">
        <v>45470</v>
      </c>
      <c r="R90" s="112">
        <v>45476</v>
      </c>
      <c r="S90" s="325" t="s">
        <v>148</v>
      </c>
      <c r="T90" s="112">
        <v>45488</v>
      </c>
      <c r="U90" s="112">
        <v>45495</v>
      </c>
      <c r="V90" s="112">
        <v>45502</v>
      </c>
      <c r="W90" s="46" t="s">
        <v>148</v>
      </c>
      <c r="X90" s="112">
        <v>45509</v>
      </c>
      <c r="Y90" s="112">
        <v>45516</v>
      </c>
      <c r="Z90" s="112">
        <v>45523</v>
      </c>
      <c r="AA90" s="142" t="s">
        <v>148</v>
      </c>
      <c r="AB90" s="112">
        <v>45531</v>
      </c>
      <c r="AC90" s="112">
        <v>45538</v>
      </c>
      <c r="AD90" s="112">
        <v>45545</v>
      </c>
      <c r="AE90" s="333" t="s">
        <v>148</v>
      </c>
      <c r="AF90" s="333">
        <v>45551</v>
      </c>
      <c r="AG90" s="333">
        <v>45565</v>
      </c>
      <c r="AH90" s="333">
        <v>45572</v>
      </c>
      <c r="AI90" s="333" t="s">
        <v>148</v>
      </c>
      <c r="AJ90" s="333">
        <v>45579</v>
      </c>
      <c r="AK90" s="333">
        <v>45586</v>
      </c>
      <c r="AL90" s="333">
        <v>45593</v>
      </c>
      <c r="AM90" s="333" t="s">
        <v>148</v>
      </c>
      <c r="AN90" s="333">
        <v>45600</v>
      </c>
      <c r="AO90" s="333">
        <v>45614</v>
      </c>
      <c r="AP90" s="333">
        <v>45621</v>
      </c>
      <c r="AQ90" s="329" t="s">
        <v>148</v>
      </c>
      <c r="AR90" s="333">
        <v>45628</v>
      </c>
      <c r="AS90" s="333">
        <v>45635</v>
      </c>
      <c r="AT90" s="333">
        <v>45642</v>
      </c>
      <c r="AU90" s="333" t="s">
        <v>149</v>
      </c>
      <c r="AV90" s="333">
        <v>45649</v>
      </c>
      <c r="AW90" s="333">
        <v>45656</v>
      </c>
      <c r="AX90" s="333">
        <v>45663</v>
      </c>
      <c r="AY90" s="333" t="s">
        <v>149</v>
      </c>
      <c r="AZ90" s="205">
        <v>45670</v>
      </c>
      <c r="BA90" s="205">
        <v>45678</v>
      </c>
      <c r="BB90" s="205">
        <v>45684</v>
      </c>
      <c r="BC90" s="205" t="s">
        <v>149</v>
      </c>
      <c r="BD90" s="333">
        <v>45691</v>
      </c>
      <c r="BE90" s="333">
        <v>45698</v>
      </c>
      <c r="BF90" s="333"/>
      <c r="BG90" s="333"/>
      <c r="BH90" s="333"/>
      <c r="BI90" s="333"/>
      <c r="BJ90" s="333"/>
      <c r="BK90" s="333"/>
      <c r="BL90" s="333"/>
      <c r="BM90" s="333"/>
      <c r="BN90" s="333"/>
      <c r="BO90" s="333"/>
      <c r="BP90" s="333"/>
      <c r="BQ90" s="333"/>
      <c r="BR90" s="333"/>
      <c r="BS90" s="333"/>
      <c r="BT90" s="333"/>
      <c r="BU90" s="333"/>
      <c r="BV90" s="333"/>
      <c r="BW90" s="333"/>
      <c r="BX90" s="333"/>
      <c r="BY90" s="333"/>
      <c r="BZ90" s="333"/>
      <c r="CA90" s="333"/>
      <c r="CB90" s="333"/>
      <c r="CC90" s="333"/>
      <c r="CD90" s="333"/>
      <c r="CE90" s="333"/>
      <c r="CF90" s="333"/>
      <c r="CG90" s="333"/>
      <c r="CH90" s="333"/>
      <c r="CI90" s="333"/>
      <c r="CJ90" s="333"/>
      <c r="CK90" s="333"/>
      <c r="CL90" s="333"/>
      <c r="CM90" s="333"/>
      <c r="CN90" s="333"/>
      <c r="CO90" s="333"/>
      <c r="CP90" s="333"/>
      <c r="CQ90" s="333"/>
      <c r="CR90" s="333"/>
      <c r="CS90" s="333"/>
      <c r="CT90" s="333"/>
      <c r="CU90" s="333"/>
      <c r="CV90" s="333"/>
      <c r="CW90" s="333"/>
      <c r="CX90" s="333"/>
      <c r="CY90" s="333"/>
      <c r="CZ90" s="333"/>
      <c r="DA90" s="333"/>
      <c r="DB90" s="333"/>
      <c r="DC90" s="333"/>
      <c r="DD90" s="333"/>
      <c r="DE90" s="333"/>
      <c r="DF90" s="333"/>
      <c r="DG90" s="333"/>
      <c r="DH90" s="333"/>
      <c r="DI90" s="333"/>
      <c r="DJ90" s="333"/>
      <c r="DK90" s="333"/>
      <c r="DL90" s="333"/>
      <c r="DM90" s="333"/>
      <c r="DN90" s="333"/>
      <c r="DO90" s="333"/>
      <c r="DP90" s="333"/>
      <c r="DQ90" s="333"/>
      <c r="DR90" s="333"/>
      <c r="DS90" s="333"/>
      <c r="DT90" s="333"/>
      <c r="DU90" s="334"/>
      <c r="DV90" s="46"/>
      <c r="DW90" s="46"/>
      <c r="DX90" s="46"/>
      <c r="DY90" s="46"/>
      <c r="DZ90" s="46"/>
      <c r="EA90" s="46"/>
      <c r="EB90" s="46"/>
      <c r="EC90" s="46"/>
      <c r="ED90" s="142"/>
      <c r="EE90" s="142"/>
      <c r="EF90" s="344"/>
      <c r="EG90" s="345"/>
      <c r="EH90" s="345"/>
    </row>
    <row r="91" spans="1:138" s="119" customFormat="1" ht="31.15">
      <c r="B91" s="352" t="s">
        <v>257</v>
      </c>
      <c r="C91" s="340" t="s">
        <v>276</v>
      </c>
      <c r="D91" s="342" t="s">
        <v>242</v>
      </c>
      <c r="E91" s="342" t="s">
        <v>277</v>
      </c>
      <c r="F91" s="342" t="s">
        <v>197</v>
      </c>
      <c r="G91" s="342" t="s">
        <v>146</v>
      </c>
      <c r="H91" s="32" t="s">
        <v>147</v>
      </c>
      <c r="I91" s="93">
        <v>45428</v>
      </c>
      <c r="J91" s="94"/>
      <c r="K91" s="95">
        <v>45442</v>
      </c>
      <c r="L91" s="276" t="s">
        <v>148</v>
      </c>
      <c r="M91" s="96">
        <f>K92+7</f>
        <v>45449</v>
      </c>
      <c r="N91" s="33">
        <f t="shared" ref="N91" si="431">M91+7</f>
        <v>45456</v>
      </c>
      <c r="O91" s="33" t="s">
        <v>149</v>
      </c>
      <c r="P91" s="33">
        <f t="shared" ref="P91" si="432">N91+7</f>
        <v>45463</v>
      </c>
      <c r="Q91" s="33">
        <f t="shared" ref="Q91" si="433">P91+7</f>
        <v>45470</v>
      </c>
      <c r="R91" s="33">
        <f t="shared" ref="R91" si="434">Q91+7</f>
        <v>45477</v>
      </c>
      <c r="S91" s="34" t="s">
        <v>149</v>
      </c>
      <c r="T91" s="34">
        <f t="shared" ref="T91" si="435">R91+7</f>
        <v>45484</v>
      </c>
      <c r="U91" s="34">
        <f t="shared" ref="U91" si="436">T91+7</f>
        <v>45491</v>
      </c>
      <c r="V91" s="34">
        <f t="shared" ref="V91" si="437">U91+7</f>
        <v>45498</v>
      </c>
      <c r="W91" s="34" t="s">
        <v>149</v>
      </c>
      <c r="X91" s="34">
        <f t="shared" ref="X91" si="438">V91+7</f>
        <v>45505</v>
      </c>
      <c r="Y91" s="34">
        <f t="shared" ref="Y91" si="439">X91+7</f>
        <v>45512</v>
      </c>
      <c r="Z91" s="34">
        <f t="shared" ref="Z91" si="440">Y91+7</f>
        <v>45519</v>
      </c>
      <c r="AA91" s="34" t="s">
        <v>149</v>
      </c>
      <c r="AB91" s="34">
        <f t="shared" ref="AB91" si="441">Z91+7</f>
        <v>45526</v>
      </c>
      <c r="AC91" s="34">
        <f t="shared" ref="AC91" si="442">AB91+7</f>
        <v>45533</v>
      </c>
      <c r="AD91" s="34">
        <f t="shared" ref="AD91" si="443">AC91+7</f>
        <v>45540</v>
      </c>
      <c r="AE91" s="34" t="s">
        <v>149</v>
      </c>
      <c r="AF91" s="34">
        <f t="shared" ref="AF91" si="444">AD91+7</f>
        <v>45547</v>
      </c>
      <c r="AG91" s="34">
        <f t="shared" ref="AG91" si="445">AF91+7</f>
        <v>45554</v>
      </c>
      <c r="AH91" s="34">
        <f t="shared" ref="AH91" si="446">AG91+7</f>
        <v>45561</v>
      </c>
      <c r="AI91" s="34" t="s">
        <v>149</v>
      </c>
      <c r="AJ91" s="34">
        <f t="shared" ref="AJ91" si="447">AH91+7</f>
        <v>45568</v>
      </c>
      <c r="AK91" s="34">
        <f t="shared" ref="AK91" si="448">AJ91+7</f>
        <v>45575</v>
      </c>
      <c r="AL91" s="34">
        <f t="shared" ref="AL91" si="449">AK91+7</f>
        <v>45582</v>
      </c>
      <c r="AM91" s="34" t="s">
        <v>149</v>
      </c>
      <c r="AN91" s="34">
        <f t="shared" ref="AN91" si="450">AL91+7</f>
        <v>45589</v>
      </c>
      <c r="AO91" s="34">
        <f t="shared" ref="AO91" si="451">AN91+7</f>
        <v>45596</v>
      </c>
      <c r="AP91" s="34">
        <f t="shared" ref="AP91" si="452">AO91+7</f>
        <v>45603</v>
      </c>
      <c r="AQ91" s="34" t="s">
        <v>149</v>
      </c>
      <c r="AR91" s="34">
        <f t="shared" ref="AR91" si="453">AP91+7</f>
        <v>45610</v>
      </c>
      <c r="AS91" s="34">
        <f t="shared" ref="AS91" si="454">AR91+7</f>
        <v>45617</v>
      </c>
      <c r="AT91" s="34">
        <f t="shared" ref="AT91" si="455">AS91+7</f>
        <v>45624</v>
      </c>
      <c r="AU91" s="34">
        <f t="shared" ref="AU91" si="456">AT91+21</f>
        <v>45645</v>
      </c>
      <c r="AV91" s="34">
        <f t="shared" ref="AV91" si="457">AT91+7</f>
        <v>45631</v>
      </c>
      <c r="AW91" s="34">
        <f t="shared" ref="AW91" si="458">AV91+7</f>
        <v>45638</v>
      </c>
      <c r="AX91" s="34">
        <f t="shared" ref="AX91" si="459">AW91+7</f>
        <v>45645</v>
      </c>
      <c r="AY91" s="34">
        <f t="shared" ref="AY91" si="460">AX91+21</f>
        <v>45666</v>
      </c>
      <c r="AZ91" s="34">
        <f t="shared" ref="AZ91" si="461">AX91+7</f>
        <v>45652</v>
      </c>
      <c r="BA91" s="34">
        <f t="shared" ref="BA91" si="462">AZ91+7</f>
        <v>45659</v>
      </c>
      <c r="BB91" s="34">
        <f t="shared" ref="BB91" si="463">BA91+7</f>
        <v>45666</v>
      </c>
      <c r="BC91" s="34" t="s">
        <v>148</v>
      </c>
      <c r="BD91" s="34">
        <f>BB91+7</f>
        <v>45673</v>
      </c>
      <c r="BE91" s="34">
        <f>BD91+7</f>
        <v>45680</v>
      </c>
      <c r="BF91" s="34">
        <f>BE91+7</f>
        <v>45687</v>
      </c>
      <c r="BG91" s="34" t="s">
        <v>148</v>
      </c>
      <c r="BH91" s="34">
        <f>BF91+7</f>
        <v>45694</v>
      </c>
      <c r="BI91" s="34">
        <f>BH91+7</f>
        <v>45701</v>
      </c>
      <c r="BJ91" s="34">
        <f>BI91+7</f>
        <v>45708</v>
      </c>
      <c r="BK91" s="34" t="s">
        <v>148</v>
      </c>
      <c r="BL91" s="34">
        <f>BJ91+7</f>
        <v>45715</v>
      </c>
      <c r="BM91" s="34">
        <f>BL91+7</f>
        <v>45722</v>
      </c>
      <c r="BN91" s="34">
        <f>BM91+7</f>
        <v>45729</v>
      </c>
      <c r="BO91" s="34" t="s">
        <v>149</v>
      </c>
      <c r="BP91" s="34">
        <f>BN91+7</f>
        <v>45736</v>
      </c>
      <c r="BQ91" s="34">
        <f>BP91+7</f>
        <v>45743</v>
      </c>
      <c r="BR91" s="34">
        <f>BQ91+7</f>
        <v>45750</v>
      </c>
      <c r="BS91" s="34" t="s">
        <v>148</v>
      </c>
      <c r="BT91" s="34">
        <f>BR91+7</f>
        <v>45757</v>
      </c>
      <c r="BU91" s="34">
        <f>BT91+7</f>
        <v>45764</v>
      </c>
      <c r="BV91" s="34">
        <f>BU91+7</f>
        <v>45771</v>
      </c>
      <c r="BW91" s="34" t="s">
        <v>149</v>
      </c>
      <c r="BX91" s="34">
        <f>BV91+7</f>
        <v>45778</v>
      </c>
      <c r="BY91" s="34">
        <f>BX91+7</f>
        <v>45785</v>
      </c>
      <c r="BZ91" s="34">
        <f>BY91+7</f>
        <v>45792</v>
      </c>
      <c r="CA91" s="34" t="s">
        <v>149</v>
      </c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M91" s="34"/>
      <c r="DN91" s="34"/>
      <c r="DO91" s="34"/>
      <c r="DP91" s="34"/>
      <c r="DQ91" s="34"/>
      <c r="DR91" s="34"/>
      <c r="DS91" s="34"/>
      <c r="DT91" s="34"/>
      <c r="DU91" s="34"/>
      <c r="DV91" s="32"/>
      <c r="DW91" s="32"/>
      <c r="DX91" s="32"/>
      <c r="DY91" s="32"/>
      <c r="DZ91" s="32"/>
      <c r="EA91" s="32"/>
      <c r="EB91" s="32"/>
      <c r="EC91" s="32"/>
      <c r="ED91" s="123"/>
      <c r="EE91" s="123"/>
      <c r="EF91" s="344"/>
      <c r="EG91" s="345"/>
      <c r="EH91" s="345"/>
    </row>
    <row r="92" spans="1:138" s="119" customFormat="1" ht="31.15">
      <c r="B92" s="353"/>
      <c r="C92" s="341"/>
      <c r="D92" s="343"/>
      <c r="E92" s="343"/>
      <c r="F92" s="343"/>
      <c r="G92" s="343"/>
      <c r="H92" s="327" t="s">
        <v>150</v>
      </c>
      <c r="I92" s="97">
        <v>45428</v>
      </c>
      <c r="J92" s="193"/>
      <c r="K92" s="98">
        <v>45442</v>
      </c>
      <c r="L92" s="277" t="s">
        <v>148</v>
      </c>
      <c r="M92" s="83">
        <v>45450</v>
      </c>
      <c r="N92" s="327">
        <v>45457</v>
      </c>
      <c r="O92" s="327" t="s">
        <v>148</v>
      </c>
      <c r="P92" s="327">
        <v>45470</v>
      </c>
      <c r="Q92" s="327">
        <v>45477</v>
      </c>
      <c r="R92" s="325" t="s">
        <v>181</v>
      </c>
      <c r="S92" s="327" t="s">
        <v>148</v>
      </c>
      <c r="T92" s="327">
        <v>45484</v>
      </c>
      <c r="U92" s="331">
        <v>45491</v>
      </c>
      <c r="V92" s="327">
        <v>45498</v>
      </c>
      <c r="W92" s="327" t="s">
        <v>148</v>
      </c>
      <c r="X92" s="65">
        <v>45505</v>
      </c>
      <c r="Y92" s="325">
        <v>45512</v>
      </c>
      <c r="Z92" s="327">
        <v>45518</v>
      </c>
      <c r="AA92" s="327" t="s">
        <v>148</v>
      </c>
      <c r="AB92" s="327">
        <v>45527</v>
      </c>
      <c r="AC92" s="327">
        <v>45533</v>
      </c>
      <c r="AD92" s="325">
        <v>45540</v>
      </c>
      <c r="AE92" s="327" t="s">
        <v>148</v>
      </c>
      <c r="AF92" s="327">
        <v>45547</v>
      </c>
      <c r="AG92" s="327"/>
      <c r="AH92" s="58"/>
      <c r="AI92" s="327"/>
      <c r="AJ92" s="327"/>
      <c r="AK92" s="327"/>
      <c r="AL92" s="58"/>
      <c r="AM92" s="327"/>
      <c r="AN92" s="327"/>
      <c r="AO92" s="327"/>
      <c r="AP92" s="58"/>
      <c r="AQ92" s="327"/>
      <c r="AR92" s="327"/>
      <c r="AS92" s="327"/>
      <c r="AT92" s="58"/>
      <c r="AU92" s="327"/>
      <c r="AV92" s="327"/>
      <c r="AW92" s="327"/>
      <c r="AX92" s="58"/>
      <c r="AY92" s="327"/>
      <c r="AZ92" s="327"/>
      <c r="BA92" s="327"/>
      <c r="BB92" s="58"/>
      <c r="BC92" s="327"/>
      <c r="BD92" s="327"/>
      <c r="BE92" s="327"/>
      <c r="BF92" s="327"/>
      <c r="BG92" s="327"/>
      <c r="BH92" s="327"/>
      <c r="BI92" s="327"/>
      <c r="BJ92" s="327"/>
      <c r="BK92" s="327"/>
      <c r="BL92" s="327"/>
      <c r="BM92" s="327"/>
      <c r="BN92" s="327"/>
      <c r="BO92" s="327"/>
      <c r="BP92" s="327"/>
      <c r="BQ92" s="327"/>
      <c r="BR92" s="327"/>
      <c r="BS92" s="327"/>
      <c r="BT92" s="327"/>
      <c r="BU92" s="327"/>
      <c r="BV92" s="327"/>
      <c r="BW92" s="327"/>
      <c r="BX92" s="327"/>
      <c r="BY92" s="327"/>
      <c r="BZ92" s="327"/>
      <c r="CA92" s="327"/>
      <c r="CB92" s="327"/>
      <c r="CC92" s="327"/>
      <c r="CD92" s="327"/>
      <c r="CE92" s="327"/>
      <c r="CF92" s="327"/>
      <c r="CG92" s="327"/>
      <c r="CH92" s="327"/>
      <c r="CI92" s="327"/>
      <c r="CJ92" s="327"/>
      <c r="CK92" s="327"/>
      <c r="CL92" s="327"/>
      <c r="CM92" s="327"/>
      <c r="CN92" s="327"/>
      <c r="CO92" s="327"/>
      <c r="CP92" s="327"/>
      <c r="CQ92" s="327"/>
      <c r="CR92" s="327"/>
      <c r="CS92" s="327"/>
      <c r="CT92" s="327"/>
      <c r="CU92" s="327"/>
      <c r="CV92" s="327"/>
      <c r="CW92" s="327"/>
      <c r="CX92" s="327"/>
      <c r="CY92" s="327"/>
      <c r="CZ92" s="327"/>
      <c r="DA92" s="327"/>
      <c r="DB92" s="327"/>
      <c r="DC92" s="327"/>
      <c r="DD92" s="327"/>
      <c r="DE92" s="327"/>
      <c r="DF92" s="327"/>
      <c r="DG92" s="327"/>
      <c r="DH92" s="327"/>
      <c r="DI92" s="327"/>
      <c r="DJ92" s="327"/>
      <c r="DK92" s="327"/>
      <c r="DL92" s="327"/>
      <c r="DM92" s="327"/>
      <c r="DN92" s="327"/>
      <c r="DO92" s="327"/>
      <c r="DP92" s="327"/>
      <c r="DQ92" s="327"/>
      <c r="DR92" s="327"/>
      <c r="DS92" s="327"/>
      <c r="DT92" s="327">
        <v>45596</v>
      </c>
      <c r="DU92" s="325" t="s">
        <v>181</v>
      </c>
      <c r="DV92" s="327">
        <v>45631</v>
      </c>
      <c r="DW92" s="327"/>
      <c r="DX92" s="327"/>
      <c r="DY92" s="327"/>
      <c r="DZ92" s="327"/>
      <c r="EA92" s="327"/>
      <c r="EB92" s="327"/>
      <c r="EC92" s="327"/>
      <c r="ED92" s="124"/>
      <c r="EE92" s="124"/>
      <c r="EF92" s="344"/>
      <c r="EG92" s="345"/>
      <c r="EH92" s="345"/>
    </row>
    <row r="93" spans="1:138" ht="32.1" customHeight="1">
      <c r="B93" s="356" t="s">
        <v>221</v>
      </c>
      <c r="C93" s="358" t="s">
        <v>278</v>
      </c>
      <c r="D93" s="360" t="s">
        <v>270</v>
      </c>
      <c r="E93" s="360" t="s">
        <v>279</v>
      </c>
      <c r="F93" s="360" t="s">
        <v>250</v>
      </c>
      <c r="G93" s="360" t="s">
        <v>146</v>
      </c>
      <c r="H93" s="74" t="s">
        <v>147</v>
      </c>
      <c r="I93" s="196">
        <v>45470</v>
      </c>
      <c r="J93" s="182"/>
      <c r="K93" s="197">
        <v>45488</v>
      </c>
      <c r="L93" s="273" t="s">
        <v>148</v>
      </c>
      <c r="M93" s="198">
        <f>K94+7</f>
        <v>45495</v>
      </c>
      <c r="N93" s="76">
        <f t="shared" ref="N93" si="464">M93+7</f>
        <v>45502</v>
      </c>
      <c r="O93" s="76" t="s">
        <v>149</v>
      </c>
      <c r="P93" s="76">
        <v>45516</v>
      </c>
      <c r="Q93" s="76">
        <f t="shared" ref="Q93" si="465">P93+7</f>
        <v>45523</v>
      </c>
      <c r="R93" s="76">
        <f t="shared" ref="R93" si="466">Q93+7</f>
        <v>45530</v>
      </c>
      <c r="S93" s="77" t="s">
        <v>149</v>
      </c>
      <c r="T93" s="77">
        <f t="shared" ref="T93" si="467">R93+7</f>
        <v>45537</v>
      </c>
      <c r="U93" s="77">
        <f t="shared" ref="U93" si="468">T93+7</f>
        <v>45544</v>
      </c>
      <c r="V93" s="77">
        <f t="shared" ref="V93" si="469">U93+7</f>
        <v>45551</v>
      </c>
      <c r="W93" s="77" t="s">
        <v>149</v>
      </c>
      <c r="X93" s="77">
        <f t="shared" ref="X93" si="470">V93+7</f>
        <v>45558</v>
      </c>
      <c r="Y93" s="77">
        <f t="shared" ref="Y93" si="471">X93+7</f>
        <v>45565</v>
      </c>
      <c r="Z93" s="77">
        <f t="shared" ref="Z93" si="472">Y93+7</f>
        <v>45572</v>
      </c>
      <c r="AA93" s="77" t="s">
        <v>149</v>
      </c>
      <c r="AB93" s="77">
        <f t="shared" ref="AB93" si="473">Z93+7</f>
        <v>45579</v>
      </c>
      <c r="AC93" s="77">
        <f t="shared" ref="AC93" si="474">AB93+7</f>
        <v>45586</v>
      </c>
      <c r="AD93" s="77">
        <f t="shared" ref="AD93" si="475">AC93+7</f>
        <v>45593</v>
      </c>
      <c r="AE93" s="77" t="s">
        <v>149</v>
      </c>
      <c r="AF93" s="77">
        <f t="shared" ref="AF93" si="476">AD93+7</f>
        <v>45600</v>
      </c>
      <c r="AG93" s="77">
        <f t="shared" ref="AG93" si="477">AF93+7</f>
        <v>45607</v>
      </c>
      <c r="AH93" s="77">
        <f t="shared" ref="AH93" si="478">AG93+7</f>
        <v>45614</v>
      </c>
      <c r="AI93" s="77" t="s">
        <v>149</v>
      </c>
      <c r="AJ93" s="77">
        <f t="shared" ref="AJ93" si="479">AH93+7</f>
        <v>45621</v>
      </c>
      <c r="AK93" s="77">
        <f t="shared" ref="AK93" si="480">AJ93+7</f>
        <v>45628</v>
      </c>
      <c r="AL93" s="77">
        <f t="shared" ref="AL93" si="481">AK93+7</f>
        <v>45635</v>
      </c>
      <c r="AM93" s="77" t="s">
        <v>149</v>
      </c>
      <c r="AN93" s="77">
        <f t="shared" ref="AN93" si="482">AL93+7</f>
        <v>45642</v>
      </c>
      <c r="AO93" s="77">
        <f t="shared" ref="AO93" si="483">AN93+7</f>
        <v>45649</v>
      </c>
      <c r="AP93" s="77">
        <f t="shared" ref="AP93" si="484">AO93+7</f>
        <v>45656</v>
      </c>
      <c r="AQ93" s="77" t="s">
        <v>149</v>
      </c>
      <c r="AR93" s="77">
        <f t="shared" ref="AR93" si="485">AP93+7</f>
        <v>45663</v>
      </c>
      <c r="AS93" s="77">
        <f t="shared" ref="AS93" si="486">AR93+7</f>
        <v>45670</v>
      </c>
      <c r="AT93" s="77">
        <f t="shared" ref="AT93" si="487">AS93+7</f>
        <v>45677</v>
      </c>
      <c r="AU93" s="77">
        <f t="shared" ref="AU93" si="488">AT93+21</f>
        <v>45698</v>
      </c>
      <c r="AV93" s="77">
        <f t="shared" ref="AV93" si="489">AT93+7</f>
        <v>45684</v>
      </c>
      <c r="AW93" s="77">
        <f t="shared" ref="AW93" si="490">AV93+7</f>
        <v>45691</v>
      </c>
      <c r="AX93" s="77">
        <f t="shared" ref="AX93" si="491">AW93+7</f>
        <v>45698</v>
      </c>
      <c r="AY93" s="77">
        <f t="shared" ref="AY93" si="492">AX93+21</f>
        <v>45719</v>
      </c>
      <c r="AZ93" s="77">
        <f t="shared" ref="AZ93" si="493">AX93+7</f>
        <v>45705</v>
      </c>
      <c r="BA93" s="77">
        <f t="shared" ref="BA93" si="494">AZ93+7</f>
        <v>45712</v>
      </c>
      <c r="BB93" s="77">
        <f t="shared" ref="BB93" si="495">BA93+7</f>
        <v>45719</v>
      </c>
      <c r="BC93" s="77" t="s">
        <v>148</v>
      </c>
      <c r="BD93" s="77">
        <f>BB93+7</f>
        <v>45726</v>
      </c>
      <c r="BE93" s="77">
        <f>BD93+7</f>
        <v>45733</v>
      </c>
      <c r="BF93" s="77">
        <f>BE93+7</f>
        <v>45740</v>
      </c>
      <c r="BG93" s="77" t="s">
        <v>148</v>
      </c>
      <c r="BH93" s="77">
        <f>BF93+7</f>
        <v>45747</v>
      </c>
      <c r="BI93" s="77">
        <f>BH93+7</f>
        <v>45754</v>
      </c>
      <c r="BJ93" s="77">
        <f>BI93+7</f>
        <v>45761</v>
      </c>
      <c r="BK93" s="77" t="s">
        <v>148</v>
      </c>
      <c r="BL93" s="77">
        <f>BJ93+7</f>
        <v>45768</v>
      </c>
      <c r="BM93" s="77">
        <f>BL93+7</f>
        <v>45775</v>
      </c>
      <c r="BN93" s="77">
        <f>BM93+7</f>
        <v>45782</v>
      </c>
      <c r="BO93" s="77" t="s">
        <v>149</v>
      </c>
      <c r="BP93" s="77">
        <f>BN93+7</f>
        <v>45789</v>
      </c>
      <c r="BQ93" s="77">
        <f>BP93+7</f>
        <v>45796</v>
      </c>
      <c r="BR93" s="77">
        <f>BQ93+7</f>
        <v>45803</v>
      </c>
      <c r="BS93" s="77" t="s">
        <v>148</v>
      </c>
      <c r="BT93" s="77">
        <f>BR93+7</f>
        <v>45810</v>
      </c>
      <c r="BU93" s="77">
        <f>BT93+7</f>
        <v>45817</v>
      </c>
      <c r="BV93" s="77">
        <f>BU93+7</f>
        <v>45824</v>
      </c>
      <c r="BW93" s="77" t="s">
        <v>149</v>
      </c>
      <c r="BX93" s="77">
        <f>BV93+7</f>
        <v>45831</v>
      </c>
      <c r="BY93" s="77">
        <f>BX93+7</f>
        <v>45838</v>
      </c>
      <c r="BZ93" s="77">
        <f>BY93+7</f>
        <v>45845</v>
      </c>
      <c r="CA93" s="77" t="s">
        <v>149</v>
      </c>
      <c r="CB93" s="77"/>
      <c r="CC93" s="77"/>
      <c r="CD93" s="77"/>
      <c r="CE93" s="77"/>
      <c r="CF93" s="77"/>
      <c r="CG93" s="77"/>
      <c r="CH93" s="77"/>
      <c r="CI93" s="77"/>
      <c r="CJ93" s="77"/>
      <c r="CK93" s="77"/>
      <c r="CL93" s="77"/>
      <c r="CM93" s="77"/>
      <c r="CN93" s="77"/>
      <c r="CO93" s="77"/>
      <c r="CP93" s="77"/>
      <c r="CQ93" s="77"/>
      <c r="CR93" s="77"/>
      <c r="CS93" s="77"/>
      <c r="CT93" s="77"/>
      <c r="CU93" s="77"/>
      <c r="CV93" s="77"/>
      <c r="CW93" s="77"/>
      <c r="CX93" s="77"/>
      <c r="CY93" s="77"/>
      <c r="CZ93" s="77"/>
      <c r="DA93" s="77"/>
      <c r="DB93" s="77"/>
      <c r="DC93" s="77"/>
      <c r="DD93" s="77"/>
      <c r="DE93" s="77"/>
      <c r="DF93" s="77"/>
      <c r="DG93" s="77"/>
      <c r="DH93" s="77"/>
      <c r="DI93" s="77"/>
      <c r="DJ93" s="77"/>
      <c r="DK93" s="77"/>
      <c r="DL93" s="77"/>
      <c r="DM93" s="77"/>
      <c r="DN93" s="77"/>
      <c r="DO93" s="77"/>
      <c r="DP93" s="77"/>
      <c r="DQ93" s="77"/>
      <c r="DR93" s="77"/>
      <c r="DS93" s="77"/>
      <c r="DT93" s="17">
        <v>45971</v>
      </c>
      <c r="DU93" s="17"/>
      <c r="DV93" s="13"/>
      <c r="DW93" s="13"/>
      <c r="DX93" s="13"/>
      <c r="DY93" s="13"/>
      <c r="DZ93" s="13"/>
      <c r="EA93" s="13"/>
      <c r="EB93" s="13"/>
      <c r="EC93" s="13"/>
      <c r="ED93" s="24"/>
      <c r="EE93" s="24"/>
      <c r="EF93" s="339"/>
      <c r="EG93" s="338"/>
      <c r="EH93" s="338"/>
    </row>
    <row r="94" spans="1:138" ht="31.15">
      <c r="B94" s="357"/>
      <c r="C94" s="359"/>
      <c r="D94" s="361"/>
      <c r="E94" s="361"/>
      <c r="F94" s="361"/>
      <c r="G94" s="361"/>
      <c r="H94" s="330" t="s">
        <v>150</v>
      </c>
      <c r="I94" s="199">
        <v>45470</v>
      </c>
      <c r="J94" s="200"/>
      <c r="K94" s="201">
        <v>45488</v>
      </c>
      <c r="L94" s="274" t="s">
        <v>148</v>
      </c>
      <c r="M94" s="159">
        <v>45495</v>
      </c>
      <c r="N94" s="330">
        <v>45502</v>
      </c>
      <c r="O94" s="330" t="s">
        <v>148</v>
      </c>
      <c r="P94" s="330">
        <v>45516</v>
      </c>
      <c r="Q94" s="330">
        <v>45523</v>
      </c>
      <c r="R94" s="324">
        <v>45532</v>
      </c>
      <c r="S94" s="330" t="s">
        <v>148</v>
      </c>
      <c r="T94" s="330">
        <v>45539</v>
      </c>
      <c r="U94" s="154">
        <v>45546</v>
      </c>
      <c r="V94" s="330">
        <v>45554</v>
      </c>
      <c r="W94" s="330" t="s">
        <v>148</v>
      </c>
      <c r="X94" s="160">
        <v>45558</v>
      </c>
      <c r="Y94" s="324">
        <v>45565</v>
      </c>
      <c r="Z94" s="330">
        <v>45572</v>
      </c>
      <c r="AA94" s="330" t="s">
        <v>148</v>
      </c>
      <c r="AB94" s="330">
        <v>45579</v>
      </c>
      <c r="AC94" s="330">
        <v>45586</v>
      </c>
      <c r="AD94" s="324">
        <v>45593</v>
      </c>
      <c r="AE94" s="330" t="s">
        <v>148</v>
      </c>
      <c r="AF94" s="330">
        <v>45600</v>
      </c>
      <c r="AG94" s="330">
        <v>45607</v>
      </c>
      <c r="AH94" s="324">
        <v>45614</v>
      </c>
      <c r="AI94" s="330" t="s">
        <v>148</v>
      </c>
      <c r="AJ94" s="330">
        <v>45621</v>
      </c>
      <c r="AK94" s="330">
        <v>45629</v>
      </c>
      <c r="AL94" s="256">
        <v>45635</v>
      </c>
      <c r="AM94" s="330" t="s">
        <v>149</v>
      </c>
      <c r="AN94" s="330">
        <v>45642</v>
      </c>
      <c r="AO94" s="330">
        <v>45649</v>
      </c>
      <c r="AP94" s="324">
        <v>45656</v>
      </c>
      <c r="AQ94" s="330" t="s">
        <v>149</v>
      </c>
      <c r="AR94" s="330">
        <v>45663</v>
      </c>
      <c r="AS94" s="330">
        <v>45670</v>
      </c>
      <c r="AT94" s="324">
        <v>45677</v>
      </c>
      <c r="AU94" s="330" t="s">
        <v>149</v>
      </c>
      <c r="AV94" s="330">
        <v>45684</v>
      </c>
      <c r="AW94" s="330">
        <v>45691</v>
      </c>
      <c r="AX94" s="324">
        <v>45698</v>
      </c>
      <c r="AY94" s="330" t="s">
        <v>149</v>
      </c>
      <c r="AZ94" s="330">
        <v>45707</v>
      </c>
      <c r="BA94" s="330">
        <v>45714</v>
      </c>
      <c r="BB94" s="324" t="s">
        <v>183</v>
      </c>
      <c r="BC94" s="330" t="s">
        <v>149</v>
      </c>
      <c r="BD94" s="330">
        <v>45726</v>
      </c>
      <c r="BE94" s="330">
        <v>45733</v>
      </c>
      <c r="BF94" s="330">
        <v>45740</v>
      </c>
      <c r="BG94" s="330" t="s">
        <v>149</v>
      </c>
      <c r="BH94" s="330">
        <v>45747</v>
      </c>
      <c r="BI94" s="330">
        <v>45754</v>
      </c>
      <c r="BJ94" s="324" t="s">
        <v>183</v>
      </c>
      <c r="BK94" s="330" t="s">
        <v>149</v>
      </c>
      <c r="BL94" s="330">
        <v>45770</v>
      </c>
      <c r="BM94" s="330">
        <v>45777</v>
      </c>
      <c r="BN94" s="330" t="s">
        <v>272</v>
      </c>
      <c r="BO94" s="330" t="s">
        <v>149</v>
      </c>
      <c r="BP94" s="330">
        <v>45789</v>
      </c>
      <c r="BQ94" s="330">
        <v>45796</v>
      </c>
      <c r="BR94" s="330">
        <v>45803</v>
      </c>
      <c r="BS94" s="330" t="s">
        <v>149</v>
      </c>
      <c r="BT94" s="330">
        <v>45810</v>
      </c>
      <c r="BU94" s="330">
        <v>45817</v>
      </c>
      <c r="BV94" s="330">
        <v>45824</v>
      </c>
      <c r="BW94" s="330" t="s">
        <v>149</v>
      </c>
      <c r="BX94" s="330">
        <v>45833</v>
      </c>
      <c r="BY94" s="330">
        <v>45840</v>
      </c>
      <c r="BZ94" s="330">
        <v>45847</v>
      </c>
      <c r="CA94" s="330" t="s">
        <v>149</v>
      </c>
      <c r="CB94" s="330">
        <v>45852</v>
      </c>
      <c r="CC94" s="330">
        <v>45859</v>
      </c>
      <c r="CD94" s="330">
        <v>45846</v>
      </c>
      <c r="CE94" s="330" t="s">
        <v>148</v>
      </c>
      <c r="CF94" s="330">
        <v>45873</v>
      </c>
      <c r="CG94" s="330">
        <v>45880</v>
      </c>
      <c r="CH94" s="330">
        <v>45887</v>
      </c>
      <c r="CI94" s="330" t="s">
        <v>148</v>
      </c>
      <c r="CJ94" s="330"/>
      <c r="CK94" s="330">
        <v>45901</v>
      </c>
      <c r="CL94" s="330">
        <v>45908</v>
      </c>
      <c r="CM94" s="330" t="s">
        <v>148</v>
      </c>
      <c r="CN94" s="330">
        <v>45915</v>
      </c>
      <c r="CO94" s="330">
        <v>45922</v>
      </c>
      <c r="CP94" s="330">
        <v>45929</v>
      </c>
      <c r="CQ94" s="330" t="s">
        <v>148</v>
      </c>
      <c r="CR94" s="330">
        <v>45943</v>
      </c>
      <c r="CS94" s="330">
        <v>45950</v>
      </c>
      <c r="CT94" s="330" t="s">
        <v>280</v>
      </c>
      <c r="CU94" s="330" t="s">
        <v>148</v>
      </c>
      <c r="CV94" s="330">
        <v>45964</v>
      </c>
      <c r="CW94" s="330"/>
      <c r="CX94" s="330"/>
      <c r="CY94" s="330"/>
      <c r="CZ94" s="330"/>
      <c r="DA94" s="330"/>
      <c r="DB94" s="330"/>
      <c r="DC94" s="330"/>
      <c r="DD94" s="330"/>
      <c r="DE94" s="330"/>
      <c r="DF94" s="330"/>
      <c r="DG94" s="330"/>
      <c r="DH94" s="330"/>
      <c r="DI94" s="330"/>
      <c r="DJ94" s="330"/>
      <c r="DK94" s="330"/>
      <c r="DL94" s="330"/>
      <c r="DM94" s="330"/>
      <c r="DN94" s="330"/>
      <c r="DO94" s="330"/>
      <c r="DP94" s="330"/>
      <c r="DQ94" s="330"/>
      <c r="DR94" s="330"/>
      <c r="DS94" s="330"/>
      <c r="DT94" s="321">
        <v>45971</v>
      </c>
      <c r="DU94" s="258" t="s">
        <v>183</v>
      </c>
      <c r="DV94" s="321">
        <v>46041</v>
      </c>
      <c r="DW94" s="321">
        <v>46132</v>
      </c>
      <c r="DX94" s="321"/>
      <c r="DY94" s="321"/>
      <c r="DZ94" s="321"/>
      <c r="EA94" s="321"/>
      <c r="EB94" s="321"/>
      <c r="EC94" s="321"/>
      <c r="ED94" s="25"/>
      <c r="EE94" s="25"/>
      <c r="EF94" s="339"/>
      <c r="EG94" s="338"/>
      <c r="EH94" s="338"/>
    </row>
    <row r="95" spans="1:138" ht="31.15">
      <c r="B95" s="356" t="s">
        <v>221</v>
      </c>
      <c r="C95" s="358" t="s">
        <v>281</v>
      </c>
      <c r="D95" s="360" t="s">
        <v>242</v>
      </c>
      <c r="E95" s="360" t="s">
        <v>282</v>
      </c>
      <c r="F95" s="360" t="s">
        <v>250</v>
      </c>
      <c r="G95" s="360" t="s">
        <v>146</v>
      </c>
      <c r="H95" s="74" t="s">
        <v>147</v>
      </c>
      <c r="I95" s="196">
        <v>45490</v>
      </c>
      <c r="J95" s="182"/>
      <c r="K95" s="197">
        <v>45505</v>
      </c>
      <c r="L95" s="273" t="s">
        <v>148</v>
      </c>
      <c r="M95" s="198">
        <f>K96+7</f>
        <v>45512</v>
      </c>
      <c r="N95" s="76">
        <f t="shared" ref="N95" si="496">M95+7</f>
        <v>45519</v>
      </c>
      <c r="O95" s="76" t="s">
        <v>149</v>
      </c>
      <c r="P95" s="76">
        <v>45533</v>
      </c>
      <c r="Q95" s="76">
        <f t="shared" ref="Q95" si="497">P95+7</f>
        <v>45540</v>
      </c>
      <c r="R95" s="76">
        <f t="shared" ref="R95" si="498">Q95+7</f>
        <v>45547</v>
      </c>
      <c r="S95" s="77" t="s">
        <v>149</v>
      </c>
      <c r="T95" s="77">
        <f t="shared" ref="T95" si="499">R95+7</f>
        <v>45554</v>
      </c>
      <c r="U95" s="77">
        <f t="shared" ref="U95" si="500">T95+7</f>
        <v>45561</v>
      </c>
      <c r="V95" s="77">
        <f t="shared" ref="V95" si="501">U95+7</f>
        <v>45568</v>
      </c>
      <c r="W95" s="77" t="s">
        <v>149</v>
      </c>
      <c r="X95" s="77">
        <f t="shared" ref="X95" si="502">V95+7</f>
        <v>45575</v>
      </c>
      <c r="Y95" s="77">
        <f t="shared" ref="Y95" si="503">X95+7</f>
        <v>45582</v>
      </c>
      <c r="Z95" s="77">
        <f t="shared" ref="Z95" si="504">Y95+7</f>
        <v>45589</v>
      </c>
      <c r="AA95" s="77" t="s">
        <v>149</v>
      </c>
      <c r="AB95" s="77">
        <f t="shared" ref="AB95" si="505">Z95+7</f>
        <v>45596</v>
      </c>
      <c r="AC95" s="77">
        <f t="shared" ref="AC95" si="506">AB95+7</f>
        <v>45603</v>
      </c>
      <c r="AD95" s="77">
        <f t="shared" ref="AD95" si="507">AC95+7</f>
        <v>45610</v>
      </c>
      <c r="AE95" s="77" t="s">
        <v>149</v>
      </c>
      <c r="AF95" s="77">
        <f t="shared" ref="AF95" si="508">AD95+7</f>
        <v>45617</v>
      </c>
      <c r="AG95" s="77">
        <f t="shared" ref="AG95" si="509">AF95+7</f>
        <v>45624</v>
      </c>
      <c r="AH95" s="77">
        <f t="shared" ref="AH95" si="510">AG95+7</f>
        <v>45631</v>
      </c>
      <c r="AI95" s="77" t="s">
        <v>149</v>
      </c>
      <c r="AJ95" s="77">
        <f t="shared" ref="AJ95" si="511">AH95+7</f>
        <v>45638</v>
      </c>
      <c r="AK95" s="77">
        <f t="shared" ref="AK95" si="512">AJ95+7</f>
        <v>45645</v>
      </c>
      <c r="AL95" s="77">
        <f t="shared" ref="AL95" si="513">AK95+7</f>
        <v>45652</v>
      </c>
      <c r="AM95" s="77" t="s">
        <v>149</v>
      </c>
      <c r="AN95" s="77">
        <f t="shared" ref="AN95" si="514">AL95+7</f>
        <v>45659</v>
      </c>
      <c r="AO95" s="77">
        <f t="shared" ref="AO95" si="515">AN95+7</f>
        <v>45666</v>
      </c>
      <c r="AP95" s="77">
        <f t="shared" ref="AP95" si="516">AO95+7</f>
        <v>45673</v>
      </c>
      <c r="AQ95" s="77" t="s">
        <v>149</v>
      </c>
      <c r="AR95" s="77">
        <f t="shared" ref="AR95" si="517">AP95+7</f>
        <v>45680</v>
      </c>
      <c r="AS95" s="77">
        <f t="shared" ref="AS95" si="518">AR95+7</f>
        <v>45687</v>
      </c>
      <c r="AT95" s="77">
        <f t="shared" ref="AT95" si="519">AS95+7</f>
        <v>45694</v>
      </c>
      <c r="AU95" s="77">
        <f t="shared" ref="AU95" si="520">AT95+21</f>
        <v>45715</v>
      </c>
      <c r="AV95" s="77">
        <f t="shared" ref="AV95" si="521">AT95+7</f>
        <v>45701</v>
      </c>
      <c r="AW95" s="77">
        <f t="shared" ref="AW95" si="522">AV95+7</f>
        <v>45708</v>
      </c>
      <c r="AX95" s="77">
        <f t="shared" ref="AX95" si="523">AW95+7</f>
        <v>45715</v>
      </c>
      <c r="AY95" s="77">
        <f t="shared" ref="AY95" si="524">AX95+21</f>
        <v>45736</v>
      </c>
      <c r="AZ95" s="77">
        <f t="shared" ref="AZ95" si="525">AX95+7</f>
        <v>45722</v>
      </c>
      <c r="BA95" s="77">
        <f t="shared" ref="BA95" si="526">AZ95+7</f>
        <v>45729</v>
      </c>
      <c r="BB95" s="77">
        <f t="shared" ref="BB95" si="527">BA95+7</f>
        <v>45736</v>
      </c>
      <c r="BC95" s="77" t="s">
        <v>148</v>
      </c>
      <c r="BD95" s="77">
        <f>BB95+7</f>
        <v>45743</v>
      </c>
      <c r="BE95" s="77">
        <f>BD95+7</f>
        <v>45750</v>
      </c>
      <c r="BF95" s="77">
        <f>BE95+7</f>
        <v>45757</v>
      </c>
      <c r="BG95" s="77" t="s">
        <v>148</v>
      </c>
      <c r="BH95" s="77">
        <f>BF95+7</f>
        <v>45764</v>
      </c>
      <c r="BI95" s="77">
        <f>BH95+7</f>
        <v>45771</v>
      </c>
      <c r="BJ95" s="77">
        <f>BI95+7</f>
        <v>45778</v>
      </c>
      <c r="BK95" s="77" t="s">
        <v>148</v>
      </c>
      <c r="BL95" s="77">
        <f>BJ95+7</f>
        <v>45785</v>
      </c>
      <c r="BM95" s="77">
        <f>BL95+7</f>
        <v>45792</v>
      </c>
      <c r="BN95" s="77">
        <f>BM95+7</f>
        <v>45799</v>
      </c>
      <c r="BO95" s="77" t="s">
        <v>149</v>
      </c>
      <c r="BP95" s="77">
        <f>BN95+7</f>
        <v>45806</v>
      </c>
      <c r="BQ95" s="77">
        <f>BP95+7</f>
        <v>45813</v>
      </c>
      <c r="BR95" s="77">
        <f>BQ95+7</f>
        <v>45820</v>
      </c>
      <c r="BS95" s="77" t="s">
        <v>148</v>
      </c>
      <c r="BT95" s="77">
        <f>BR95+7</f>
        <v>45827</v>
      </c>
      <c r="BU95" s="77">
        <f>BT95+7</f>
        <v>45834</v>
      </c>
      <c r="BV95" s="77">
        <f>BU95+7</f>
        <v>45841</v>
      </c>
      <c r="BW95" s="77" t="s">
        <v>149</v>
      </c>
      <c r="BX95" s="77">
        <f>BV95+7</f>
        <v>45848</v>
      </c>
      <c r="BY95" s="77">
        <f>BX95+7</f>
        <v>45855</v>
      </c>
      <c r="BZ95" s="77">
        <f>BY95+7</f>
        <v>45862</v>
      </c>
      <c r="CA95" s="77" t="s">
        <v>149</v>
      </c>
      <c r="CB95" s="77"/>
      <c r="CC95" s="77"/>
      <c r="CD95" s="77"/>
      <c r="CE95" s="77"/>
      <c r="CF95" s="77"/>
      <c r="CG95" s="77"/>
      <c r="CH95" s="77"/>
      <c r="CI95" s="77"/>
      <c r="CJ95" s="77"/>
      <c r="CK95" s="77"/>
      <c r="CL95" s="77"/>
      <c r="CM95" s="77"/>
      <c r="CN95" s="77"/>
      <c r="CO95" s="77"/>
      <c r="CP95" s="77"/>
      <c r="CQ95" s="77"/>
      <c r="CR95" s="77"/>
      <c r="CS95" s="77"/>
      <c r="CT95" s="77"/>
      <c r="CU95" s="77"/>
      <c r="CV95" s="77"/>
      <c r="CW95" s="77"/>
      <c r="CX95" s="77"/>
      <c r="CY95" s="77"/>
      <c r="CZ95" s="77"/>
      <c r="DA95" s="77"/>
      <c r="DB95" s="77"/>
      <c r="DC95" s="77"/>
      <c r="DD95" s="77"/>
      <c r="DE95" s="77"/>
      <c r="DF95" s="77"/>
      <c r="DG95" s="77"/>
      <c r="DH95" s="77"/>
      <c r="DI95" s="77"/>
      <c r="DJ95" s="77"/>
      <c r="DK95" s="77"/>
      <c r="DL95" s="77"/>
      <c r="DM95" s="77"/>
      <c r="DN95" s="77"/>
      <c r="DO95" s="77"/>
      <c r="DP95" s="77"/>
      <c r="DQ95" s="77"/>
      <c r="DR95" s="77"/>
      <c r="DS95" s="77"/>
      <c r="DT95" s="17">
        <v>45924</v>
      </c>
      <c r="DU95" s="17"/>
      <c r="DV95" s="13"/>
      <c r="DW95" s="13"/>
      <c r="DX95" s="13"/>
      <c r="DY95" s="13"/>
      <c r="DZ95" s="13"/>
      <c r="EA95" s="13"/>
      <c r="EB95" s="13"/>
      <c r="EC95" s="13"/>
      <c r="ED95" s="24"/>
      <c r="EE95" s="24"/>
      <c r="EF95" s="339"/>
      <c r="EG95" s="338"/>
      <c r="EH95" s="338"/>
    </row>
    <row r="96" spans="1:138" ht="31.15">
      <c r="B96" s="357"/>
      <c r="C96" s="359"/>
      <c r="D96" s="361"/>
      <c r="E96" s="361"/>
      <c r="F96" s="361"/>
      <c r="G96" s="361"/>
      <c r="H96" s="330" t="s">
        <v>150</v>
      </c>
      <c r="I96" s="199">
        <v>45490</v>
      </c>
      <c r="J96" s="200"/>
      <c r="K96" s="201">
        <v>45505</v>
      </c>
      <c r="L96" s="274" t="s">
        <v>148</v>
      </c>
      <c r="M96" s="159">
        <v>45512</v>
      </c>
      <c r="N96" s="330">
        <v>45518</v>
      </c>
      <c r="O96" s="330" t="s">
        <v>148</v>
      </c>
      <c r="P96" s="330">
        <v>45533</v>
      </c>
      <c r="Q96" s="330">
        <v>45540</v>
      </c>
      <c r="R96" s="324" t="s">
        <v>181</v>
      </c>
      <c r="S96" s="330" t="s">
        <v>148</v>
      </c>
      <c r="T96" s="330">
        <v>45547</v>
      </c>
      <c r="U96" s="154">
        <v>45561</v>
      </c>
      <c r="V96" s="330"/>
      <c r="W96" s="330" t="s">
        <v>148</v>
      </c>
      <c r="X96" s="160">
        <v>45575</v>
      </c>
      <c r="Y96" s="324">
        <v>45582</v>
      </c>
      <c r="Z96" s="330"/>
      <c r="AA96" s="330" t="s">
        <v>148</v>
      </c>
      <c r="AB96" s="330">
        <v>45589</v>
      </c>
      <c r="AC96" s="330">
        <v>45596</v>
      </c>
      <c r="AD96" s="330"/>
      <c r="AE96" s="330" t="s">
        <v>148</v>
      </c>
      <c r="AF96" s="330">
        <v>45610</v>
      </c>
      <c r="AG96" s="330">
        <v>45620</v>
      </c>
      <c r="AH96" s="324">
        <v>45624</v>
      </c>
      <c r="AI96" s="330" t="s">
        <v>148</v>
      </c>
      <c r="AJ96" s="330">
        <v>45631</v>
      </c>
      <c r="AK96" s="330">
        <v>45638</v>
      </c>
      <c r="AL96" s="256">
        <v>45645</v>
      </c>
      <c r="AM96" s="330" t="s">
        <v>149</v>
      </c>
      <c r="AN96" s="330">
        <v>45652</v>
      </c>
      <c r="AO96" s="330">
        <v>45659</v>
      </c>
      <c r="AP96" s="324">
        <v>45666</v>
      </c>
      <c r="AQ96" s="330" t="s">
        <v>149</v>
      </c>
      <c r="AR96" s="330">
        <v>45673</v>
      </c>
      <c r="AS96" s="330">
        <v>45680</v>
      </c>
      <c r="AT96" s="324">
        <v>45688</v>
      </c>
      <c r="AU96" s="330" t="s">
        <v>149</v>
      </c>
      <c r="AV96" s="330">
        <v>45693</v>
      </c>
      <c r="AW96" s="330">
        <v>45700</v>
      </c>
      <c r="AX96" s="324">
        <v>45708</v>
      </c>
      <c r="AY96" s="330" t="s">
        <v>149</v>
      </c>
      <c r="AZ96" s="330">
        <v>45715</v>
      </c>
      <c r="BA96" s="330">
        <v>45722</v>
      </c>
      <c r="BB96" s="324" t="s">
        <v>183</v>
      </c>
      <c r="BC96" s="330" t="s">
        <v>149</v>
      </c>
      <c r="BD96" s="330">
        <v>45736</v>
      </c>
      <c r="BE96" s="330">
        <v>45743</v>
      </c>
      <c r="BF96" s="330">
        <v>45750</v>
      </c>
      <c r="BG96" s="330" t="s">
        <v>149</v>
      </c>
      <c r="BH96" s="330">
        <v>45756</v>
      </c>
      <c r="BI96" s="330">
        <v>45763</v>
      </c>
      <c r="BJ96" s="330">
        <v>45770</v>
      </c>
      <c r="BK96" s="330">
        <v>45770</v>
      </c>
      <c r="BL96" s="330">
        <v>45777</v>
      </c>
      <c r="BM96" s="330">
        <v>45784</v>
      </c>
      <c r="BN96" s="330">
        <v>45791</v>
      </c>
      <c r="BO96" s="330" t="s">
        <v>149</v>
      </c>
      <c r="BP96" s="330">
        <v>45798</v>
      </c>
      <c r="BQ96" s="330">
        <v>45805</v>
      </c>
      <c r="BR96" s="330">
        <v>45812</v>
      </c>
      <c r="BS96" s="330" t="s">
        <v>149</v>
      </c>
      <c r="BT96" s="330">
        <v>45819</v>
      </c>
      <c r="BU96" s="330">
        <v>45826</v>
      </c>
      <c r="BV96" s="330">
        <v>45833</v>
      </c>
      <c r="BW96" s="330" t="s">
        <v>149</v>
      </c>
      <c r="BX96" s="330">
        <v>45840</v>
      </c>
      <c r="BY96" s="330">
        <v>45847</v>
      </c>
      <c r="BZ96" s="330">
        <v>45854</v>
      </c>
      <c r="CA96" s="330" t="s">
        <v>149</v>
      </c>
      <c r="CB96" s="330">
        <v>45861</v>
      </c>
      <c r="CC96" s="330">
        <v>45868</v>
      </c>
      <c r="CD96" s="330">
        <v>45875</v>
      </c>
      <c r="CE96" s="330" t="s">
        <v>148</v>
      </c>
      <c r="CF96" s="330">
        <v>45882</v>
      </c>
      <c r="CG96" s="330">
        <v>45889</v>
      </c>
      <c r="CH96" s="330">
        <v>45896</v>
      </c>
      <c r="CI96" s="330" t="s">
        <v>148</v>
      </c>
      <c r="CJ96" s="330">
        <v>45903</v>
      </c>
      <c r="CK96" s="330">
        <v>45910</v>
      </c>
      <c r="CL96" s="330">
        <v>45917</v>
      </c>
      <c r="CM96" s="330" t="s">
        <v>148</v>
      </c>
      <c r="CN96" s="330"/>
      <c r="CO96" s="330"/>
      <c r="CP96" s="330"/>
      <c r="CQ96" s="330"/>
      <c r="CR96" s="330"/>
      <c r="CS96" s="330"/>
      <c r="CT96" s="330"/>
      <c r="CU96" s="330"/>
      <c r="CV96" s="330"/>
      <c r="CW96" s="330"/>
      <c r="CX96" s="330"/>
      <c r="CY96" s="330"/>
      <c r="CZ96" s="330"/>
      <c r="DA96" s="330"/>
      <c r="DB96" s="330"/>
      <c r="DC96" s="330"/>
      <c r="DD96" s="330"/>
      <c r="DE96" s="330"/>
      <c r="DF96" s="330"/>
      <c r="DG96" s="330"/>
      <c r="DH96" s="330"/>
      <c r="DI96" s="330"/>
      <c r="DJ96" s="330"/>
      <c r="DK96" s="330"/>
      <c r="DL96" s="330"/>
      <c r="DM96" s="330"/>
      <c r="DN96" s="330"/>
      <c r="DO96" s="330"/>
      <c r="DP96" s="330"/>
      <c r="DQ96" s="330"/>
      <c r="DR96" s="330"/>
      <c r="DS96" s="330"/>
      <c r="DT96" s="321">
        <v>45924</v>
      </c>
      <c r="DU96" s="320" t="s">
        <v>181</v>
      </c>
      <c r="DV96" s="321">
        <v>46009</v>
      </c>
      <c r="DW96" s="321">
        <v>46093</v>
      </c>
      <c r="DX96" s="321"/>
      <c r="DY96" s="321"/>
      <c r="DZ96" s="321"/>
      <c r="EA96" s="321"/>
      <c r="EB96" s="321"/>
      <c r="EC96" s="321"/>
      <c r="ED96" s="25"/>
      <c r="EE96" s="25"/>
      <c r="EF96" s="339"/>
      <c r="EG96" s="338"/>
      <c r="EH96" s="338"/>
    </row>
    <row r="97" spans="2:139" ht="31.15">
      <c r="B97" s="356" t="s">
        <v>221</v>
      </c>
      <c r="C97" s="358" t="s">
        <v>283</v>
      </c>
      <c r="D97" s="360" t="s">
        <v>208</v>
      </c>
      <c r="E97" s="360" t="s">
        <v>284</v>
      </c>
      <c r="F97" s="360" t="s">
        <v>210</v>
      </c>
      <c r="G97" s="360" t="s">
        <v>146</v>
      </c>
      <c r="H97" s="74" t="s">
        <v>147</v>
      </c>
      <c r="I97" s="196">
        <v>45496</v>
      </c>
      <c r="J97" s="182"/>
      <c r="K97" s="197">
        <v>45505</v>
      </c>
      <c r="L97" s="273" t="s">
        <v>148</v>
      </c>
      <c r="M97" s="198">
        <f>K98+7</f>
        <v>45512</v>
      </c>
      <c r="N97" s="76">
        <f t="shared" ref="N97" si="528">M97+7</f>
        <v>45519</v>
      </c>
      <c r="O97" s="76" t="s">
        <v>149</v>
      </c>
      <c r="P97" s="76">
        <v>45526</v>
      </c>
      <c r="Q97" s="76">
        <f t="shared" ref="Q97" si="529">P97+7</f>
        <v>45533</v>
      </c>
      <c r="R97" s="76">
        <f t="shared" ref="R97" si="530">Q97+7</f>
        <v>45540</v>
      </c>
      <c r="S97" s="77" t="s">
        <v>149</v>
      </c>
      <c r="T97" s="77">
        <f t="shared" ref="T97" si="531">R97+7</f>
        <v>45547</v>
      </c>
      <c r="U97" s="77">
        <f t="shared" ref="U97" si="532">T97+7</f>
        <v>45554</v>
      </c>
      <c r="V97" s="77">
        <f t="shared" ref="V97" si="533">U97+7</f>
        <v>45561</v>
      </c>
      <c r="W97" s="77" t="s">
        <v>149</v>
      </c>
      <c r="X97" s="77">
        <f t="shared" ref="X97" si="534">V97+7</f>
        <v>45568</v>
      </c>
      <c r="Y97" s="77">
        <f t="shared" ref="Y97" si="535">X97+7</f>
        <v>45575</v>
      </c>
      <c r="Z97" s="77">
        <f t="shared" ref="Z97" si="536">Y97+7</f>
        <v>45582</v>
      </c>
      <c r="AA97" s="77" t="s">
        <v>149</v>
      </c>
      <c r="AB97" s="77">
        <f t="shared" ref="AB97" si="537">Z97+7</f>
        <v>45589</v>
      </c>
      <c r="AC97" s="77">
        <f t="shared" ref="AC97" si="538">AB97+7</f>
        <v>45596</v>
      </c>
      <c r="AD97" s="77">
        <f t="shared" ref="AD97" si="539">AC97+7</f>
        <v>45603</v>
      </c>
      <c r="AE97" s="77" t="s">
        <v>149</v>
      </c>
      <c r="AF97" s="77">
        <f t="shared" ref="AF97" si="540">AD97+7</f>
        <v>45610</v>
      </c>
      <c r="AG97" s="77">
        <f t="shared" ref="AG97" si="541">AF97+7</f>
        <v>45617</v>
      </c>
      <c r="AH97" s="77">
        <f t="shared" ref="AH97" si="542">AG97+7</f>
        <v>45624</v>
      </c>
      <c r="AI97" s="77" t="s">
        <v>149</v>
      </c>
      <c r="AJ97" s="77">
        <f t="shared" ref="AJ97" si="543">AH97+7</f>
        <v>45631</v>
      </c>
      <c r="AK97" s="77">
        <f t="shared" ref="AK97" si="544">AJ97+7</f>
        <v>45638</v>
      </c>
      <c r="AL97" s="77">
        <f t="shared" ref="AL97" si="545">AK97+7</f>
        <v>45645</v>
      </c>
      <c r="AM97" s="77" t="s">
        <v>149</v>
      </c>
      <c r="AN97" s="77">
        <f t="shared" ref="AN97" si="546">AL97+7</f>
        <v>45652</v>
      </c>
      <c r="AO97" s="77">
        <f t="shared" ref="AO97" si="547">AN97+7</f>
        <v>45659</v>
      </c>
      <c r="AP97" s="77">
        <f t="shared" ref="AP97" si="548">AO97+7</f>
        <v>45666</v>
      </c>
      <c r="AQ97" s="77" t="s">
        <v>149</v>
      </c>
      <c r="AR97" s="77">
        <f t="shared" ref="AR97" si="549">AP97+7</f>
        <v>45673</v>
      </c>
      <c r="AS97" s="77">
        <f t="shared" ref="AS97" si="550">AR97+7</f>
        <v>45680</v>
      </c>
      <c r="AT97" s="77">
        <f t="shared" ref="AT97" si="551">AS97+7</f>
        <v>45687</v>
      </c>
      <c r="AU97" s="77">
        <f t="shared" ref="AU97" si="552">AT97+21</f>
        <v>45708</v>
      </c>
      <c r="AV97" s="77">
        <f t="shared" ref="AV97" si="553">AT97+7</f>
        <v>45694</v>
      </c>
      <c r="AW97" s="77">
        <f t="shared" ref="AW97" si="554">AV97+7</f>
        <v>45701</v>
      </c>
      <c r="AX97" s="77">
        <f t="shared" ref="AX97" si="555">AW97+7</f>
        <v>45708</v>
      </c>
      <c r="AY97" s="77">
        <f t="shared" ref="AY97" si="556">AX97+21</f>
        <v>45729</v>
      </c>
      <c r="AZ97" s="77">
        <f t="shared" ref="AZ97" si="557">AX97+7</f>
        <v>45715</v>
      </c>
      <c r="BA97" s="77">
        <f t="shared" ref="BA97" si="558">AZ97+7</f>
        <v>45722</v>
      </c>
      <c r="BB97" s="77">
        <f t="shared" ref="BB97" si="559">BA97+7</f>
        <v>45729</v>
      </c>
      <c r="BC97" s="77" t="s">
        <v>148</v>
      </c>
      <c r="BD97" s="77">
        <f>BB97+7</f>
        <v>45736</v>
      </c>
      <c r="BE97" s="77">
        <f>BD97+7</f>
        <v>45743</v>
      </c>
      <c r="BF97" s="77">
        <f>BE97+7</f>
        <v>45750</v>
      </c>
      <c r="BG97" s="77" t="s">
        <v>148</v>
      </c>
      <c r="BH97" s="77">
        <f>BF97+7</f>
        <v>45757</v>
      </c>
      <c r="BI97" s="77">
        <f>BH97+7</f>
        <v>45764</v>
      </c>
      <c r="BJ97" s="77">
        <f>BI97+7</f>
        <v>45771</v>
      </c>
      <c r="BK97" s="77" t="s">
        <v>148</v>
      </c>
      <c r="BL97" s="77">
        <f>BJ97+7</f>
        <v>45778</v>
      </c>
      <c r="BM97" s="77">
        <f>BL97+7</f>
        <v>45785</v>
      </c>
      <c r="BN97" s="77">
        <f>BM97+7</f>
        <v>45792</v>
      </c>
      <c r="BO97" s="77" t="s">
        <v>149</v>
      </c>
      <c r="BP97" s="77">
        <f>BN97+7</f>
        <v>45799</v>
      </c>
      <c r="BQ97" s="77">
        <f>BP97+7</f>
        <v>45806</v>
      </c>
      <c r="BR97" s="77">
        <f>BQ97+7</f>
        <v>45813</v>
      </c>
      <c r="BS97" s="77" t="s">
        <v>148</v>
      </c>
      <c r="BT97" s="77">
        <f>BR97+7</f>
        <v>45820</v>
      </c>
      <c r="BU97" s="77">
        <f>BT97+7</f>
        <v>45827</v>
      </c>
      <c r="BV97" s="77">
        <f>BU97+7</f>
        <v>45834</v>
      </c>
      <c r="BW97" s="77" t="s">
        <v>149</v>
      </c>
      <c r="BX97" s="77">
        <f>BV97+7</f>
        <v>45841</v>
      </c>
      <c r="BY97" s="77">
        <f>BX97+7</f>
        <v>45848</v>
      </c>
      <c r="BZ97" s="77">
        <f>BY97+7</f>
        <v>45855</v>
      </c>
      <c r="CA97" s="77" t="s">
        <v>149</v>
      </c>
      <c r="CB97" s="77"/>
      <c r="CC97" s="77"/>
      <c r="CD97" s="77"/>
      <c r="CE97" s="77"/>
      <c r="CF97" s="77"/>
      <c r="CG97" s="77"/>
      <c r="CH97" s="77"/>
      <c r="CI97" s="77"/>
      <c r="CJ97" s="77"/>
      <c r="CK97" s="77"/>
      <c r="CL97" s="77"/>
      <c r="CM97" s="77"/>
      <c r="CN97" s="77"/>
      <c r="CO97" s="77"/>
      <c r="CP97" s="77"/>
      <c r="CQ97" s="77"/>
      <c r="CR97" s="77"/>
      <c r="CS97" s="77"/>
      <c r="CT97" s="77"/>
      <c r="CU97" s="77"/>
      <c r="CV97" s="77"/>
      <c r="CW97" s="77"/>
      <c r="CX97" s="77"/>
      <c r="CY97" s="77"/>
      <c r="CZ97" s="77"/>
      <c r="DA97" s="77"/>
      <c r="DB97" s="77"/>
      <c r="DC97" s="77"/>
      <c r="DD97" s="77"/>
      <c r="DE97" s="77"/>
      <c r="DF97" s="77"/>
      <c r="DG97" s="77"/>
      <c r="DH97" s="77"/>
      <c r="DI97" s="77"/>
      <c r="DJ97" s="77"/>
      <c r="DK97" s="77"/>
      <c r="DL97" s="77"/>
      <c r="DM97" s="77"/>
      <c r="DN97" s="77"/>
      <c r="DO97" s="77"/>
      <c r="DP97" s="77"/>
      <c r="DQ97" s="77"/>
      <c r="DR97" s="77"/>
      <c r="DS97" s="77"/>
      <c r="DT97" s="17">
        <v>45610</v>
      </c>
      <c r="DU97" s="17"/>
      <c r="DV97" s="13"/>
      <c r="DW97" s="13"/>
      <c r="DX97" s="13"/>
      <c r="DY97" s="13"/>
      <c r="DZ97" s="13"/>
      <c r="EA97" s="13"/>
      <c r="EB97" s="13"/>
      <c r="EC97" s="13"/>
      <c r="ED97" s="24"/>
      <c r="EE97" s="24"/>
      <c r="EF97" s="339"/>
      <c r="EG97" s="338"/>
      <c r="EH97" s="338"/>
    </row>
    <row r="98" spans="2:139" ht="31.15">
      <c r="B98" s="357"/>
      <c r="C98" s="359"/>
      <c r="D98" s="361"/>
      <c r="E98" s="361"/>
      <c r="F98" s="361"/>
      <c r="G98" s="361"/>
      <c r="H98" s="330" t="s">
        <v>150</v>
      </c>
      <c r="I98" s="199">
        <v>45496</v>
      </c>
      <c r="J98" s="200"/>
      <c r="K98" s="201">
        <v>45505</v>
      </c>
      <c r="L98" s="274" t="s">
        <v>148</v>
      </c>
      <c r="M98" s="159">
        <v>45519</v>
      </c>
      <c r="N98" s="330" t="s">
        <v>285</v>
      </c>
      <c r="O98" s="330" t="s">
        <v>148</v>
      </c>
      <c r="P98" s="330">
        <v>45526</v>
      </c>
      <c r="Q98" s="330">
        <v>45533</v>
      </c>
      <c r="R98" s="324">
        <v>45540</v>
      </c>
      <c r="S98" s="330" t="s">
        <v>148</v>
      </c>
      <c r="T98" s="330">
        <v>45547</v>
      </c>
      <c r="U98" s="154">
        <v>45554</v>
      </c>
      <c r="V98" s="330">
        <v>45561</v>
      </c>
      <c r="W98" s="330" t="s">
        <v>148</v>
      </c>
      <c r="X98" s="160">
        <v>45568</v>
      </c>
      <c r="Y98" s="324">
        <v>45576</v>
      </c>
      <c r="Z98" s="330">
        <v>45582</v>
      </c>
      <c r="AA98" s="330" t="s">
        <v>148</v>
      </c>
      <c r="AB98" s="330">
        <v>45589</v>
      </c>
      <c r="AC98" s="330">
        <v>45596</v>
      </c>
      <c r="AD98" s="324">
        <v>45603</v>
      </c>
      <c r="AE98" s="330"/>
      <c r="AF98" s="330"/>
      <c r="AG98" s="330"/>
      <c r="AH98" s="161"/>
      <c r="AI98" s="330"/>
      <c r="AJ98" s="330"/>
      <c r="AK98" s="330"/>
      <c r="AL98" s="161"/>
      <c r="AM98" s="330"/>
      <c r="AN98" s="330"/>
      <c r="AO98" s="330"/>
      <c r="AP98" s="161"/>
      <c r="AQ98" s="330"/>
      <c r="AR98" s="330"/>
      <c r="AS98" s="330"/>
      <c r="AT98" s="161"/>
      <c r="AU98" s="330"/>
      <c r="AV98" s="330"/>
      <c r="AW98" s="330"/>
      <c r="AX98" s="161"/>
      <c r="AY98" s="330"/>
      <c r="AZ98" s="330"/>
      <c r="BA98" s="330"/>
      <c r="BB98" s="161"/>
      <c r="BC98" s="330"/>
      <c r="BD98" s="330"/>
      <c r="BE98" s="330"/>
      <c r="BF98" s="330"/>
      <c r="BG98" s="330"/>
      <c r="BH98" s="330"/>
      <c r="BI98" s="330"/>
      <c r="BJ98" s="330"/>
      <c r="BK98" s="330"/>
      <c r="BL98" s="330"/>
      <c r="BM98" s="330"/>
      <c r="BN98" s="330"/>
      <c r="BO98" s="330"/>
      <c r="BP98" s="330"/>
      <c r="BQ98" s="330"/>
      <c r="BR98" s="330"/>
      <c r="BS98" s="330"/>
      <c r="BT98" s="330"/>
      <c r="BU98" s="330"/>
      <c r="BV98" s="330"/>
      <c r="BW98" s="330"/>
      <c r="BX98" s="330"/>
      <c r="BY98" s="330"/>
      <c r="BZ98" s="330"/>
      <c r="CA98" s="330"/>
      <c r="CB98" s="330"/>
      <c r="CC98" s="330"/>
      <c r="CD98" s="330"/>
      <c r="CE98" s="330"/>
      <c r="CF98" s="330"/>
      <c r="CG98" s="330"/>
      <c r="CH98" s="330"/>
      <c r="CI98" s="330"/>
      <c r="CJ98" s="330"/>
      <c r="CK98" s="330"/>
      <c r="CL98" s="330"/>
      <c r="CM98" s="330"/>
      <c r="CN98" s="330"/>
      <c r="CO98" s="330"/>
      <c r="CP98" s="330"/>
      <c r="CQ98" s="330"/>
      <c r="CR98" s="330"/>
      <c r="CS98" s="330"/>
      <c r="CT98" s="330"/>
      <c r="CU98" s="330"/>
      <c r="CV98" s="330"/>
      <c r="CW98" s="330"/>
      <c r="CX98" s="330"/>
      <c r="CY98" s="330"/>
      <c r="CZ98" s="330"/>
      <c r="DA98" s="330"/>
      <c r="DB98" s="330"/>
      <c r="DC98" s="330"/>
      <c r="DD98" s="330"/>
      <c r="DE98" s="330"/>
      <c r="DF98" s="330"/>
      <c r="DG98" s="330"/>
      <c r="DH98" s="330"/>
      <c r="DI98" s="330"/>
      <c r="DJ98" s="330"/>
      <c r="DK98" s="330"/>
      <c r="DL98" s="330"/>
      <c r="DM98" s="330"/>
      <c r="DN98" s="330"/>
      <c r="DO98" s="330"/>
      <c r="DP98" s="330"/>
      <c r="DQ98" s="330"/>
      <c r="DR98" s="330"/>
      <c r="DS98" s="330"/>
      <c r="DT98" s="321">
        <v>45610</v>
      </c>
      <c r="DU98" s="258" t="s">
        <v>183</v>
      </c>
      <c r="DV98" s="258" t="s">
        <v>183</v>
      </c>
      <c r="DW98" s="321"/>
      <c r="DX98" s="321"/>
      <c r="DY98" s="321"/>
      <c r="DZ98" s="321"/>
      <c r="EA98" s="321"/>
      <c r="EB98" s="321"/>
      <c r="EC98" s="321"/>
      <c r="ED98" s="25"/>
      <c r="EE98" s="25"/>
      <c r="EF98" s="339"/>
      <c r="EG98" s="338"/>
      <c r="EH98" s="338"/>
    </row>
    <row r="99" spans="2:139" s="119" customFormat="1" ht="31.15">
      <c r="B99" s="352" t="s">
        <v>286</v>
      </c>
      <c r="C99" s="340" t="s">
        <v>287</v>
      </c>
      <c r="D99" s="342" t="s">
        <v>274</v>
      </c>
      <c r="E99" s="340" t="s">
        <v>288</v>
      </c>
      <c r="F99" s="340" t="s">
        <v>210</v>
      </c>
      <c r="G99" s="340" t="s">
        <v>146</v>
      </c>
      <c r="H99" s="40" t="s">
        <v>147</v>
      </c>
      <c r="I99" s="31">
        <v>45531</v>
      </c>
      <c r="J99" s="94"/>
      <c r="K99" s="31">
        <v>45551</v>
      </c>
      <c r="L99" s="276" t="s">
        <v>148</v>
      </c>
      <c r="M99" s="94">
        <v>45558</v>
      </c>
      <c r="N99" s="94">
        <f>M99+7</f>
        <v>45565</v>
      </c>
      <c r="O99" s="94" t="s">
        <v>148</v>
      </c>
      <c r="P99" s="94"/>
      <c r="Q99" s="94"/>
      <c r="R99" s="94"/>
      <c r="S99" s="141"/>
      <c r="T99" s="141"/>
      <c r="U99" s="141"/>
      <c r="V99" s="141"/>
      <c r="W99" s="141"/>
      <c r="X99" s="141"/>
      <c r="Y99" s="141"/>
      <c r="Z99" s="141"/>
      <c r="AA99" s="141"/>
      <c r="AB99" s="141"/>
      <c r="AC99" s="141"/>
      <c r="AD99" s="141"/>
      <c r="AE99" s="141"/>
      <c r="AF99" s="141"/>
      <c r="AG99" s="141"/>
      <c r="AH99" s="141"/>
      <c r="AI99" s="141"/>
      <c r="AJ99" s="141"/>
      <c r="AK99" s="141"/>
      <c r="AL99" s="141"/>
      <c r="AM99" s="141"/>
      <c r="AN99" s="141"/>
      <c r="AO99" s="141"/>
      <c r="AP99" s="141"/>
      <c r="AQ99" s="141"/>
      <c r="AR99" s="141"/>
      <c r="AS99" s="141"/>
      <c r="AT99" s="141"/>
      <c r="AU99" s="141"/>
      <c r="AV99" s="141"/>
      <c r="AW99" s="141"/>
      <c r="AX99" s="141"/>
      <c r="AY99" s="141"/>
      <c r="AZ99" s="141"/>
      <c r="BA99" s="141"/>
      <c r="BB99" s="141"/>
      <c r="BC99" s="141"/>
      <c r="BD99" s="141"/>
      <c r="BE99" s="141"/>
      <c r="BF99" s="141"/>
      <c r="BG99" s="141"/>
      <c r="BH99" s="141"/>
      <c r="BI99" s="141"/>
      <c r="BJ99" s="141"/>
      <c r="BK99" s="141"/>
      <c r="BL99" s="141"/>
      <c r="BM99" s="141"/>
      <c r="BN99" s="141"/>
      <c r="BO99" s="141"/>
      <c r="BP99" s="141"/>
      <c r="BQ99" s="141"/>
      <c r="BR99" s="141"/>
      <c r="BS99" s="141"/>
      <c r="BT99" s="141"/>
      <c r="BU99" s="141"/>
      <c r="BV99" s="141"/>
      <c r="BW99" s="141"/>
      <c r="BX99" s="141"/>
      <c r="BY99" s="141"/>
      <c r="BZ99" s="141"/>
      <c r="CA99" s="141"/>
      <c r="CB99" s="141"/>
      <c r="CC99" s="141"/>
      <c r="CD99" s="141"/>
      <c r="CE99" s="141"/>
      <c r="CF99" s="141"/>
      <c r="CG99" s="141"/>
      <c r="CH99" s="141"/>
      <c r="CI99" s="141"/>
      <c r="CJ99" s="141"/>
      <c r="CK99" s="141"/>
      <c r="CL99" s="141"/>
      <c r="CM99" s="141"/>
      <c r="CN99" s="141"/>
      <c r="CO99" s="141"/>
      <c r="CP99" s="141"/>
      <c r="CQ99" s="141"/>
      <c r="CR99" s="141"/>
      <c r="CS99" s="141"/>
      <c r="CT99" s="141"/>
      <c r="CU99" s="141"/>
      <c r="CV99" s="141"/>
      <c r="CW99" s="141"/>
      <c r="CX99" s="141"/>
      <c r="CY99" s="141"/>
      <c r="CZ99" s="141"/>
      <c r="DA99" s="141"/>
      <c r="DB99" s="141"/>
      <c r="DC99" s="141"/>
      <c r="DD99" s="141"/>
      <c r="DE99" s="141"/>
      <c r="DF99" s="141"/>
      <c r="DG99" s="141"/>
      <c r="DH99" s="141"/>
      <c r="DI99" s="141"/>
      <c r="DJ99" s="141"/>
      <c r="DK99" s="141"/>
      <c r="DL99" s="141"/>
      <c r="DM99" s="141"/>
      <c r="DN99" s="141"/>
      <c r="DO99" s="141"/>
      <c r="DP99" s="141"/>
      <c r="DQ99" s="141"/>
      <c r="DR99" s="141"/>
      <c r="DS99" s="141"/>
      <c r="DT99" s="141"/>
      <c r="DU99" s="141"/>
      <c r="DV99" s="40"/>
      <c r="DW99" s="40"/>
      <c r="DX99" s="40"/>
      <c r="DY99" s="40"/>
      <c r="DZ99" s="40"/>
      <c r="EA99" s="40"/>
      <c r="EB99" s="40"/>
      <c r="EC99" s="40"/>
      <c r="ED99" s="267"/>
      <c r="EE99" s="35"/>
      <c r="EF99" s="344"/>
      <c r="EG99" s="345"/>
      <c r="EH99" s="344"/>
    </row>
    <row r="100" spans="2:139" s="119" customFormat="1" ht="31.15">
      <c r="B100" s="353"/>
      <c r="C100" s="341"/>
      <c r="D100" s="343"/>
      <c r="E100" s="341"/>
      <c r="F100" s="341"/>
      <c r="G100" s="341"/>
      <c r="H100" s="325" t="s">
        <v>150</v>
      </c>
      <c r="I100" s="112">
        <v>45531</v>
      </c>
      <c r="J100" s="325"/>
      <c r="K100" s="112">
        <v>45551</v>
      </c>
      <c r="L100" s="277" t="s">
        <v>148</v>
      </c>
      <c r="M100" s="195">
        <v>45558</v>
      </c>
      <c r="N100" s="254">
        <v>45565</v>
      </c>
      <c r="O100" s="325" t="s">
        <v>148</v>
      </c>
      <c r="P100" s="112">
        <v>45579</v>
      </c>
      <c r="Q100" s="195">
        <v>45586</v>
      </c>
      <c r="R100" s="254">
        <v>45593</v>
      </c>
      <c r="S100" s="325" t="s">
        <v>148</v>
      </c>
      <c r="T100" s="112">
        <v>45600</v>
      </c>
      <c r="U100" s="112">
        <v>45607</v>
      </c>
      <c r="V100" s="112">
        <v>45614</v>
      </c>
      <c r="W100" s="46" t="s">
        <v>148</v>
      </c>
      <c r="X100" s="112"/>
      <c r="Y100" s="112"/>
      <c r="Z100" s="112"/>
      <c r="AA100" s="142"/>
      <c r="AB100" s="112"/>
      <c r="AC100" s="112"/>
      <c r="AD100" s="112"/>
      <c r="AE100" s="333"/>
      <c r="AF100" s="333"/>
      <c r="AG100" s="333"/>
      <c r="AH100" s="333"/>
      <c r="AI100" s="333"/>
      <c r="AJ100" s="333"/>
      <c r="AK100" s="333"/>
      <c r="AL100" s="333"/>
      <c r="AM100" s="333"/>
      <c r="AN100" s="333"/>
      <c r="AO100" s="333"/>
      <c r="AP100" s="333"/>
      <c r="AQ100" s="329"/>
      <c r="AR100" s="333"/>
      <c r="AS100" s="333"/>
      <c r="AT100" s="333"/>
      <c r="AU100" s="333"/>
      <c r="AV100" s="333"/>
      <c r="AW100" s="333"/>
      <c r="AX100" s="333"/>
      <c r="AY100" s="333"/>
      <c r="AZ100" s="143"/>
      <c r="BA100" s="143"/>
      <c r="BB100" s="143"/>
      <c r="BC100" s="333"/>
      <c r="BD100" s="333"/>
      <c r="BE100" s="333"/>
      <c r="BF100" s="333"/>
      <c r="BG100" s="333"/>
      <c r="BH100" s="333"/>
      <c r="BI100" s="333"/>
      <c r="BJ100" s="333"/>
      <c r="BK100" s="333"/>
      <c r="BL100" s="333"/>
      <c r="BM100" s="333"/>
      <c r="BN100" s="333"/>
      <c r="BO100" s="333"/>
      <c r="BP100" s="333"/>
      <c r="BQ100" s="333"/>
      <c r="BR100" s="333"/>
      <c r="BS100" s="333"/>
      <c r="BT100" s="333"/>
      <c r="BU100" s="333"/>
      <c r="BV100" s="333"/>
      <c r="BW100" s="333"/>
      <c r="BX100" s="333"/>
      <c r="BY100" s="333"/>
      <c r="BZ100" s="333"/>
      <c r="CA100" s="333"/>
      <c r="CB100" s="333"/>
      <c r="CC100" s="333"/>
      <c r="CD100" s="333"/>
      <c r="CE100" s="333"/>
      <c r="CF100" s="333"/>
      <c r="CG100" s="333"/>
      <c r="CH100" s="333"/>
      <c r="CI100" s="333"/>
      <c r="CJ100" s="333"/>
      <c r="CK100" s="333"/>
      <c r="CL100" s="333"/>
      <c r="CM100" s="333"/>
      <c r="CN100" s="333"/>
      <c r="CO100" s="333"/>
      <c r="CP100" s="333"/>
      <c r="CQ100" s="333"/>
      <c r="CR100" s="333"/>
      <c r="CS100" s="333"/>
      <c r="CT100" s="333"/>
      <c r="CU100" s="333"/>
      <c r="CV100" s="333"/>
      <c r="CW100" s="333"/>
      <c r="CX100" s="333"/>
      <c r="CY100" s="333"/>
      <c r="CZ100" s="333"/>
      <c r="DA100" s="333"/>
      <c r="DB100" s="333"/>
      <c r="DC100" s="333"/>
      <c r="DD100" s="333"/>
      <c r="DE100" s="333"/>
      <c r="DF100" s="333"/>
      <c r="DG100" s="333"/>
      <c r="DH100" s="333"/>
      <c r="DI100" s="333"/>
      <c r="DJ100" s="333"/>
      <c r="DK100" s="333"/>
      <c r="DL100" s="333"/>
      <c r="DM100" s="333"/>
      <c r="DN100" s="333"/>
      <c r="DO100" s="333"/>
      <c r="DP100" s="333"/>
      <c r="DQ100" s="333"/>
      <c r="DR100" s="333"/>
      <c r="DS100" s="333"/>
      <c r="DT100" s="333" t="s">
        <v>181</v>
      </c>
      <c r="DU100" s="334">
        <v>45618</v>
      </c>
      <c r="DV100" s="46">
        <v>45692</v>
      </c>
      <c r="DW100" s="46">
        <v>45765</v>
      </c>
      <c r="DX100" s="46"/>
      <c r="DY100" s="46"/>
      <c r="DZ100" s="46"/>
      <c r="EA100" s="46"/>
      <c r="EB100" s="46"/>
      <c r="EC100" s="46"/>
      <c r="ED100" s="142"/>
      <c r="EE100" s="142"/>
      <c r="EF100" s="344"/>
      <c r="EG100" s="345"/>
      <c r="EH100" s="345"/>
    </row>
    <row r="101" spans="2:139" ht="31.15">
      <c r="B101" s="352" t="s">
        <v>261</v>
      </c>
      <c r="C101" s="340" t="s">
        <v>289</v>
      </c>
      <c r="D101" s="342" t="s">
        <v>270</v>
      </c>
      <c r="E101" s="342" t="s">
        <v>290</v>
      </c>
      <c r="F101" s="342" t="s">
        <v>229</v>
      </c>
      <c r="G101" s="342" t="s">
        <v>146</v>
      </c>
      <c r="H101" s="32" t="s">
        <v>147</v>
      </c>
      <c r="I101" s="93">
        <v>45490</v>
      </c>
      <c r="J101" s="94"/>
      <c r="K101" s="95"/>
      <c r="L101" s="276" t="s">
        <v>148</v>
      </c>
      <c r="M101" s="96"/>
      <c r="N101" s="33"/>
      <c r="O101" s="33"/>
      <c r="P101" s="33"/>
      <c r="Q101" s="33"/>
      <c r="R101" s="33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A101" s="34"/>
      <c r="DB101" s="34"/>
      <c r="DC101" s="34"/>
      <c r="DD101" s="34"/>
      <c r="DE101" s="34"/>
      <c r="DF101" s="34"/>
      <c r="DG101" s="34"/>
      <c r="DH101" s="34"/>
      <c r="DI101" s="34"/>
      <c r="DJ101" s="34"/>
      <c r="DK101" s="34"/>
      <c r="DL101" s="34"/>
      <c r="DM101" s="34"/>
      <c r="DN101" s="34"/>
      <c r="DO101" s="34"/>
      <c r="DP101" s="34"/>
      <c r="DQ101" s="34"/>
      <c r="DR101" s="34"/>
      <c r="DS101" s="34"/>
      <c r="DT101" s="34"/>
      <c r="DU101" s="34"/>
      <c r="DV101" s="32"/>
      <c r="DW101" s="32"/>
      <c r="DX101" s="32"/>
      <c r="DY101" s="32"/>
      <c r="DZ101" s="32"/>
      <c r="EA101" s="32"/>
      <c r="EB101" s="32"/>
      <c r="EC101" s="32"/>
      <c r="ED101" s="123"/>
      <c r="EE101" s="123"/>
      <c r="EF101" s="344"/>
      <c r="EG101" s="345"/>
      <c r="EH101" s="345"/>
    </row>
    <row r="102" spans="2:139" ht="31.15">
      <c r="B102" s="379"/>
      <c r="C102" s="341"/>
      <c r="D102" s="343"/>
      <c r="E102" s="343"/>
      <c r="F102" s="343"/>
      <c r="G102" s="343"/>
      <c r="H102" s="327" t="s">
        <v>150</v>
      </c>
      <c r="I102" s="97">
        <v>45490</v>
      </c>
      <c r="J102" s="193"/>
      <c r="K102" s="98"/>
      <c r="L102" s="277" t="s">
        <v>148</v>
      </c>
      <c r="M102" s="83"/>
      <c r="N102" s="327"/>
      <c r="O102" s="327"/>
      <c r="P102" s="327"/>
      <c r="Q102" s="327"/>
      <c r="R102" s="325"/>
      <c r="S102" s="327"/>
      <c r="T102" s="327"/>
      <c r="U102" s="331"/>
      <c r="V102" s="327"/>
      <c r="W102" s="327"/>
      <c r="X102" s="65"/>
      <c r="Y102" s="325"/>
      <c r="Z102" s="327"/>
      <c r="AA102" s="327"/>
      <c r="AB102" s="327"/>
      <c r="AC102" s="327"/>
      <c r="AD102" s="325"/>
      <c r="AE102" s="327"/>
      <c r="AF102" s="327"/>
      <c r="AG102" s="327"/>
      <c r="AH102" s="58"/>
      <c r="AI102" s="327"/>
      <c r="AJ102" s="327"/>
      <c r="AK102" s="327"/>
      <c r="AL102" s="58"/>
      <c r="AM102" s="327"/>
      <c r="AN102" s="327"/>
      <c r="AO102" s="327"/>
      <c r="AP102" s="58"/>
      <c r="AQ102" s="327"/>
      <c r="AR102" s="327"/>
      <c r="AS102" s="327"/>
      <c r="AT102" s="58"/>
      <c r="AU102" s="327"/>
      <c r="AV102" s="327"/>
      <c r="AW102" s="327"/>
      <c r="AX102" s="58"/>
      <c r="AY102" s="327"/>
      <c r="AZ102" s="327"/>
      <c r="BA102" s="327"/>
      <c r="BB102" s="58"/>
      <c r="BC102" s="327"/>
      <c r="BD102" s="327"/>
      <c r="BE102" s="327"/>
      <c r="BF102" s="327"/>
      <c r="BG102" s="327"/>
      <c r="BH102" s="327"/>
      <c r="BI102" s="327"/>
      <c r="BJ102" s="327"/>
      <c r="BK102" s="327"/>
      <c r="BL102" s="327"/>
      <c r="BM102" s="327"/>
      <c r="BN102" s="327"/>
      <c r="BO102" s="327"/>
      <c r="BP102" s="327"/>
      <c r="BQ102" s="327"/>
      <c r="BR102" s="327"/>
      <c r="BS102" s="327"/>
      <c r="BT102" s="327"/>
      <c r="BU102" s="327"/>
      <c r="BV102" s="327"/>
      <c r="BW102" s="327"/>
      <c r="BX102" s="327"/>
      <c r="BY102" s="327"/>
      <c r="BZ102" s="327"/>
      <c r="CA102" s="327"/>
      <c r="CB102" s="327"/>
      <c r="CC102" s="327"/>
      <c r="CD102" s="327"/>
      <c r="CE102" s="327"/>
      <c r="CF102" s="327"/>
      <c r="CG102" s="327"/>
      <c r="CH102" s="327"/>
      <c r="CI102" s="327"/>
      <c r="CJ102" s="327"/>
      <c r="CK102" s="327"/>
      <c r="CL102" s="327"/>
      <c r="CM102" s="327"/>
      <c r="CN102" s="327"/>
      <c r="CO102" s="327"/>
      <c r="CP102" s="327"/>
      <c r="CQ102" s="327"/>
      <c r="CR102" s="327"/>
      <c r="CS102" s="327"/>
      <c r="CT102" s="327"/>
      <c r="CU102" s="327"/>
      <c r="CV102" s="327"/>
      <c r="CW102" s="327"/>
      <c r="CX102" s="327"/>
      <c r="CY102" s="327"/>
      <c r="CZ102" s="327"/>
      <c r="DA102" s="327"/>
      <c r="DB102" s="327"/>
      <c r="DC102" s="327"/>
      <c r="DD102" s="327"/>
      <c r="DE102" s="327"/>
      <c r="DF102" s="327"/>
      <c r="DG102" s="327"/>
      <c r="DH102" s="327"/>
      <c r="DI102" s="327"/>
      <c r="DJ102" s="327"/>
      <c r="DK102" s="327"/>
      <c r="DL102" s="327"/>
      <c r="DM102" s="327"/>
      <c r="DN102" s="327"/>
      <c r="DO102" s="327"/>
      <c r="DP102" s="327"/>
      <c r="DQ102" s="327"/>
      <c r="DR102" s="327"/>
      <c r="DS102" s="327"/>
      <c r="DT102" s="327"/>
      <c r="DU102" s="52"/>
      <c r="DV102" s="327"/>
      <c r="DW102" s="327"/>
      <c r="DX102" s="327"/>
      <c r="DY102" s="327"/>
      <c r="DZ102" s="327"/>
      <c r="EA102" s="327"/>
      <c r="EB102" s="327"/>
      <c r="EC102" s="327"/>
      <c r="ED102" s="124"/>
      <c r="EE102" s="124"/>
      <c r="EF102" s="344"/>
      <c r="EG102" s="345"/>
      <c r="EH102" s="345"/>
    </row>
    <row r="103" spans="2:139" ht="31.15">
      <c r="B103" s="352" t="s">
        <v>257</v>
      </c>
      <c r="C103" s="340" t="s">
        <v>291</v>
      </c>
      <c r="D103" s="342" t="s">
        <v>270</v>
      </c>
      <c r="E103" s="340" t="s">
        <v>290</v>
      </c>
      <c r="F103" s="340" t="s">
        <v>292</v>
      </c>
      <c r="G103" s="340" t="s">
        <v>146</v>
      </c>
      <c r="H103" s="40" t="s">
        <v>147</v>
      </c>
      <c r="I103" s="31">
        <v>45544</v>
      </c>
      <c r="J103" s="94"/>
      <c r="K103" s="31"/>
      <c r="L103" s="276" t="s">
        <v>148</v>
      </c>
      <c r="M103" s="94">
        <f t="shared" ref="M103" si="560">K103+7</f>
        <v>7</v>
      </c>
      <c r="N103" s="94">
        <f t="shared" ref="N103" si="561">M103+7</f>
        <v>14</v>
      </c>
      <c r="O103" s="94" t="s">
        <v>149</v>
      </c>
      <c r="P103" s="94">
        <f t="shared" ref="P103" si="562">N103+7</f>
        <v>21</v>
      </c>
      <c r="Q103" s="94">
        <f t="shared" ref="Q103" si="563">P103+7</f>
        <v>28</v>
      </c>
      <c r="R103" s="94">
        <f t="shared" ref="R103" si="564">Q103+7</f>
        <v>35</v>
      </c>
      <c r="S103" s="141" t="s">
        <v>149</v>
      </c>
      <c r="T103" s="141">
        <f t="shared" ref="T103" si="565">R103+7</f>
        <v>42</v>
      </c>
      <c r="U103" s="141">
        <f t="shared" ref="U103" si="566">T103+7</f>
        <v>49</v>
      </c>
      <c r="V103" s="141">
        <f t="shared" ref="V103" si="567">U103+7</f>
        <v>56</v>
      </c>
      <c r="W103" s="141" t="s">
        <v>149</v>
      </c>
      <c r="X103" s="141">
        <f t="shared" ref="X103" si="568">V103+7</f>
        <v>63</v>
      </c>
      <c r="Y103" s="141">
        <f t="shared" ref="Y103" si="569">X103+7</f>
        <v>70</v>
      </c>
      <c r="Z103" s="141">
        <f t="shared" ref="Z103" si="570">Y103+7</f>
        <v>77</v>
      </c>
      <c r="AA103" s="141" t="s">
        <v>149</v>
      </c>
      <c r="AB103" s="141">
        <f t="shared" ref="AB103" si="571">Z103+7</f>
        <v>84</v>
      </c>
      <c r="AC103" s="141">
        <f t="shared" ref="AC103" si="572">AB103+7</f>
        <v>91</v>
      </c>
      <c r="AD103" s="141">
        <f t="shared" ref="AD103" si="573">AC103+7</f>
        <v>98</v>
      </c>
      <c r="AE103" s="141" t="s">
        <v>149</v>
      </c>
      <c r="AF103" s="141">
        <f t="shared" ref="AF103" si="574">AD103+7</f>
        <v>105</v>
      </c>
      <c r="AG103" s="141">
        <f t="shared" ref="AG103" si="575">AF103+7</f>
        <v>112</v>
      </c>
      <c r="AH103" s="141">
        <f t="shared" ref="AH103" si="576">AG103+7</f>
        <v>119</v>
      </c>
      <c r="AI103" s="141" t="s">
        <v>149</v>
      </c>
      <c r="AJ103" s="141">
        <f t="shared" ref="AJ103" si="577">AH103+7</f>
        <v>126</v>
      </c>
      <c r="AK103" s="141">
        <f t="shared" ref="AK103" si="578">AJ103+7</f>
        <v>133</v>
      </c>
      <c r="AL103" s="141">
        <f t="shared" ref="AL103" si="579">AK103+7</f>
        <v>140</v>
      </c>
      <c r="AM103" s="141" t="s">
        <v>149</v>
      </c>
      <c r="AN103" s="141">
        <f t="shared" ref="AN103" si="580">AL103+7</f>
        <v>147</v>
      </c>
      <c r="AO103" s="141">
        <f t="shared" ref="AO103" si="581">AN103+7</f>
        <v>154</v>
      </c>
      <c r="AP103" s="141">
        <f t="shared" ref="AP103" si="582">AO103+7</f>
        <v>161</v>
      </c>
      <c r="AQ103" s="141" t="s">
        <v>149</v>
      </c>
      <c r="AR103" s="141">
        <f t="shared" ref="AR103" si="583">AP103+7</f>
        <v>168</v>
      </c>
      <c r="AS103" s="141">
        <f t="shared" ref="AS103" si="584">AR103+7</f>
        <v>175</v>
      </c>
      <c r="AT103" s="141">
        <f t="shared" ref="AT103" si="585">AS103+7</f>
        <v>182</v>
      </c>
      <c r="AU103" s="141" t="s">
        <v>149</v>
      </c>
      <c r="AV103" s="141">
        <f t="shared" ref="AV103" si="586">AT103+7</f>
        <v>189</v>
      </c>
      <c r="AW103" s="141">
        <f t="shared" ref="AW103" si="587">AV103+7</f>
        <v>196</v>
      </c>
      <c r="AX103" s="141">
        <f t="shared" ref="AX103" si="588">AW103+7</f>
        <v>203</v>
      </c>
      <c r="AY103" s="141" t="s">
        <v>149</v>
      </c>
      <c r="AZ103" s="141">
        <f t="shared" ref="AZ103" si="589">AX103+7</f>
        <v>210</v>
      </c>
      <c r="BA103" s="141">
        <f t="shared" ref="BA103" si="590">AZ103+7</f>
        <v>217</v>
      </c>
      <c r="BB103" s="141">
        <f t="shared" ref="BB103" si="591">BA103+7</f>
        <v>224</v>
      </c>
      <c r="BC103" s="141" t="s">
        <v>149</v>
      </c>
      <c r="BD103" s="141">
        <f t="shared" ref="BD103" si="592">BB103+7</f>
        <v>231</v>
      </c>
      <c r="BE103" s="141">
        <f t="shared" ref="BE103" si="593">BD103+7</f>
        <v>238</v>
      </c>
      <c r="BF103" s="141">
        <f t="shared" ref="BF103" si="594">BE103+7</f>
        <v>245</v>
      </c>
      <c r="BG103" s="141" t="s">
        <v>148</v>
      </c>
      <c r="BH103" s="141">
        <f t="shared" ref="BH103" si="595">BF103+7</f>
        <v>252</v>
      </c>
      <c r="BI103" s="141">
        <f t="shared" ref="BI103" si="596">BH103+7</f>
        <v>259</v>
      </c>
      <c r="BJ103" s="141">
        <f t="shared" ref="BJ103" si="597">BI103+7</f>
        <v>266</v>
      </c>
      <c r="BK103" s="141" t="s">
        <v>148</v>
      </c>
      <c r="BL103" s="141">
        <f t="shared" ref="BL103" si="598">BJ103+7</f>
        <v>273</v>
      </c>
      <c r="BM103" s="141">
        <f t="shared" ref="BM103" si="599">BL103+7</f>
        <v>280</v>
      </c>
      <c r="BN103" s="141">
        <f t="shared" ref="BN103" si="600">BM103+7</f>
        <v>287</v>
      </c>
      <c r="BO103" s="141" t="s">
        <v>149</v>
      </c>
      <c r="BP103" s="141">
        <f t="shared" ref="BP103" si="601">BN103+7</f>
        <v>294</v>
      </c>
      <c r="BQ103" s="141">
        <f t="shared" ref="BQ103" si="602">BP103+7</f>
        <v>301</v>
      </c>
      <c r="BR103" s="141">
        <f t="shared" ref="BR103" si="603">BQ103+7</f>
        <v>308</v>
      </c>
      <c r="BS103" s="141" t="s">
        <v>148</v>
      </c>
      <c r="BT103" s="141">
        <f t="shared" ref="BT103" si="604">BR103+7</f>
        <v>315</v>
      </c>
      <c r="BU103" s="141">
        <f t="shared" ref="BU103" si="605">BT103+7</f>
        <v>322</v>
      </c>
      <c r="BV103" s="141">
        <f t="shared" ref="BV103" si="606">BU103+7</f>
        <v>329</v>
      </c>
      <c r="BW103" s="141" t="s">
        <v>149</v>
      </c>
      <c r="BX103" s="141">
        <f t="shared" ref="BX103" si="607">BV103+7</f>
        <v>336</v>
      </c>
      <c r="BY103" s="141">
        <f t="shared" ref="BY103" si="608">BX103+7</f>
        <v>343</v>
      </c>
      <c r="BZ103" s="141">
        <f t="shared" ref="BZ103" si="609">BY103+7</f>
        <v>350</v>
      </c>
      <c r="CA103" s="141" t="s">
        <v>149</v>
      </c>
      <c r="CB103" s="141"/>
      <c r="CC103" s="141"/>
      <c r="CD103" s="141"/>
      <c r="CE103" s="141"/>
      <c r="CF103" s="141"/>
      <c r="CG103" s="141"/>
      <c r="CH103" s="141"/>
      <c r="CI103" s="141"/>
      <c r="CJ103" s="141"/>
      <c r="CK103" s="141"/>
      <c r="CL103" s="141"/>
      <c r="CM103" s="141"/>
      <c r="CN103" s="141"/>
      <c r="CO103" s="141"/>
      <c r="CP103" s="141"/>
      <c r="CQ103" s="141"/>
      <c r="CR103" s="141"/>
      <c r="CS103" s="141"/>
      <c r="CT103" s="141"/>
      <c r="CU103" s="141"/>
      <c r="CV103" s="141"/>
      <c r="CW103" s="141"/>
      <c r="CX103" s="141"/>
      <c r="CY103" s="141"/>
      <c r="CZ103" s="141"/>
      <c r="DA103" s="141"/>
      <c r="DB103" s="141"/>
      <c r="DC103" s="141"/>
      <c r="DD103" s="141"/>
      <c r="DE103" s="141"/>
      <c r="DF103" s="141"/>
      <c r="DG103" s="141"/>
      <c r="DH103" s="141"/>
      <c r="DI103" s="141"/>
      <c r="DJ103" s="141"/>
      <c r="DK103" s="141"/>
      <c r="DL103" s="141"/>
      <c r="DM103" s="141"/>
      <c r="DN103" s="141"/>
      <c r="DO103" s="141"/>
      <c r="DP103" s="141"/>
      <c r="DQ103" s="141"/>
      <c r="DR103" s="141"/>
      <c r="DS103" s="141"/>
      <c r="DT103" s="141"/>
      <c r="DU103" s="141"/>
      <c r="DV103" s="40"/>
      <c r="DW103" s="40"/>
      <c r="DX103" s="40"/>
      <c r="DY103" s="40"/>
      <c r="DZ103" s="40"/>
      <c r="EA103" s="40"/>
      <c r="EB103" s="40"/>
      <c r="EC103" s="40"/>
      <c r="ED103" s="267"/>
      <c r="EE103" s="35"/>
      <c r="EF103" s="344"/>
      <c r="EG103" s="345"/>
      <c r="EH103" s="344"/>
      <c r="EI103" s="1"/>
    </row>
    <row r="104" spans="2:139" ht="31.15">
      <c r="B104" s="353"/>
      <c r="C104" s="341"/>
      <c r="D104" s="343"/>
      <c r="E104" s="341"/>
      <c r="F104" s="341"/>
      <c r="G104" s="341"/>
      <c r="H104" s="325" t="s">
        <v>150</v>
      </c>
      <c r="I104" s="112">
        <v>45544</v>
      </c>
      <c r="J104" s="325"/>
      <c r="K104" s="112"/>
      <c r="L104" s="277" t="s">
        <v>148</v>
      </c>
      <c r="M104" s="195"/>
      <c r="N104" s="112"/>
      <c r="O104" s="325"/>
      <c r="P104" s="112"/>
      <c r="Q104" s="112"/>
      <c r="R104" s="112"/>
      <c r="S104" s="325"/>
      <c r="T104" s="112"/>
      <c r="U104" s="112"/>
      <c r="V104" s="112"/>
      <c r="W104" s="46"/>
      <c r="X104" s="112"/>
      <c r="Y104" s="112"/>
      <c r="Z104" s="112"/>
      <c r="AA104" s="142"/>
      <c r="AB104" s="112"/>
      <c r="AC104" s="112"/>
      <c r="AD104" s="112"/>
      <c r="AE104" s="333"/>
      <c r="AF104" s="333"/>
      <c r="AG104" s="333"/>
      <c r="AH104" s="333"/>
      <c r="AI104" s="333"/>
      <c r="AJ104" s="333"/>
      <c r="AK104" s="333"/>
      <c r="AL104" s="333"/>
      <c r="AM104" s="333"/>
      <c r="AN104" s="333"/>
      <c r="AO104" s="333"/>
      <c r="AP104" s="333"/>
      <c r="AQ104" s="329"/>
      <c r="AR104" s="333"/>
      <c r="AS104" s="333"/>
      <c r="AT104" s="333"/>
      <c r="AU104" s="333"/>
      <c r="AV104" s="333"/>
      <c r="AW104" s="333"/>
      <c r="AX104" s="333"/>
      <c r="AY104" s="333"/>
      <c r="AZ104" s="143"/>
      <c r="BA104" s="143"/>
      <c r="BB104" s="143"/>
      <c r="BC104" s="333"/>
      <c r="BD104" s="333"/>
      <c r="BE104" s="333"/>
      <c r="BF104" s="333"/>
      <c r="BG104" s="333"/>
      <c r="BH104" s="333"/>
      <c r="BI104" s="333"/>
      <c r="BJ104" s="333"/>
      <c r="BK104" s="333"/>
      <c r="BL104" s="333"/>
      <c r="BM104" s="333"/>
      <c r="BN104" s="333"/>
      <c r="BO104" s="333"/>
      <c r="BP104" s="333"/>
      <c r="BQ104" s="333"/>
      <c r="BR104" s="333"/>
      <c r="BS104" s="333"/>
      <c r="BT104" s="333"/>
      <c r="BU104" s="333"/>
      <c r="BV104" s="333"/>
      <c r="BW104" s="333"/>
      <c r="BX104" s="333"/>
      <c r="BY104" s="333"/>
      <c r="BZ104" s="333"/>
      <c r="CA104" s="333"/>
      <c r="CB104" s="333"/>
      <c r="CC104" s="333"/>
      <c r="CD104" s="333"/>
      <c r="CE104" s="333"/>
      <c r="CF104" s="333"/>
      <c r="CG104" s="333"/>
      <c r="CH104" s="333"/>
      <c r="CI104" s="333"/>
      <c r="CJ104" s="333"/>
      <c r="CK104" s="333"/>
      <c r="CL104" s="333"/>
      <c r="CM104" s="333"/>
      <c r="CN104" s="333"/>
      <c r="CO104" s="333"/>
      <c r="CP104" s="333"/>
      <c r="CQ104" s="333"/>
      <c r="CR104" s="333"/>
      <c r="CS104" s="333"/>
      <c r="CT104" s="333"/>
      <c r="CU104" s="333"/>
      <c r="CV104" s="333"/>
      <c r="CW104" s="333"/>
      <c r="CX104" s="333"/>
      <c r="CY104" s="333"/>
      <c r="CZ104" s="333"/>
      <c r="DA104" s="333"/>
      <c r="DB104" s="333"/>
      <c r="DC104" s="333"/>
      <c r="DD104" s="333"/>
      <c r="DE104" s="333"/>
      <c r="DF104" s="333"/>
      <c r="DG104" s="333"/>
      <c r="DH104" s="333"/>
      <c r="DI104" s="333"/>
      <c r="DJ104" s="333"/>
      <c r="DK104" s="333"/>
      <c r="DL104" s="333"/>
      <c r="DM104" s="333"/>
      <c r="DN104" s="333"/>
      <c r="DO104" s="333"/>
      <c r="DP104" s="333"/>
      <c r="DQ104" s="333"/>
      <c r="DR104" s="333"/>
      <c r="DS104" s="333"/>
      <c r="DT104" s="333"/>
      <c r="DU104" s="334"/>
      <c r="DV104" s="46"/>
      <c r="DW104" s="46"/>
      <c r="DX104" s="46"/>
      <c r="DY104" s="46"/>
      <c r="DZ104" s="46"/>
      <c r="EA104" s="46"/>
      <c r="EB104" s="46"/>
      <c r="EC104" s="46"/>
      <c r="ED104" s="142"/>
      <c r="EE104" s="142"/>
      <c r="EF104" s="344"/>
      <c r="EG104" s="345"/>
      <c r="EH104" s="345"/>
      <c r="EI104" s="129"/>
    </row>
    <row r="105" spans="2:139" ht="31.15">
      <c r="B105" s="356" t="s">
        <v>286</v>
      </c>
      <c r="C105" s="358" t="s">
        <v>293</v>
      </c>
      <c r="D105" s="360" t="s">
        <v>259</v>
      </c>
      <c r="E105" s="360" t="s">
        <v>294</v>
      </c>
      <c r="F105" s="360" t="s">
        <v>174</v>
      </c>
      <c r="G105" s="360" t="s">
        <v>146</v>
      </c>
      <c r="H105" s="74" t="s">
        <v>147</v>
      </c>
      <c r="I105" s="196">
        <v>45565</v>
      </c>
      <c r="J105" s="182"/>
      <c r="K105" s="197">
        <v>45572</v>
      </c>
      <c r="L105" s="273" t="s">
        <v>148</v>
      </c>
      <c r="M105" s="198">
        <f>K106+7</f>
        <v>45579</v>
      </c>
      <c r="N105" s="76">
        <f t="shared" ref="N105" si="610">M105+7</f>
        <v>45586</v>
      </c>
      <c r="O105" s="76" t="s">
        <v>149</v>
      </c>
      <c r="P105" s="76">
        <v>45526</v>
      </c>
      <c r="Q105" s="76">
        <f t="shared" ref="Q105" si="611">P105+7</f>
        <v>45533</v>
      </c>
      <c r="R105" s="76">
        <f t="shared" ref="R105" si="612">Q105+7</f>
        <v>45540</v>
      </c>
      <c r="S105" s="77" t="s">
        <v>149</v>
      </c>
      <c r="T105" s="77">
        <f t="shared" ref="T105" si="613">R105+7</f>
        <v>45547</v>
      </c>
      <c r="U105" s="77">
        <f t="shared" ref="U105" si="614">T105+7</f>
        <v>45554</v>
      </c>
      <c r="V105" s="77">
        <f t="shared" ref="V105" si="615">U105+7</f>
        <v>45561</v>
      </c>
      <c r="W105" s="77" t="s">
        <v>149</v>
      </c>
      <c r="X105" s="77">
        <f t="shared" ref="X105" si="616">V105+7</f>
        <v>45568</v>
      </c>
      <c r="Y105" s="77">
        <f t="shared" ref="Y105" si="617">X105+7</f>
        <v>45575</v>
      </c>
      <c r="Z105" s="77">
        <f t="shared" ref="Z105" si="618">Y105+7</f>
        <v>45582</v>
      </c>
      <c r="AA105" s="77" t="s">
        <v>149</v>
      </c>
      <c r="AB105" s="77">
        <f t="shared" ref="AB105" si="619">Z105+7</f>
        <v>45589</v>
      </c>
      <c r="AC105" s="77">
        <f t="shared" ref="AC105" si="620">AB105+7</f>
        <v>45596</v>
      </c>
      <c r="AD105" s="77">
        <f t="shared" ref="AD105" si="621">AC105+7</f>
        <v>45603</v>
      </c>
      <c r="AE105" s="77" t="s">
        <v>149</v>
      </c>
      <c r="AF105" s="77">
        <f t="shared" ref="AF105" si="622">AD105+7</f>
        <v>45610</v>
      </c>
      <c r="AG105" s="77">
        <f t="shared" ref="AG105" si="623">AF105+7</f>
        <v>45617</v>
      </c>
      <c r="AH105" s="77">
        <f t="shared" ref="AH105" si="624">AG105+7</f>
        <v>45624</v>
      </c>
      <c r="AI105" s="77" t="s">
        <v>149</v>
      </c>
      <c r="AJ105" s="77">
        <f t="shared" ref="AJ105" si="625">AH105+7</f>
        <v>45631</v>
      </c>
      <c r="AK105" s="77">
        <f t="shared" ref="AK105" si="626">AJ105+7</f>
        <v>45638</v>
      </c>
      <c r="AL105" s="77">
        <f t="shared" ref="AL105" si="627">AK105+7</f>
        <v>45645</v>
      </c>
      <c r="AM105" s="77" t="s">
        <v>149</v>
      </c>
      <c r="AN105" s="77">
        <f t="shared" ref="AN105" si="628">AL105+7</f>
        <v>45652</v>
      </c>
      <c r="AO105" s="77">
        <f t="shared" ref="AO105" si="629">AN105+7</f>
        <v>45659</v>
      </c>
      <c r="AP105" s="77">
        <f t="shared" ref="AP105" si="630">AO105+7</f>
        <v>45666</v>
      </c>
      <c r="AQ105" s="77" t="s">
        <v>149</v>
      </c>
      <c r="AR105" s="77">
        <f t="shared" ref="AR105" si="631">AP105+7</f>
        <v>45673</v>
      </c>
      <c r="AS105" s="77">
        <f t="shared" ref="AS105" si="632">AR105+7</f>
        <v>45680</v>
      </c>
      <c r="AT105" s="77">
        <f t="shared" ref="AT105" si="633">AS105+7</f>
        <v>45687</v>
      </c>
      <c r="AU105" s="77">
        <f t="shared" ref="AU105" si="634">AT105+21</f>
        <v>45708</v>
      </c>
      <c r="AV105" s="77">
        <f t="shared" ref="AV105" si="635">AT105+7</f>
        <v>45694</v>
      </c>
      <c r="AW105" s="77">
        <f t="shared" ref="AW105" si="636">AV105+7</f>
        <v>45701</v>
      </c>
      <c r="AX105" s="77">
        <f t="shared" ref="AX105" si="637">AW105+7</f>
        <v>45708</v>
      </c>
      <c r="AY105" s="77">
        <f t="shared" ref="AY105" si="638">AX105+21</f>
        <v>45729</v>
      </c>
      <c r="AZ105" s="77">
        <f t="shared" ref="AZ105" si="639">AX105+7</f>
        <v>45715</v>
      </c>
      <c r="BA105" s="77">
        <f t="shared" ref="BA105" si="640">AZ105+7</f>
        <v>45722</v>
      </c>
      <c r="BB105" s="77">
        <f t="shared" ref="BB105" si="641">BA105+7</f>
        <v>45729</v>
      </c>
      <c r="BC105" s="77" t="s">
        <v>148</v>
      </c>
      <c r="BD105" s="77">
        <f>BB105+7</f>
        <v>45736</v>
      </c>
      <c r="BE105" s="77">
        <f>BD105+7</f>
        <v>45743</v>
      </c>
      <c r="BF105" s="77">
        <f>BE105+7</f>
        <v>45750</v>
      </c>
      <c r="BG105" s="77" t="s">
        <v>148</v>
      </c>
      <c r="BH105" s="77">
        <f>BF105+7</f>
        <v>45757</v>
      </c>
      <c r="BI105" s="77">
        <f>BH105+7</f>
        <v>45764</v>
      </c>
      <c r="BJ105" s="77">
        <f>BI105+7</f>
        <v>45771</v>
      </c>
      <c r="BK105" s="77" t="s">
        <v>148</v>
      </c>
      <c r="BL105" s="77">
        <f>BJ105+7</f>
        <v>45778</v>
      </c>
      <c r="BM105" s="77">
        <f>BL105+7</f>
        <v>45785</v>
      </c>
      <c r="BN105" s="77">
        <f>BM105+7</f>
        <v>45792</v>
      </c>
      <c r="BO105" s="77" t="s">
        <v>149</v>
      </c>
      <c r="BP105" s="77">
        <f>BN105+7</f>
        <v>45799</v>
      </c>
      <c r="BQ105" s="77">
        <f>BP105+7</f>
        <v>45806</v>
      </c>
      <c r="BR105" s="77">
        <f>BQ105+7</f>
        <v>45813</v>
      </c>
      <c r="BS105" s="77" t="s">
        <v>148</v>
      </c>
      <c r="BT105" s="77">
        <f>BR105+7</f>
        <v>45820</v>
      </c>
      <c r="BU105" s="77">
        <f>BT105+7</f>
        <v>45827</v>
      </c>
      <c r="BV105" s="77">
        <f>BU105+7</f>
        <v>45834</v>
      </c>
      <c r="BW105" s="77" t="s">
        <v>149</v>
      </c>
      <c r="BX105" s="77">
        <f>BV105+7</f>
        <v>45841</v>
      </c>
      <c r="BY105" s="77">
        <f>BX105+7</f>
        <v>45848</v>
      </c>
      <c r="BZ105" s="77">
        <f>BY105+7</f>
        <v>45855</v>
      </c>
      <c r="CA105" s="77" t="s">
        <v>149</v>
      </c>
      <c r="CB105" s="77"/>
      <c r="CC105" s="77"/>
      <c r="CD105" s="77"/>
      <c r="CE105" s="77"/>
      <c r="CF105" s="77"/>
      <c r="CG105" s="77"/>
      <c r="CH105" s="77"/>
      <c r="CI105" s="77"/>
      <c r="CJ105" s="77"/>
      <c r="CK105" s="77"/>
      <c r="CL105" s="77"/>
      <c r="CM105" s="77"/>
      <c r="CN105" s="77"/>
      <c r="CO105" s="77"/>
      <c r="CP105" s="77"/>
      <c r="CQ105" s="77"/>
      <c r="CR105" s="77"/>
      <c r="CS105" s="77"/>
      <c r="CT105" s="77"/>
      <c r="CU105" s="77"/>
      <c r="CV105" s="77"/>
      <c r="CW105" s="77"/>
      <c r="CX105" s="77"/>
      <c r="CY105" s="77"/>
      <c r="CZ105" s="77"/>
      <c r="DA105" s="77"/>
      <c r="DB105" s="77"/>
      <c r="DC105" s="77"/>
      <c r="DD105" s="77"/>
      <c r="DE105" s="77"/>
      <c r="DF105" s="77"/>
      <c r="DG105" s="77"/>
      <c r="DH105" s="77"/>
      <c r="DI105" s="77"/>
      <c r="DJ105" s="77"/>
      <c r="DK105" s="77"/>
      <c r="DL105" s="77"/>
      <c r="DM105" s="77"/>
      <c r="DN105" s="77"/>
      <c r="DO105" s="77"/>
      <c r="DP105" s="77"/>
      <c r="DQ105" s="77"/>
      <c r="DR105" s="77"/>
      <c r="DS105" s="77"/>
      <c r="DT105" s="17"/>
      <c r="DU105" s="17"/>
      <c r="DV105" s="13"/>
      <c r="DW105" s="13"/>
      <c r="DX105" s="13"/>
      <c r="DY105" s="13"/>
      <c r="DZ105" s="13"/>
      <c r="EA105" s="13"/>
      <c r="EB105" s="13"/>
      <c r="EC105" s="13"/>
      <c r="ED105" s="24"/>
      <c r="EE105" s="24"/>
      <c r="EF105" s="339"/>
      <c r="EG105" s="338"/>
      <c r="EH105" s="338"/>
    </row>
    <row r="106" spans="2:139" ht="31.15">
      <c r="B106" s="357"/>
      <c r="C106" s="359"/>
      <c r="D106" s="361"/>
      <c r="E106" s="361"/>
      <c r="F106" s="361"/>
      <c r="G106" s="361"/>
      <c r="H106" s="330" t="s">
        <v>150</v>
      </c>
      <c r="I106" s="199">
        <v>45565</v>
      </c>
      <c r="J106" s="200"/>
      <c r="K106" s="201">
        <v>45572</v>
      </c>
      <c r="L106" s="274" t="s">
        <v>148</v>
      </c>
      <c r="M106" s="159">
        <v>45579</v>
      </c>
      <c r="N106" s="330">
        <v>45586</v>
      </c>
      <c r="O106" s="330" t="s">
        <v>148</v>
      </c>
      <c r="P106" s="330">
        <v>45593</v>
      </c>
      <c r="Q106" s="330">
        <v>45600</v>
      </c>
      <c r="R106" s="324">
        <v>45607</v>
      </c>
      <c r="S106" s="330" t="s">
        <v>148</v>
      </c>
      <c r="T106" s="330">
        <v>45614</v>
      </c>
      <c r="U106" s="154">
        <v>45621</v>
      </c>
      <c r="V106" s="330">
        <v>45628</v>
      </c>
      <c r="W106" s="330" t="s">
        <v>148</v>
      </c>
      <c r="X106" s="160"/>
      <c r="Y106" s="324"/>
      <c r="Z106" s="330"/>
      <c r="AA106" s="330"/>
      <c r="AB106" s="330"/>
      <c r="AC106" s="330"/>
      <c r="AD106" s="324"/>
      <c r="AE106" s="330"/>
      <c r="AF106" s="330"/>
      <c r="AG106" s="330"/>
      <c r="AH106" s="161"/>
      <c r="AI106" s="330"/>
      <c r="AJ106" s="330"/>
      <c r="AK106" s="330"/>
      <c r="AL106" s="161"/>
      <c r="AM106" s="330"/>
      <c r="AN106" s="330"/>
      <c r="AO106" s="330"/>
      <c r="AP106" s="161"/>
      <c r="AQ106" s="330"/>
      <c r="AR106" s="330"/>
      <c r="AS106" s="330"/>
      <c r="AT106" s="161"/>
      <c r="AU106" s="330"/>
      <c r="AV106" s="330"/>
      <c r="AW106" s="330"/>
      <c r="AX106" s="161"/>
      <c r="AY106" s="330"/>
      <c r="AZ106" s="330"/>
      <c r="BA106" s="330"/>
      <c r="BB106" s="161"/>
      <c r="BC106" s="330"/>
      <c r="BD106" s="330"/>
      <c r="BE106" s="330"/>
      <c r="BF106" s="330"/>
      <c r="BG106" s="330"/>
      <c r="BH106" s="330"/>
      <c r="BI106" s="330"/>
      <c r="BJ106" s="330"/>
      <c r="BK106" s="330"/>
      <c r="BL106" s="330"/>
      <c r="BM106" s="330"/>
      <c r="BN106" s="330"/>
      <c r="BO106" s="330"/>
      <c r="BP106" s="330"/>
      <c r="BQ106" s="330"/>
      <c r="BR106" s="330"/>
      <c r="BS106" s="330"/>
      <c r="BT106" s="330"/>
      <c r="BU106" s="330"/>
      <c r="BV106" s="330"/>
      <c r="BW106" s="330"/>
      <c r="BX106" s="330"/>
      <c r="BY106" s="330"/>
      <c r="BZ106" s="330"/>
      <c r="CA106" s="330"/>
      <c r="CB106" s="330"/>
      <c r="CC106" s="330"/>
      <c r="CD106" s="330"/>
      <c r="CE106" s="330"/>
      <c r="CF106" s="330"/>
      <c r="CG106" s="330"/>
      <c r="CH106" s="330"/>
      <c r="CI106" s="330"/>
      <c r="CJ106" s="330"/>
      <c r="CK106" s="330"/>
      <c r="CL106" s="330"/>
      <c r="CM106" s="330"/>
      <c r="CN106" s="330"/>
      <c r="CO106" s="330"/>
      <c r="CP106" s="330"/>
      <c r="CQ106" s="330"/>
      <c r="CR106" s="330"/>
      <c r="CS106" s="330"/>
      <c r="CT106" s="330"/>
      <c r="CU106" s="330"/>
      <c r="CV106" s="330"/>
      <c r="CW106" s="330"/>
      <c r="CX106" s="330"/>
      <c r="CY106" s="330"/>
      <c r="CZ106" s="330"/>
      <c r="DA106" s="330"/>
      <c r="DB106" s="330"/>
      <c r="DC106" s="330"/>
      <c r="DD106" s="330"/>
      <c r="DE106" s="330"/>
      <c r="DF106" s="330"/>
      <c r="DG106" s="330"/>
      <c r="DH106" s="330"/>
      <c r="DI106" s="330"/>
      <c r="DJ106" s="330"/>
      <c r="DK106" s="330"/>
      <c r="DL106" s="330"/>
      <c r="DM106" s="330"/>
      <c r="DN106" s="330"/>
      <c r="DO106" s="330"/>
      <c r="DP106" s="330"/>
      <c r="DQ106" s="330"/>
      <c r="DR106" s="330"/>
      <c r="DS106" s="330"/>
      <c r="DT106" s="321">
        <v>45635</v>
      </c>
      <c r="DU106" s="206">
        <v>45649</v>
      </c>
      <c r="DV106" s="321">
        <v>45713</v>
      </c>
      <c r="DW106" s="321">
        <v>45798</v>
      </c>
      <c r="DX106" s="115"/>
      <c r="DY106" s="321"/>
      <c r="DZ106" s="321"/>
      <c r="EA106" s="321"/>
      <c r="EB106" s="321"/>
      <c r="EC106" s="321"/>
      <c r="ED106" s="25"/>
      <c r="EE106" s="25"/>
      <c r="EF106" s="339"/>
      <c r="EG106" s="338"/>
      <c r="EH106" s="338"/>
    </row>
    <row r="107" spans="2:139" ht="31.15">
      <c r="B107" s="356" t="s">
        <v>257</v>
      </c>
      <c r="C107" s="358" t="s">
        <v>295</v>
      </c>
      <c r="D107" s="360" t="s">
        <v>270</v>
      </c>
      <c r="E107" s="358" t="s">
        <v>294</v>
      </c>
      <c r="F107" s="358" t="s">
        <v>250</v>
      </c>
      <c r="G107" s="358" t="s">
        <v>253</v>
      </c>
      <c r="H107" s="181" t="s">
        <v>147</v>
      </c>
      <c r="I107" s="75">
        <v>45558</v>
      </c>
      <c r="J107" s="182"/>
      <c r="K107" s="75">
        <v>45581</v>
      </c>
      <c r="L107" s="273" t="s">
        <v>148</v>
      </c>
      <c r="M107" s="182">
        <f t="shared" ref="M107" si="642">K107+7</f>
        <v>45588</v>
      </c>
      <c r="N107" s="182">
        <f t="shared" ref="N107" si="643">M107+7</f>
        <v>45595</v>
      </c>
      <c r="O107" s="182" t="s">
        <v>149</v>
      </c>
      <c r="P107" s="182">
        <f t="shared" ref="P107" si="644">N107+7</f>
        <v>45602</v>
      </c>
      <c r="Q107" s="182">
        <f t="shared" ref="Q107" si="645">P107+7</f>
        <v>45609</v>
      </c>
      <c r="R107" s="182">
        <f t="shared" ref="R107" si="646">Q107+7</f>
        <v>45616</v>
      </c>
      <c r="S107" s="180" t="s">
        <v>149</v>
      </c>
      <c r="T107" s="180">
        <f t="shared" ref="T107" si="647">R107+7</f>
        <v>45623</v>
      </c>
      <c r="U107" s="180">
        <f t="shared" ref="U107" si="648">T107+7</f>
        <v>45630</v>
      </c>
      <c r="V107" s="180">
        <f t="shared" ref="V107" si="649">U107+7</f>
        <v>45637</v>
      </c>
      <c r="W107" s="180" t="s">
        <v>149</v>
      </c>
      <c r="X107" s="180">
        <f t="shared" ref="X107" si="650">V107+7</f>
        <v>45644</v>
      </c>
      <c r="Y107" s="180">
        <f t="shared" ref="Y107" si="651">X107+7</f>
        <v>45651</v>
      </c>
      <c r="Z107" s="180">
        <f t="shared" ref="Z107" si="652">Y107+7</f>
        <v>45658</v>
      </c>
      <c r="AA107" s="180" t="s">
        <v>149</v>
      </c>
      <c r="AB107" s="180">
        <f t="shared" ref="AB107" si="653">Z107+7</f>
        <v>45665</v>
      </c>
      <c r="AC107" s="180">
        <f t="shared" ref="AC107" si="654">AB107+7</f>
        <v>45672</v>
      </c>
      <c r="AD107" s="180">
        <f t="shared" ref="AD107" si="655">AC107+7</f>
        <v>45679</v>
      </c>
      <c r="AE107" s="180" t="s">
        <v>149</v>
      </c>
      <c r="AF107" s="180">
        <f t="shared" ref="AF107" si="656">AD107+7</f>
        <v>45686</v>
      </c>
      <c r="AG107" s="180">
        <f t="shared" ref="AG107" si="657">AF107+7</f>
        <v>45693</v>
      </c>
      <c r="AH107" s="180">
        <f t="shared" ref="AH107" si="658">AG107+7</f>
        <v>45700</v>
      </c>
      <c r="AI107" s="180" t="s">
        <v>149</v>
      </c>
      <c r="AJ107" s="180">
        <f t="shared" ref="AJ107" si="659">AH107+7</f>
        <v>45707</v>
      </c>
      <c r="AK107" s="180">
        <f t="shared" ref="AK107" si="660">AJ107+7</f>
        <v>45714</v>
      </c>
      <c r="AL107" s="180">
        <f t="shared" ref="AL107" si="661">AK107+7</f>
        <v>45721</v>
      </c>
      <c r="AM107" s="180" t="s">
        <v>149</v>
      </c>
      <c r="AN107" s="180">
        <f t="shared" ref="AN107" si="662">AL107+7</f>
        <v>45728</v>
      </c>
      <c r="AO107" s="180">
        <f t="shared" ref="AO107" si="663">AN107+7</f>
        <v>45735</v>
      </c>
      <c r="AP107" s="180">
        <f t="shared" ref="AP107" si="664">AO107+7</f>
        <v>45742</v>
      </c>
      <c r="AQ107" s="180" t="s">
        <v>149</v>
      </c>
      <c r="AR107" s="180">
        <f t="shared" ref="AR107" si="665">AP107+7</f>
        <v>45749</v>
      </c>
      <c r="AS107" s="180">
        <f t="shared" ref="AS107" si="666">AR107+7</f>
        <v>45756</v>
      </c>
      <c r="AT107" s="180">
        <f t="shared" ref="AT107" si="667">AS107+7</f>
        <v>45763</v>
      </c>
      <c r="AU107" s="180" t="s">
        <v>149</v>
      </c>
      <c r="AV107" s="180">
        <f t="shared" ref="AV107" si="668">AT107+7</f>
        <v>45770</v>
      </c>
      <c r="AW107" s="180">
        <f t="shared" ref="AW107" si="669">AV107+7</f>
        <v>45777</v>
      </c>
      <c r="AX107" s="180">
        <f t="shared" ref="AX107" si="670">AW107+7</f>
        <v>45784</v>
      </c>
      <c r="AY107" s="180" t="s">
        <v>149</v>
      </c>
      <c r="AZ107" s="180">
        <f t="shared" ref="AZ107" si="671">AX107+7</f>
        <v>45791</v>
      </c>
      <c r="BA107" s="180">
        <f t="shared" ref="BA107" si="672">AZ107+7</f>
        <v>45798</v>
      </c>
      <c r="BB107" s="180">
        <f t="shared" ref="BB107" si="673">BA107+7</f>
        <v>45805</v>
      </c>
      <c r="BC107" s="180" t="s">
        <v>149</v>
      </c>
      <c r="BD107" s="180">
        <f t="shared" ref="BD107" si="674">BB107+7</f>
        <v>45812</v>
      </c>
      <c r="BE107" s="180">
        <f t="shared" ref="BE107" si="675">BD107+7</f>
        <v>45819</v>
      </c>
      <c r="BF107" s="180">
        <f t="shared" ref="BF107" si="676">BE107+7</f>
        <v>45826</v>
      </c>
      <c r="BG107" s="180" t="s">
        <v>148</v>
      </c>
      <c r="BH107" s="180">
        <f t="shared" ref="BH107" si="677">BF107+7</f>
        <v>45833</v>
      </c>
      <c r="BI107" s="180">
        <f t="shared" ref="BI107" si="678">BH107+7</f>
        <v>45840</v>
      </c>
      <c r="BJ107" s="180">
        <f t="shared" ref="BJ107" si="679">BI107+7</f>
        <v>45847</v>
      </c>
      <c r="BK107" s="180" t="s">
        <v>148</v>
      </c>
      <c r="BL107" s="180">
        <f t="shared" ref="BL107" si="680">BJ107+7</f>
        <v>45854</v>
      </c>
      <c r="BM107" s="180">
        <f t="shared" ref="BM107" si="681">BL107+7</f>
        <v>45861</v>
      </c>
      <c r="BN107" s="180">
        <f t="shared" ref="BN107" si="682">BM107+7</f>
        <v>45868</v>
      </c>
      <c r="BO107" s="180" t="s">
        <v>149</v>
      </c>
      <c r="BP107" s="180">
        <f t="shared" ref="BP107" si="683">BN107+7</f>
        <v>45875</v>
      </c>
      <c r="BQ107" s="180">
        <f t="shared" ref="BQ107" si="684">BP107+7</f>
        <v>45882</v>
      </c>
      <c r="BR107" s="180">
        <f t="shared" ref="BR107" si="685">BQ107+7</f>
        <v>45889</v>
      </c>
      <c r="BS107" s="180" t="s">
        <v>148</v>
      </c>
      <c r="BT107" s="180">
        <f t="shared" ref="BT107" si="686">BR107+7</f>
        <v>45896</v>
      </c>
      <c r="BU107" s="180">
        <f t="shared" ref="BU107" si="687">BT107+7</f>
        <v>45903</v>
      </c>
      <c r="BV107" s="180">
        <f t="shared" ref="BV107" si="688">BU107+7</f>
        <v>45910</v>
      </c>
      <c r="BW107" s="180" t="s">
        <v>149</v>
      </c>
      <c r="BX107" s="180">
        <f t="shared" ref="BX107" si="689">BV107+7</f>
        <v>45917</v>
      </c>
      <c r="BY107" s="180">
        <f t="shared" ref="BY107" si="690">BX107+7</f>
        <v>45924</v>
      </c>
      <c r="BZ107" s="180">
        <f t="shared" ref="BZ107" si="691">BY107+7</f>
        <v>45931</v>
      </c>
      <c r="CA107" s="180" t="s">
        <v>149</v>
      </c>
      <c r="CB107" s="180">
        <f t="shared" ref="CB107" si="692">BZ107+7</f>
        <v>45938</v>
      </c>
      <c r="CC107" s="180">
        <f t="shared" ref="CC107" si="693">CB107+7</f>
        <v>45945</v>
      </c>
      <c r="CD107" s="180">
        <f t="shared" ref="CD107" si="694">CC107+7</f>
        <v>45952</v>
      </c>
      <c r="CE107" s="180" t="s">
        <v>149</v>
      </c>
      <c r="CF107" s="180">
        <f t="shared" ref="CF107" si="695">CD107+7</f>
        <v>45959</v>
      </c>
      <c r="CG107" s="180">
        <f t="shared" ref="CG107" si="696">CF107+7</f>
        <v>45966</v>
      </c>
      <c r="CH107" s="180">
        <f t="shared" ref="CH107" si="697">CG107+7</f>
        <v>45973</v>
      </c>
      <c r="CI107" s="180" t="s">
        <v>149</v>
      </c>
      <c r="CJ107" s="180">
        <f t="shared" ref="CJ107" si="698">CH107+7</f>
        <v>45980</v>
      </c>
      <c r="CK107" s="180">
        <f t="shared" ref="CK107" si="699">CJ107+7</f>
        <v>45987</v>
      </c>
      <c r="CL107" s="180">
        <f t="shared" ref="CL107" si="700">CK107+7</f>
        <v>45994</v>
      </c>
      <c r="CM107" s="180" t="s">
        <v>149</v>
      </c>
      <c r="CN107" s="180">
        <f t="shared" ref="CN107" si="701">CL107+7</f>
        <v>46001</v>
      </c>
      <c r="CO107" s="180">
        <f t="shared" ref="CO107" si="702">CN107+7</f>
        <v>46008</v>
      </c>
      <c r="CP107" s="180">
        <f t="shared" ref="CP107" si="703">CO107+7</f>
        <v>46015</v>
      </c>
      <c r="CQ107" s="180" t="s">
        <v>149</v>
      </c>
      <c r="CR107" s="180">
        <f t="shared" ref="CR107" si="704">CP107+7</f>
        <v>46022</v>
      </c>
      <c r="CS107" s="180">
        <f t="shared" ref="CS107" si="705">CR107+7</f>
        <v>46029</v>
      </c>
      <c r="CT107" s="180">
        <f t="shared" ref="CT107" si="706">CS107+7</f>
        <v>46036</v>
      </c>
      <c r="CU107" s="180" t="s">
        <v>149</v>
      </c>
      <c r="CV107" s="180">
        <f t="shared" ref="CV107" si="707">CT107+7</f>
        <v>46043</v>
      </c>
      <c r="CW107" s="180">
        <f t="shared" ref="CW107" si="708">CV107+7</f>
        <v>46050</v>
      </c>
      <c r="CX107" s="180">
        <f t="shared" ref="CX107" si="709">CW107+7</f>
        <v>46057</v>
      </c>
      <c r="CY107" s="180" t="s">
        <v>149</v>
      </c>
      <c r="CZ107" s="180">
        <f t="shared" ref="CZ107" si="710">CX107+7</f>
        <v>46064</v>
      </c>
      <c r="DA107" s="180">
        <f t="shared" ref="DA107" si="711">CZ107+7</f>
        <v>46071</v>
      </c>
      <c r="DB107" s="180">
        <f t="shared" ref="DB107" si="712">DA107+7</f>
        <v>46078</v>
      </c>
      <c r="DC107" s="180" t="s">
        <v>149</v>
      </c>
      <c r="DD107" s="180">
        <f t="shared" ref="DD107" si="713">DB107+7</f>
        <v>46085</v>
      </c>
      <c r="DE107" s="180">
        <f t="shared" ref="DE107" si="714">DD107+7</f>
        <v>46092</v>
      </c>
      <c r="DF107" s="180">
        <f t="shared" ref="DF107" si="715">DE107+7</f>
        <v>46099</v>
      </c>
      <c r="DG107" s="180" t="s">
        <v>149</v>
      </c>
      <c r="DH107" s="180"/>
      <c r="DI107" s="180"/>
      <c r="DJ107" s="180"/>
      <c r="DK107" s="180"/>
      <c r="DL107" s="180"/>
      <c r="DM107" s="180"/>
      <c r="DN107" s="180"/>
      <c r="DO107" s="180"/>
      <c r="DP107" s="180"/>
      <c r="DQ107" s="180"/>
      <c r="DR107" s="180"/>
      <c r="DS107" s="180"/>
      <c r="DT107" s="127">
        <v>46092</v>
      </c>
      <c r="DU107" s="127"/>
      <c r="DV107" s="125"/>
      <c r="DW107" s="125"/>
      <c r="DX107" s="125"/>
      <c r="DY107" s="125"/>
      <c r="DZ107" s="125"/>
      <c r="EA107" s="125"/>
      <c r="EB107" s="125"/>
      <c r="EC107" s="125"/>
      <c r="ED107" s="268"/>
      <c r="EE107" s="128"/>
      <c r="EF107" s="339"/>
      <c r="EG107" s="338"/>
      <c r="EH107" s="339"/>
    </row>
    <row r="108" spans="2:139" ht="31.15">
      <c r="B108" s="357"/>
      <c r="C108" s="359"/>
      <c r="D108" s="361"/>
      <c r="E108" s="359"/>
      <c r="F108" s="359"/>
      <c r="G108" s="359"/>
      <c r="H108" s="324" t="s">
        <v>150</v>
      </c>
      <c r="I108" s="169">
        <v>45558</v>
      </c>
      <c r="J108" s="324"/>
      <c r="K108" s="169">
        <v>45581</v>
      </c>
      <c r="L108" s="274" t="s">
        <v>148</v>
      </c>
      <c r="M108" s="202">
        <v>45596</v>
      </c>
      <c r="N108" s="169">
        <v>45602</v>
      </c>
      <c r="O108" s="324" t="s">
        <v>148</v>
      </c>
      <c r="P108" s="169">
        <v>45615</v>
      </c>
      <c r="Q108" s="169">
        <v>45623</v>
      </c>
      <c r="R108" s="169">
        <v>45630</v>
      </c>
      <c r="S108" s="324" t="s">
        <v>149</v>
      </c>
      <c r="T108" s="169">
        <v>45644</v>
      </c>
      <c r="U108" s="169">
        <v>45652</v>
      </c>
      <c r="V108" s="169">
        <v>45659</v>
      </c>
      <c r="W108" s="152" t="s">
        <v>149</v>
      </c>
      <c r="X108" s="169">
        <v>45672</v>
      </c>
      <c r="Y108" s="169">
        <v>45679</v>
      </c>
      <c r="Z108" s="169">
        <v>45688</v>
      </c>
      <c r="AA108" s="176" t="s">
        <v>149</v>
      </c>
      <c r="AB108" s="169">
        <v>45693</v>
      </c>
      <c r="AC108" s="169">
        <v>45700</v>
      </c>
      <c r="AD108" s="169">
        <v>45707</v>
      </c>
      <c r="AE108" s="177" t="s">
        <v>149</v>
      </c>
      <c r="AF108" s="177">
        <v>45714</v>
      </c>
      <c r="AG108" s="177">
        <v>45721</v>
      </c>
      <c r="AH108" s="177">
        <v>45728</v>
      </c>
      <c r="AI108" s="177" t="s">
        <v>149</v>
      </c>
      <c r="AJ108" s="177">
        <v>45735</v>
      </c>
      <c r="AK108" s="177">
        <v>45740</v>
      </c>
      <c r="AL108" s="177">
        <v>45749</v>
      </c>
      <c r="AM108" s="177" t="s">
        <v>149</v>
      </c>
      <c r="AN108" s="177">
        <v>45756</v>
      </c>
      <c r="AO108" s="177">
        <v>45763</v>
      </c>
      <c r="AP108" s="177">
        <v>45770</v>
      </c>
      <c r="AQ108" s="178" t="s">
        <v>149</v>
      </c>
      <c r="AR108" s="177">
        <v>45784</v>
      </c>
      <c r="AS108" s="177">
        <v>45791</v>
      </c>
      <c r="AT108" s="177">
        <v>45798</v>
      </c>
      <c r="AU108" s="177" t="s">
        <v>149</v>
      </c>
      <c r="AV108" s="177">
        <v>45803</v>
      </c>
      <c r="AW108" s="177">
        <v>45812</v>
      </c>
      <c r="AX108" s="177">
        <v>45819</v>
      </c>
      <c r="AY108" s="177" t="s">
        <v>149</v>
      </c>
      <c r="AZ108" s="281">
        <v>45826</v>
      </c>
      <c r="BA108" s="281">
        <v>45833</v>
      </c>
      <c r="BB108" s="281">
        <v>45840</v>
      </c>
      <c r="BC108" s="177" t="s">
        <v>149</v>
      </c>
      <c r="BD108" s="177">
        <v>45847</v>
      </c>
      <c r="BE108" s="177">
        <v>45854</v>
      </c>
      <c r="BF108" s="177">
        <v>45861</v>
      </c>
      <c r="BG108" s="177" t="s">
        <v>149</v>
      </c>
      <c r="BH108" s="177">
        <v>45875</v>
      </c>
      <c r="BI108" s="177">
        <v>45882</v>
      </c>
      <c r="BJ108" s="177">
        <v>45889</v>
      </c>
      <c r="BK108" s="177" t="s">
        <v>148</v>
      </c>
      <c r="BL108" s="177">
        <v>45896</v>
      </c>
      <c r="BM108" s="177">
        <v>45903</v>
      </c>
      <c r="BN108" s="177">
        <v>45910</v>
      </c>
      <c r="BO108" s="177" t="s">
        <v>148</v>
      </c>
      <c r="BP108" s="177">
        <v>45917</v>
      </c>
      <c r="BQ108" s="177">
        <v>45924</v>
      </c>
      <c r="BR108" s="177">
        <v>45931</v>
      </c>
      <c r="BS108" s="177" t="s">
        <v>148</v>
      </c>
      <c r="BT108" s="177">
        <v>45945</v>
      </c>
      <c r="BU108" s="177">
        <v>45952</v>
      </c>
      <c r="BV108" s="177">
        <v>45959</v>
      </c>
      <c r="BW108" s="177" t="s">
        <v>148</v>
      </c>
      <c r="BX108" s="177">
        <v>45966</v>
      </c>
      <c r="BY108" s="177">
        <v>45973</v>
      </c>
      <c r="BZ108" s="177">
        <v>45980</v>
      </c>
      <c r="CA108" s="177" t="s">
        <v>149</v>
      </c>
      <c r="CB108" s="177">
        <v>45994</v>
      </c>
      <c r="CC108" s="177">
        <v>46001</v>
      </c>
      <c r="CD108" s="177">
        <v>46008</v>
      </c>
      <c r="CE108" s="177" t="s">
        <v>149</v>
      </c>
      <c r="CF108" s="177">
        <v>46022</v>
      </c>
      <c r="CG108" s="177">
        <v>46029</v>
      </c>
      <c r="CH108" s="177">
        <v>46036</v>
      </c>
      <c r="CI108" s="177" t="s">
        <v>149</v>
      </c>
      <c r="CJ108" s="177">
        <v>46050</v>
      </c>
      <c r="CK108" s="177">
        <v>46057</v>
      </c>
      <c r="CL108" s="177">
        <v>46064</v>
      </c>
      <c r="CM108" s="177" t="s">
        <v>148</v>
      </c>
      <c r="CN108" s="177"/>
      <c r="CO108" s="177"/>
      <c r="CP108" s="177"/>
      <c r="CQ108" s="177"/>
      <c r="CR108" s="177"/>
      <c r="CS108" s="177"/>
      <c r="CT108" s="177"/>
      <c r="CU108" s="177"/>
      <c r="CV108" s="177"/>
      <c r="CW108" s="177"/>
      <c r="CX108" s="177"/>
      <c r="CY108" s="177"/>
      <c r="CZ108" s="177"/>
      <c r="DA108" s="177"/>
      <c r="DB108" s="177"/>
      <c r="DC108" s="177"/>
      <c r="DD108" s="177"/>
      <c r="DE108" s="177"/>
      <c r="DF108" s="177"/>
      <c r="DG108" s="177"/>
      <c r="DH108" s="177"/>
      <c r="DI108" s="177"/>
      <c r="DJ108" s="177"/>
      <c r="DK108" s="177"/>
      <c r="DL108" s="177"/>
      <c r="DM108" s="177"/>
      <c r="DN108" s="177"/>
      <c r="DO108" s="177"/>
      <c r="DP108" s="177"/>
      <c r="DQ108" s="177"/>
      <c r="DR108" s="177"/>
      <c r="DS108" s="177"/>
      <c r="DT108" s="28">
        <v>46092</v>
      </c>
      <c r="DU108" s="132" t="s">
        <v>181</v>
      </c>
      <c r="DV108" s="69">
        <v>46168</v>
      </c>
      <c r="DW108" s="69"/>
      <c r="DX108" s="69"/>
      <c r="DY108" s="69"/>
      <c r="DZ108" s="69"/>
      <c r="EA108" s="69"/>
      <c r="EB108" s="69"/>
      <c r="EC108" s="69"/>
      <c r="ED108" s="22"/>
      <c r="EE108" s="22"/>
      <c r="EF108" s="339"/>
      <c r="EG108" s="338"/>
      <c r="EH108" s="338"/>
    </row>
    <row r="109" spans="2:139" s="119" customFormat="1" ht="31.15">
      <c r="B109" s="352" t="s">
        <v>257</v>
      </c>
      <c r="C109" s="340" t="s">
        <v>296</v>
      </c>
      <c r="D109" s="342" t="s">
        <v>270</v>
      </c>
      <c r="E109" s="340" t="s">
        <v>297</v>
      </c>
      <c r="F109" s="340" t="s">
        <v>210</v>
      </c>
      <c r="G109" s="340" t="s">
        <v>253</v>
      </c>
      <c r="H109" s="40" t="s">
        <v>147</v>
      </c>
      <c r="I109" s="31">
        <v>45589</v>
      </c>
      <c r="J109" s="94"/>
      <c r="K109" s="31">
        <v>45600</v>
      </c>
      <c r="L109" s="276" t="s">
        <v>148</v>
      </c>
      <c r="M109" s="94">
        <f t="shared" ref="M109" si="716">K109+7</f>
        <v>45607</v>
      </c>
      <c r="N109" s="94">
        <f t="shared" ref="N109" si="717">M109+7</f>
        <v>45614</v>
      </c>
      <c r="O109" s="94" t="s">
        <v>149</v>
      </c>
      <c r="P109" s="94">
        <f t="shared" ref="P109" si="718">N109+7</f>
        <v>45621</v>
      </c>
      <c r="Q109" s="94">
        <f t="shared" ref="Q109" si="719">P109+7</f>
        <v>45628</v>
      </c>
      <c r="R109" s="94">
        <f t="shared" ref="R109" si="720">Q109+7</f>
        <v>45635</v>
      </c>
      <c r="S109" s="141" t="s">
        <v>149</v>
      </c>
      <c r="T109" s="141">
        <f t="shared" ref="T109" si="721">R109+7</f>
        <v>45642</v>
      </c>
      <c r="U109" s="141">
        <f t="shared" ref="U109" si="722">T109+7</f>
        <v>45649</v>
      </c>
      <c r="V109" s="141">
        <f t="shared" ref="V109" si="723">U109+7</f>
        <v>45656</v>
      </c>
      <c r="W109" s="141" t="s">
        <v>149</v>
      </c>
      <c r="X109" s="141">
        <f t="shared" ref="X109" si="724">V109+7</f>
        <v>45663</v>
      </c>
      <c r="Y109" s="141">
        <f t="shared" ref="Y109" si="725">X109+7</f>
        <v>45670</v>
      </c>
      <c r="Z109" s="141">
        <f t="shared" ref="Z109" si="726">Y109+7</f>
        <v>45677</v>
      </c>
      <c r="AA109" s="141" t="s">
        <v>149</v>
      </c>
      <c r="AB109" s="141">
        <f t="shared" ref="AB109" si="727">Z109+7</f>
        <v>45684</v>
      </c>
      <c r="AC109" s="141">
        <f t="shared" ref="AC109" si="728">AB109+7</f>
        <v>45691</v>
      </c>
      <c r="AD109" s="141">
        <f t="shared" ref="AD109" si="729">AC109+7</f>
        <v>45698</v>
      </c>
      <c r="AE109" s="141" t="s">
        <v>149</v>
      </c>
      <c r="AF109" s="141">
        <f t="shared" ref="AF109" si="730">AD109+7</f>
        <v>45705</v>
      </c>
      <c r="AG109" s="141">
        <f t="shared" ref="AG109" si="731">AF109+7</f>
        <v>45712</v>
      </c>
      <c r="AH109" s="141">
        <f t="shared" ref="AH109" si="732">AG109+7</f>
        <v>45719</v>
      </c>
      <c r="AI109" s="141" t="s">
        <v>149</v>
      </c>
      <c r="AJ109" s="141">
        <f t="shared" ref="AJ109" si="733">AH109+7</f>
        <v>45726</v>
      </c>
      <c r="AK109" s="141">
        <f t="shared" ref="AK109" si="734">AJ109+7</f>
        <v>45733</v>
      </c>
      <c r="AL109" s="141">
        <f t="shared" ref="AL109" si="735">AK109+7</f>
        <v>45740</v>
      </c>
      <c r="AM109" s="141" t="s">
        <v>149</v>
      </c>
      <c r="AN109" s="141">
        <f t="shared" ref="AN109" si="736">AL109+7</f>
        <v>45747</v>
      </c>
      <c r="AO109" s="141">
        <f t="shared" ref="AO109" si="737">AN109+7</f>
        <v>45754</v>
      </c>
      <c r="AP109" s="141">
        <f t="shared" ref="AP109" si="738">AO109+7</f>
        <v>45761</v>
      </c>
      <c r="AQ109" s="141" t="s">
        <v>149</v>
      </c>
      <c r="AR109" s="141">
        <f t="shared" ref="AR109" si="739">AP109+7</f>
        <v>45768</v>
      </c>
      <c r="AS109" s="141">
        <f t="shared" ref="AS109" si="740">AR109+7</f>
        <v>45775</v>
      </c>
      <c r="AT109" s="141">
        <f t="shared" ref="AT109" si="741">AS109+7</f>
        <v>45782</v>
      </c>
      <c r="AU109" s="141" t="s">
        <v>149</v>
      </c>
      <c r="AV109" s="141">
        <f t="shared" ref="AV109" si="742">AT109+7</f>
        <v>45789</v>
      </c>
      <c r="AW109" s="141">
        <f t="shared" ref="AW109" si="743">AV109+7</f>
        <v>45796</v>
      </c>
      <c r="AX109" s="141">
        <f t="shared" ref="AX109" si="744">AW109+7</f>
        <v>45803</v>
      </c>
      <c r="AY109" s="141" t="s">
        <v>149</v>
      </c>
      <c r="AZ109" s="141">
        <f t="shared" ref="AZ109" si="745">AX109+7</f>
        <v>45810</v>
      </c>
      <c r="BA109" s="141">
        <f t="shared" ref="BA109" si="746">AZ109+7</f>
        <v>45817</v>
      </c>
      <c r="BB109" s="141">
        <f t="shared" ref="BB109" si="747">BA109+7</f>
        <v>45824</v>
      </c>
      <c r="BC109" s="141" t="s">
        <v>149</v>
      </c>
      <c r="BD109" s="141">
        <f t="shared" ref="BD109" si="748">BB109+7</f>
        <v>45831</v>
      </c>
      <c r="BE109" s="141">
        <f t="shared" ref="BE109" si="749">BD109+7</f>
        <v>45838</v>
      </c>
      <c r="BF109" s="141">
        <f t="shared" ref="BF109" si="750">BE109+7</f>
        <v>45845</v>
      </c>
      <c r="BG109" s="141" t="s">
        <v>148</v>
      </c>
      <c r="BH109" s="141">
        <f t="shared" ref="BH109" si="751">BF109+7</f>
        <v>45852</v>
      </c>
      <c r="BI109" s="141">
        <f t="shared" ref="BI109" si="752">BH109+7</f>
        <v>45859</v>
      </c>
      <c r="BJ109" s="141">
        <f t="shared" ref="BJ109" si="753">BI109+7</f>
        <v>45866</v>
      </c>
      <c r="BK109" s="141" t="s">
        <v>148</v>
      </c>
      <c r="BL109" s="141">
        <f t="shared" ref="BL109" si="754">BJ109+7</f>
        <v>45873</v>
      </c>
      <c r="BM109" s="141">
        <f t="shared" ref="BM109" si="755">BL109+7</f>
        <v>45880</v>
      </c>
      <c r="BN109" s="141">
        <f t="shared" ref="BN109" si="756">BM109+7</f>
        <v>45887</v>
      </c>
      <c r="BO109" s="141" t="s">
        <v>149</v>
      </c>
      <c r="BP109" s="141">
        <f t="shared" ref="BP109" si="757">BN109+7</f>
        <v>45894</v>
      </c>
      <c r="BQ109" s="141">
        <f t="shared" ref="BQ109" si="758">BP109+7</f>
        <v>45901</v>
      </c>
      <c r="BR109" s="141">
        <f t="shared" ref="BR109" si="759">BQ109+7</f>
        <v>45908</v>
      </c>
      <c r="BS109" s="141" t="s">
        <v>148</v>
      </c>
      <c r="BT109" s="141">
        <f t="shared" ref="BT109" si="760">BR109+7</f>
        <v>45915</v>
      </c>
      <c r="BU109" s="141">
        <f t="shared" ref="BU109" si="761">BT109+7</f>
        <v>45922</v>
      </c>
      <c r="BV109" s="141">
        <f t="shared" ref="BV109" si="762">BU109+7</f>
        <v>45929</v>
      </c>
      <c r="BW109" s="141" t="s">
        <v>149</v>
      </c>
      <c r="BX109" s="141">
        <f t="shared" ref="BX109" si="763">BV109+7</f>
        <v>45936</v>
      </c>
      <c r="BY109" s="141">
        <f t="shared" ref="BY109" si="764">BX109+7</f>
        <v>45943</v>
      </c>
      <c r="BZ109" s="141">
        <f t="shared" ref="BZ109" si="765">BY109+7</f>
        <v>45950</v>
      </c>
      <c r="CA109" s="141" t="s">
        <v>149</v>
      </c>
      <c r="CB109" s="141"/>
      <c r="CC109" s="141"/>
      <c r="CD109" s="141"/>
      <c r="CE109" s="141"/>
      <c r="CF109" s="141"/>
      <c r="CG109" s="141"/>
      <c r="CH109" s="141"/>
      <c r="CI109" s="141"/>
      <c r="CJ109" s="141"/>
      <c r="CK109" s="141"/>
      <c r="CL109" s="141"/>
      <c r="CM109" s="141"/>
      <c r="CN109" s="141"/>
      <c r="CO109" s="141"/>
      <c r="CP109" s="141"/>
      <c r="CQ109" s="141"/>
      <c r="CR109" s="141"/>
      <c r="CS109" s="141"/>
      <c r="CT109" s="141"/>
      <c r="CU109" s="141"/>
      <c r="CV109" s="141"/>
      <c r="CW109" s="141"/>
      <c r="CX109" s="141"/>
      <c r="CY109" s="141"/>
      <c r="CZ109" s="141"/>
      <c r="DA109" s="141"/>
      <c r="DB109" s="141"/>
      <c r="DC109" s="141"/>
      <c r="DD109" s="141"/>
      <c r="DE109" s="141"/>
      <c r="DF109" s="141"/>
      <c r="DG109" s="141"/>
      <c r="DH109" s="141"/>
      <c r="DI109" s="141"/>
      <c r="DJ109" s="141"/>
      <c r="DK109" s="141"/>
      <c r="DL109" s="141"/>
      <c r="DM109" s="141"/>
      <c r="DN109" s="141"/>
      <c r="DO109" s="141"/>
      <c r="DP109" s="141"/>
      <c r="DQ109" s="141"/>
      <c r="DR109" s="141"/>
      <c r="DS109" s="141"/>
      <c r="DT109" s="141"/>
      <c r="DU109" s="141"/>
      <c r="DV109" s="40"/>
      <c r="DW109" s="40"/>
      <c r="DX109" s="40"/>
      <c r="DY109" s="40"/>
      <c r="DZ109" s="40"/>
      <c r="EA109" s="40"/>
      <c r="EB109" s="40"/>
      <c r="EC109" s="40"/>
      <c r="ED109" s="267"/>
      <c r="EE109" s="35"/>
      <c r="EF109" s="344"/>
      <c r="EG109" s="345"/>
      <c r="EH109" s="344"/>
    </row>
    <row r="110" spans="2:139" s="119" customFormat="1" ht="31.15">
      <c r="B110" s="353"/>
      <c r="C110" s="341"/>
      <c r="D110" s="343"/>
      <c r="E110" s="341"/>
      <c r="F110" s="341"/>
      <c r="G110" s="341"/>
      <c r="H110" s="325" t="s">
        <v>150</v>
      </c>
      <c r="I110" s="112">
        <v>45589</v>
      </c>
      <c r="J110" s="325"/>
      <c r="K110" s="112">
        <v>45600</v>
      </c>
      <c r="L110" s="277" t="s">
        <v>148</v>
      </c>
      <c r="M110" s="195">
        <v>45607</v>
      </c>
      <c r="N110" s="112">
        <v>45614</v>
      </c>
      <c r="O110" s="325" t="s">
        <v>149</v>
      </c>
      <c r="P110" s="112">
        <v>45623</v>
      </c>
      <c r="Q110" s="112">
        <v>45630</v>
      </c>
      <c r="R110" s="112"/>
      <c r="S110" s="325"/>
      <c r="T110" s="112"/>
      <c r="U110" s="112"/>
      <c r="V110" s="112"/>
      <c r="W110" s="46"/>
      <c r="X110" s="112"/>
      <c r="Y110" s="112"/>
      <c r="Z110" s="112"/>
      <c r="AA110" s="142"/>
      <c r="AB110" s="112"/>
      <c r="AC110" s="112"/>
      <c r="AD110" s="112"/>
      <c r="AE110" s="333"/>
      <c r="AF110" s="333"/>
      <c r="AG110" s="333"/>
      <c r="AH110" s="333"/>
      <c r="AI110" s="333"/>
      <c r="AJ110" s="333"/>
      <c r="AK110" s="333"/>
      <c r="AL110" s="333"/>
      <c r="AM110" s="333"/>
      <c r="AN110" s="333"/>
      <c r="AO110" s="333"/>
      <c r="AP110" s="333"/>
      <c r="AQ110" s="329"/>
      <c r="AR110" s="333"/>
      <c r="AS110" s="333"/>
      <c r="AT110" s="333"/>
      <c r="AU110" s="333"/>
      <c r="AV110" s="333"/>
      <c r="AW110" s="333"/>
      <c r="AX110" s="333"/>
      <c r="AY110" s="333"/>
      <c r="AZ110" s="143"/>
      <c r="BA110" s="143"/>
      <c r="BB110" s="143"/>
      <c r="BC110" s="333"/>
      <c r="BD110" s="333"/>
      <c r="BE110" s="333"/>
      <c r="BF110" s="333"/>
      <c r="BG110" s="333"/>
      <c r="BH110" s="333"/>
      <c r="BI110" s="333"/>
      <c r="BJ110" s="333"/>
      <c r="BK110" s="333"/>
      <c r="BL110" s="333"/>
      <c r="BM110" s="333"/>
      <c r="BN110" s="333"/>
      <c r="BO110" s="333"/>
      <c r="BP110" s="333"/>
      <c r="BQ110" s="333"/>
      <c r="BR110" s="333"/>
      <c r="BS110" s="333"/>
      <c r="BT110" s="333"/>
      <c r="BU110" s="333"/>
      <c r="BV110" s="333"/>
      <c r="BW110" s="333"/>
      <c r="BX110" s="333"/>
      <c r="BY110" s="333"/>
      <c r="BZ110" s="333"/>
      <c r="CA110" s="333"/>
      <c r="CB110" s="333"/>
      <c r="CC110" s="333"/>
      <c r="CD110" s="333"/>
      <c r="CE110" s="333"/>
      <c r="CF110" s="333"/>
      <c r="CG110" s="333"/>
      <c r="CH110" s="333"/>
      <c r="CI110" s="333"/>
      <c r="CJ110" s="333"/>
      <c r="CK110" s="333"/>
      <c r="CL110" s="333"/>
      <c r="CM110" s="333"/>
      <c r="CN110" s="333"/>
      <c r="CO110" s="333"/>
      <c r="CP110" s="333"/>
      <c r="CQ110" s="333"/>
      <c r="CR110" s="333"/>
      <c r="CS110" s="333"/>
      <c r="CT110" s="333"/>
      <c r="CU110" s="333"/>
      <c r="CV110" s="333"/>
      <c r="CW110" s="333"/>
      <c r="CX110" s="333"/>
      <c r="CY110" s="333"/>
      <c r="CZ110" s="333"/>
      <c r="DA110" s="333"/>
      <c r="DB110" s="333"/>
      <c r="DC110" s="333"/>
      <c r="DD110" s="333"/>
      <c r="DE110" s="333"/>
      <c r="DF110" s="333"/>
      <c r="DG110" s="333"/>
      <c r="DH110" s="333"/>
      <c r="DI110" s="333"/>
      <c r="DJ110" s="333"/>
      <c r="DK110" s="333"/>
      <c r="DL110" s="333"/>
      <c r="DM110" s="333"/>
      <c r="DN110" s="333"/>
      <c r="DO110" s="333"/>
      <c r="DP110" s="333"/>
      <c r="DQ110" s="333"/>
      <c r="DR110" s="333"/>
      <c r="DS110" s="333"/>
      <c r="DT110" s="333">
        <v>45635</v>
      </c>
      <c r="DU110" s="334" t="s">
        <v>183</v>
      </c>
      <c r="DV110" s="46">
        <v>45727</v>
      </c>
      <c r="DW110" s="46">
        <v>45813</v>
      </c>
      <c r="DX110" s="46"/>
      <c r="DY110" s="46"/>
      <c r="DZ110" s="46"/>
      <c r="EA110" s="46"/>
      <c r="EB110" s="46"/>
      <c r="EC110" s="46"/>
      <c r="ED110" s="142"/>
      <c r="EE110" s="142"/>
      <c r="EF110" s="344"/>
      <c r="EG110" s="345"/>
      <c r="EH110" s="345"/>
    </row>
    <row r="111" spans="2:139" s="119" customFormat="1" ht="31.15">
      <c r="B111" s="352" t="s">
        <v>257</v>
      </c>
      <c r="C111" s="340" t="s">
        <v>298</v>
      </c>
      <c r="D111" s="342" t="s">
        <v>242</v>
      </c>
      <c r="E111" s="340" t="s">
        <v>299</v>
      </c>
      <c r="F111" s="340" t="s">
        <v>210</v>
      </c>
      <c r="G111" s="340" t="s">
        <v>253</v>
      </c>
      <c r="H111" s="40" t="s">
        <v>147</v>
      </c>
      <c r="I111" s="31">
        <v>45581</v>
      </c>
      <c r="J111" s="94"/>
      <c r="K111" s="31">
        <v>45594</v>
      </c>
      <c r="L111" s="276" t="s">
        <v>148</v>
      </c>
      <c r="M111" s="94">
        <f t="shared" ref="M111" si="766">K111+7</f>
        <v>45601</v>
      </c>
      <c r="N111" s="94">
        <f t="shared" ref="N111" si="767">M111+7</f>
        <v>45608</v>
      </c>
      <c r="O111" s="94" t="s">
        <v>149</v>
      </c>
      <c r="P111" s="94">
        <f t="shared" ref="P111" si="768">N111+7</f>
        <v>45615</v>
      </c>
      <c r="Q111" s="94">
        <f t="shared" ref="Q111" si="769">P111+7</f>
        <v>45622</v>
      </c>
      <c r="R111" s="94">
        <f t="shared" ref="R111" si="770">Q111+7</f>
        <v>45629</v>
      </c>
      <c r="S111" s="141" t="s">
        <v>149</v>
      </c>
      <c r="T111" s="141">
        <f t="shared" ref="T111" si="771">R111+7</f>
        <v>45636</v>
      </c>
      <c r="U111" s="141">
        <f t="shared" ref="U111" si="772">T111+7</f>
        <v>45643</v>
      </c>
      <c r="V111" s="141">
        <f t="shared" ref="V111" si="773">U111+7</f>
        <v>45650</v>
      </c>
      <c r="W111" s="141" t="s">
        <v>149</v>
      </c>
      <c r="X111" s="141">
        <f t="shared" ref="X111" si="774">V111+7</f>
        <v>45657</v>
      </c>
      <c r="Y111" s="141">
        <f t="shared" ref="Y111" si="775">X111+7</f>
        <v>45664</v>
      </c>
      <c r="Z111" s="141">
        <f t="shared" ref="Z111" si="776">Y111+7</f>
        <v>45671</v>
      </c>
      <c r="AA111" s="141" t="s">
        <v>149</v>
      </c>
      <c r="AB111" s="141">
        <f t="shared" ref="AB111" si="777">Z111+7</f>
        <v>45678</v>
      </c>
      <c r="AC111" s="141">
        <f t="shared" ref="AC111" si="778">AB111+7</f>
        <v>45685</v>
      </c>
      <c r="AD111" s="141">
        <f t="shared" ref="AD111" si="779">AC111+7</f>
        <v>45692</v>
      </c>
      <c r="AE111" s="141" t="s">
        <v>149</v>
      </c>
      <c r="AF111" s="141">
        <f t="shared" ref="AF111" si="780">AD111+7</f>
        <v>45699</v>
      </c>
      <c r="AG111" s="141">
        <f t="shared" ref="AG111" si="781">AF111+7</f>
        <v>45706</v>
      </c>
      <c r="AH111" s="141">
        <f t="shared" ref="AH111" si="782">AG111+7</f>
        <v>45713</v>
      </c>
      <c r="AI111" s="141" t="s">
        <v>149</v>
      </c>
      <c r="AJ111" s="141">
        <f t="shared" ref="AJ111" si="783">AH111+7</f>
        <v>45720</v>
      </c>
      <c r="AK111" s="141">
        <f t="shared" ref="AK111" si="784">AJ111+7</f>
        <v>45727</v>
      </c>
      <c r="AL111" s="141">
        <f t="shared" ref="AL111" si="785">AK111+7</f>
        <v>45734</v>
      </c>
      <c r="AM111" s="141" t="s">
        <v>149</v>
      </c>
      <c r="AN111" s="141">
        <f t="shared" ref="AN111" si="786">AL111+7</f>
        <v>45741</v>
      </c>
      <c r="AO111" s="141">
        <f t="shared" ref="AO111" si="787">AN111+7</f>
        <v>45748</v>
      </c>
      <c r="AP111" s="141">
        <f t="shared" ref="AP111" si="788">AO111+7</f>
        <v>45755</v>
      </c>
      <c r="AQ111" s="141" t="s">
        <v>149</v>
      </c>
      <c r="AR111" s="141">
        <f t="shared" ref="AR111" si="789">AP111+7</f>
        <v>45762</v>
      </c>
      <c r="AS111" s="141">
        <f t="shared" ref="AS111" si="790">AR111+7</f>
        <v>45769</v>
      </c>
      <c r="AT111" s="141">
        <f t="shared" ref="AT111" si="791">AS111+7</f>
        <v>45776</v>
      </c>
      <c r="AU111" s="141" t="s">
        <v>149</v>
      </c>
      <c r="AV111" s="141">
        <f t="shared" ref="AV111" si="792">AT111+7</f>
        <v>45783</v>
      </c>
      <c r="AW111" s="141">
        <f t="shared" ref="AW111" si="793">AV111+7</f>
        <v>45790</v>
      </c>
      <c r="AX111" s="141">
        <f t="shared" ref="AX111" si="794">AW111+7</f>
        <v>45797</v>
      </c>
      <c r="AY111" s="141" t="s">
        <v>149</v>
      </c>
      <c r="AZ111" s="141">
        <f t="shared" ref="AZ111" si="795">AX111+7</f>
        <v>45804</v>
      </c>
      <c r="BA111" s="141">
        <f t="shared" ref="BA111" si="796">AZ111+7</f>
        <v>45811</v>
      </c>
      <c r="BB111" s="141">
        <f t="shared" ref="BB111" si="797">BA111+7</f>
        <v>45818</v>
      </c>
      <c r="BC111" s="141" t="s">
        <v>149</v>
      </c>
      <c r="BD111" s="141">
        <f t="shared" ref="BD111" si="798">BB111+7</f>
        <v>45825</v>
      </c>
      <c r="BE111" s="141">
        <f t="shared" ref="BE111" si="799">BD111+7</f>
        <v>45832</v>
      </c>
      <c r="BF111" s="141">
        <f t="shared" ref="BF111" si="800">BE111+7</f>
        <v>45839</v>
      </c>
      <c r="BG111" s="141" t="s">
        <v>148</v>
      </c>
      <c r="BH111" s="141">
        <f t="shared" ref="BH111" si="801">BF111+7</f>
        <v>45846</v>
      </c>
      <c r="BI111" s="141">
        <f t="shared" ref="BI111" si="802">BH111+7</f>
        <v>45853</v>
      </c>
      <c r="BJ111" s="141">
        <f t="shared" ref="BJ111" si="803">BI111+7</f>
        <v>45860</v>
      </c>
      <c r="BK111" s="141" t="s">
        <v>148</v>
      </c>
      <c r="BL111" s="141">
        <f t="shared" ref="BL111" si="804">BJ111+7</f>
        <v>45867</v>
      </c>
      <c r="BM111" s="141">
        <f t="shared" ref="BM111" si="805">BL111+7</f>
        <v>45874</v>
      </c>
      <c r="BN111" s="141">
        <f t="shared" ref="BN111" si="806">BM111+7</f>
        <v>45881</v>
      </c>
      <c r="BO111" s="141" t="s">
        <v>149</v>
      </c>
      <c r="BP111" s="141">
        <f t="shared" ref="BP111" si="807">BN111+7</f>
        <v>45888</v>
      </c>
      <c r="BQ111" s="141">
        <f t="shared" ref="BQ111" si="808">BP111+7</f>
        <v>45895</v>
      </c>
      <c r="BR111" s="141">
        <f t="shared" ref="BR111" si="809">BQ111+7</f>
        <v>45902</v>
      </c>
      <c r="BS111" s="141" t="s">
        <v>148</v>
      </c>
      <c r="BT111" s="141">
        <f t="shared" ref="BT111" si="810">BR111+7</f>
        <v>45909</v>
      </c>
      <c r="BU111" s="141">
        <f t="shared" ref="BU111" si="811">BT111+7</f>
        <v>45916</v>
      </c>
      <c r="BV111" s="141">
        <f t="shared" ref="BV111" si="812">BU111+7</f>
        <v>45923</v>
      </c>
      <c r="BW111" s="141" t="s">
        <v>149</v>
      </c>
      <c r="BX111" s="141">
        <f t="shared" ref="BX111" si="813">BV111+7</f>
        <v>45930</v>
      </c>
      <c r="BY111" s="141">
        <f t="shared" ref="BY111" si="814">BX111+7</f>
        <v>45937</v>
      </c>
      <c r="BZ111" s="141">
        <f t="shared" ref="BZ111" si="815">BY111+7</f>
        <v>45944</v>
      </c>
      <c r="CA111" s="141" t="s">
        <v>149</v>
      </c>
      <c r="CB111" s="141"/>
      <c r="CC111" s="141"/>
      <c r="CD111" s="141"/>
      <c r="CE111" s="141"/>
      <c r="CF111" s="141"/>
      <c r="CG111" s="141"/>
      <c r="CH111" s="141"/>
      <c r="CI111" s="141"/>
      <c r="CJ111" s="141"/>
      <c r="CK111" s="141"/>
      <c r="CL111" s="141"/>
      <c r="CM111" s="141"/>
      <c r="CN111" s="141"/>
      <c r="CO111" s="141"/>
      <c r="CP111" s="141"/>
      <c r="CQ111" s="141"/>
      <c r="CR111" s="141"/>
      <c r="CS111" s="141"/>
      <c r="CT111" s="141"/>
      <c r="CU111" s="141"/>
      <c r="CV111" s="141"/>
      <c r="CW111" s="141"/>
      <c r="CX111" s="141"/>
      <c r="CY111" s="141"/>
      <c r="CZ111" s="141"/>
      <c r="DA111" s="141"/>
      <c r="DB111" s="141"/>
      <c r="DC111" s="141"/>
      <c r="DD111" s="141"/>
      <c r="DE111" s="141"/>
      <c r="DF111" s="141"/>
      <c r="DG111" s="141"/>
      <c r="DH111" s="141"/>
      <c r="DI111" s="141"/>
      <c r="DJ111" s="141"/>
      <c r="DK111" s="141"/>
      <c r="DL111" s="141"/>
      <c r="DM111" s="141"/>
      <c r="DN111" s="141"/>
      <c r="DO111" s="141"/>
      <c r="DP111" s="141"/>
      <c r="DQ111" s="141"/>
      <c r="DR111" s="141"/>
      <c r="DS111" s="141"/>
      <c r="DT111" s="141"/>
      <c r="DU111" s="141"/>
      <c r="DV111" s="40"/>
      <c r="DW111" s="40"/>
      <c r="DX111" s="40"/>
      <c r="DY111" s="40"/>
      <c r="DZ111" s="40"/>
      <c r="EA111" s="40"/>
      <c r="EB111" s="40"/>
      <c r="EC111" s="40"/>
      <c r="ED111" s="267"/>
      <c r="EE111" s="35"/>
      <c r="EF111" s="344"/>
      <c r="EG111" s="345"/>
      <c r="EH111" s="344"/>
    </row>
    <row r="112" spans="2:139" s="119" customFormat="1" ht="31.15">
      <c r="B112" s="353"/>
      <c r="C112" s="341"/>
      <c r="D112" s="343"/>
      <c r="E112" s="341"/>
      <c r="F112" s="341"/>
      <c r="G112" s="341"/>
      <c r="H112" s="325" t="s">
        <v>150</v>
      </c>
      <c r="I112" s="112">
        <v>45581</v>
      </c>
      <c r="J112" s="325"/>
      <c r="K112" s="112">
        <v>45594</v>
      </c>
      <c r="L112" s="277" t="s">
        <v>148</v>
      </c>
      <c r="M112" s="195">
        <v>45601</v>
      </c>
      <c r="N112" s="112">
        <v>45608</v>
      </c>
      <c r="O112" s="325" t="s">
        <v>148</v>
      </c>
      <c r="P112" s="112">
        <v>45615</v>
      </c>
      <c r="Q112" s="112">
        <v>45622</v>
      </c>
      <c r="R112" s="112">
        <v>45629</v>
      </c>
      <c r="S112" s="325" t="s">
        <v>149</v>
      </c>
      <c r="T112" s="112">
        <v>45637</v>
      </c>
      <c r="U112" s="112">
        <v>45644</v>
      </c>
      <c r="V112" s="112">
        <v>45652</v>
      </c>
      <c r="W112" s="46" t="s">
        <v>149</v>
      </c>
      <c r="X112" s="112">
        <v>45659</v>
      </c>
      <c r="Y112" s="112">
        <v>45666</v>
      </c>
      <c r="Z112" s="112">
        <v>45673</v>
      </c>
      <c r="AA112" s="142" t="s">
        <v>149</v>
      </c>
      <c r="AB112" s="112">
        <v>45688</v>
      </c>
      <c r="AC112" s="112">
        <v>45695</v>
      </c>
      <c r="AD112" s="112"/>
      <c r="AE112" s="333" t="s">
        <v>149</v>
      </c>
      <c r="AF112" s="333">
        <v>45715</v>
      </c>
      <c r="AG112" s="333">
        <v>45722</v>
      </c>
      <c r="AH112" s="333" t="s">
        <v>183</v>
      </c>
      <c r="AI112" s="333" t="s">
        <v>149</v>
      </c>
      <c r="AJ112" s="333">
        <v>45736</v>
      </c>
      <c r="AK112" s="333">
        <v>45743</v>
      </c>
      <c r="AL112" s="333">
        <v>45750</v>
      </c>
      <c r="AM112" s="333" t="s">
        <v>149</v>
      </c>
      <c r="AN112" s="333">
        <v>45756</v>
      </c>
      <c r="AO112" s="333">
        <v>45763</v>
      </c>
      <c r="AP112" s="333" t="s">
        <v>272</v>
      </c>
      <c r="AQ112" s="329" t="s">
        <v>149</v>
      </c>
      <c r="AR112" s="333"/>
      <c r="AS112" s="333"/>
      <c r="AT112" s="333"/>
      <c r="AU112" s="333"/>
      <c r="AV112" s="333"/>
      <c r="AW112" s="333"/>
      <c r="AX112" s="333"/>
      <c r="AY112" s="333"/>
      <c r="AZ112" s="143"/>
      <c r="BA112" s="143"/>
      <c r="BB112" s="143"/>
      <c r="BC112" s="333"/>
      <c r="BD112" s="333"/>
      <c r="BE112" s="333"/>
      <c r="BF112" s="333"/>
      <c r="BG112" s="333"/>
      <c r="BH112" s="333"/>
      <c r="BI112" s="333"/>
      <c r="BJ112" s="333"/>
      <c r="BK112" s="333"/>
      <c r="BL112" s="333"/>
      <c r="BM112" s="333"/>
      <c r="BN112" s="333"/>
      <c r="BO112" s="333"/>
      <c r="BP112" s="333"/>
      <c r="BQ112" s="333"/>
      <c r="BR112" s="333"/>
      <c r="BS112" s="333"/>
      <c r="BT112" s="333"/>
      <c r="BU112" s="333"/>
      <c r="BV112" s="333"/>
      <c r="BW112" s="333"/>
      <c r="BX112" s="333"/>
      <c r="BY112" s="333"/>
      <c r="BZ112" s="333"/>
      <c r="CA112" s="333"/>
      <c r="CB112" s="333"/>
      <c r="CC112" s="333"/>
      <c r="CD112" s="333"/>
      <c r="CE112" s="333"/>
      <c r="CF112" s="333"/>
      <c r="CG112" s="333"/>
      <c r="CH112" s="333"/>
      <c r="CI112" s="333"/>
      <c r="CJ112" s="333"/>
      <c r="CK112" s="333"/>
      <c r="CL112" s="333"/>
      <c r="CM112" s="333"/>
      <c r="CN112" s="333"/>
      <c r="CO112" s="333"/>
      <c r="CP112" s="333"/>
      <c r="CQ112" s="333"/>
      <c r="CR112" s="333"/>
      <c r="CS112" s="333"/>
      <c r="CT112" s="333"/>
      <c r="CU112" s="333"/>
      <c r="CV112" s="333"/>
      <c r="CW112" s="333"/>
      <c r="CX112" s="333"/>
      <c r="CY112" s="333"/>
      <c r="CZ112" s="333"/>
      <c r="DA112" s="333"/>
      <c r="DB112" s="333"/>
      <c r="DC112" s="333"/>
      <c r="DD112" s="333"/>
      <c r="DE112" s="333"/>
      <c r="DF112" s="333"/>
      <c r="DG112" s="333"/>
      <c r="DH112" s="333"/>
      <c r="DI112" s="333"/>
      <c r="DJ112" s="333"/>
      <c r="DK112" s="333"/>
      <c r="DL112" s="333"/>
      <c r="DM112" s="333"/>
      <c r="DN112" s="333"/>
      <c r="DO112" s="333"/>
      <c r="DP112" s="333"/>
      <c r="DQ112" s="333"/>
      <c r="DR112" s="333"/>
      <c r="DS112" s="333"/>
      <c r="DT112" s="333">
        <v>45770</v>
      </c>
      <c r="DU112" s="334" t="s">
        <v>183</v>
      </c>
      <c r="DV112" s="334">
        <v>45854</v>
      </c>
      <c r="DW112" s="46">
        <v>45945</v>
      </c>
      <c r="DX112" s="46">
        <v>45996</v>
      </c>
      <c r="DY112" s="46"/>
      <c r="DZ112" s="46"/>
      <c r="EA112" s="46"/>
      <c r="EB112" s="46"/>
      <c r="EC112" s="46"/>
      <c r="ED112" s="142"/>
      <c r="EE112" s="142"/>
      <c r="EF112" s="344"/>
      <c r="EG112" s="345"/>
      <c r="EH112" s="345"/>
    </row>
    <row r="113" spans="2:138" ht="31.15">
      <c r="B113" s="356" t="s">
        <v>300</v>
      </c>
      <c r="C113" s="358" t="s">
        <v>301</v>
      </c>
      <c r="D113" s="360" t="s">
        <v>242</v>
      </c>
      <c r="E113" s="358" t="s">
        <v>299</v>
      </c>
      <c r="F113" s="358" t="s">
        <v>210</v>
      </c>
      <c r="G113" s="358" t="s">
        <v>146</v>
      </c>
      <c r="H113" s="181" t="s">
        <v>147</v>
      </c>
      <c r="I113" s="75">
        <v>45678</v>
      </c>
      <c r="J113" s="182"/>
      <c r="K113" s="75">
        <v>45694</v>
      </c>
      <c r="L113" s="273" t="s">
        <v>148</v>
      </c>
      <c r="M113" s="182">
        <f t="shared" ref="M113" si="816">K113+7</f>
        <v>45701</v>
      </c>
      <c r="N113" s="182">
        <f t="shared" ref="N113" si="817">M113+7</f>
        <v>45708</v>
      </c>
      <c r="O113" s="182" t="s">
        <v>149</v>
      </c>
      <c r="P113" s="182">
        <f t="shared" ref="P113" si="818">N113+7</f>
        <v>45715</v>
      </c>
      <c r="Q113" s="182">
        <f t="shared" ref="Q113" si="819">P113+7</f>
        <v>45722</v>
      </c>
      <c r="R113" s="182">
        <f t="shared" ref="R113" si="820">Q113+7</f>
        <v>45729</v>
      </c>
      <c r="S113" s="180" t="s">
        <v>149</v>
      </c>
      <c r="T113" s="180">
        <f t="shared" ref="T113" si="821">R113+7</f>
        <v>45736</v>
      </c>
      <c r="U113" s="180">
        <f t="shared" ref="U113" si="822">T113+7</f>
        <v>45743</v>
      </c>
      <c r="V113" s="180">
        <f t="shared" ref="V113" si="823">U113+7</f>
        <v>45750</v>
      </c>
      <c r="W113" s="180" t="s">
        <v>149</v>
      </c>
      <c r="X113" s="180">
        <f t="shared" ref="X113" si="824">V113+7</f>
        <v>45757</v>
      </c>
      <c r="Y113" s="180">
        <f t="shared" ref="Y113" si="825">X113+7</f>
        <v>45764</v>
      </c>
      <c r="Z113" s="180">
        <f t="shared" ref="Z113" si="826">Y113+7</f>
        <v>45771</v>
      </c>
      <c r="AA113" s="180" t="s">
        <v>149</v>
      </c>
      <c r="AB113" s="180">
        <f t="shared" ref="AB113" si="827">Z113+7</f>
        <v>45778</v>
      </c>
      <c r="AC113" s="180">
        <f t="shared" ref="AC113" si="828">AB113+7</f>
        <v>45785</v>
      </c>
      <c r="AD113" s="180">
        <f t="shared" ref="AD113" si="829">AC113+7</f>
        <v>45792</v>
      </c>
      <c r="AE113" s="180" t="s">
        <v>149</v>
      </c>
      <c r="AF113" s="180">
        <f t="shared" ref="AF113" si="830">AD113+7</f>
        <v>45799</v>
      </c>
      <c r="AG113" s="180">
        <f t="shared" ref="AG113" si="831">AF113+7</f>
        <v>45806</v>
      </c>
      <c r="AH113" s="180">
        <f t="shared" ref="AH113" si="832">AG113+7</f>
        <v>45813</v>
      </c>
      <c r="AI113" s="180" t="s">
        <v>149</v>
      </c>
      <c r="AJ113" s="180">
        <f t="shared" ref="AJ113" si="833">AH113+7</f>
        <v>45820</v>
      </c>
      <c r="AK113" s="180">
        <f t="shared" ref="AK113" si="834">AJ113+7</f>
        <v>45827</v>
      </c>
      <c r="AL113" s="180">
        <f t="shared" ref="AL113" si="835">AK113+7</f>
        <v>45834</v>
      </c>
      <c r="AM113" s="180" t="s">
        <v>149</v>
      </c>
      <c r="AN113" s="180">
        <f t="shared" ref="AN113" si="836">AL113+7</f>
        <v>45841</v>
      </c>
      <c r="AO113" s="180">
        <f t="shared" ref="AO113" si="837">AN113+7</f>
        <v>45848</v>
      </c>
      <c r="AP113" s="180">
        <f t="shared" ref="AP113" si="838">AO113+7</f>
        <v>45855</v>
      </c>
      <c r="AQ113" s="180" t="s">
        <v>149</v>
      </c>
      <c r="AR113" s="180">
        <f t="shared" ref="AR113" si="839">AP113+7</f>
        <v>45862</v>
      </c>
      <c r="AS113" s="180">
        <f t="shared" ref="AS113" si="840">AR113+7</f>
        <v>45869</v>
      </c>
      <c r="AT113" s="180">
        <f t="shared" ref="AT113" si="841">AS113+7</f>
        <v>45876</v>
      </c>
      <c r="AU113" s="180" t="s">
        <v>149</v>
      </c>
      <c r="AV113" s="180">
        <f t="shared" ref="AV113" si="842">AT113+7</f>
        <v>45883</v>
      </c>
      <c r="AW113" s="180">
        <f t="shared" ref="AW113" si="843">AV113+7</f>
        <v>45890</v>
      </c>
      <c r="AX113" s="180">
        <f t="shared" ref="AX113" si="844">AW113+7</f>
        <v>45897</v>
      </c>
      <c r="AY113" s="180" t="s">
        <v>149</v>
      </c>
      <c r="AZ113" s="180">
        <f t="shared" ref="AZ113" si="845">AX113+7</f>
        <v>45904</v>
      </c>
      <c r="BA113" s="180">
        <f t="shared" ref="BA113" si="846">AZ113+7</f>
        <v>45911</v>
      </c>
      <c r="BB113" s="180">
        <f t="shared" ref="BB113" si="847">BA113+7</f>
        <v>45918</v>
      </c>
      <c r="BC113" s="180" t="s">
        <v>149</v>
      </c>
      <c r="BD113" s="180">
        <f t="shared" ref="BD113" si="848">BB113+7</f>
        <v>45925</v>
      </c>
      <c r="BE113" s="180">
        <f t="shared" ref="BE113" si="849">BD113+7</f>
        <v>45932</v>
      </c>
      <c r="BF113" s="180">
        <f t="shared" ref="BF113" si="850">BE113+7</f>
        <v>45939</v>
      </c>
      <c r="BG113" s="180" t="s">
        <v>148</v>
      </c>
      <c r="BH113" s="180">
        <f t="shared" ref="BH113" si="851">BF113+7</f>
        <v>45946</v>
      </c>
      <c r="BI113" s="180">
        <f t="shared" ref="BI113" si="852">BH113+7</f>
        <v>45953</v>
      </c>
      <c r="BJ113" s="180">
        <f t="shared" ref="BJ113" si="853">BI113+7</f>
        <v>45960</v>
      </c>
      <c r="BK113" s="180" t="s">
        <v>148</v>
      </c>
      <c r="BL113" s="180">
        <f t="shared" ref="BL113" si="854">BJ113+7</f>
        <v>45967</v>
      </c>
      <c r="BM113" s="180">
        <f t="shared" ref="BM113" si="855">BL113+7</f>
        <v>45974</v>
      </c>
      <c r="BN113" s="180">
        <f t="shared" ref="BN113" si="856">BM113+7</f>
        <v>45981</v>
      </c>
      <c r="BO113" s="180" t="s">
        <v>149</v>
      </c>
      <c r="BP113" s="180">
        <f t="shared" ref="BP113" si="857">BN113+7</f>
        <v>45988</v>
      </c>
      <c r="BQ113" s="180">
        <f t="shared" ref="BQ113" si="858">BP113+7</f>
        <v>45995</v>
      </c>
      <c r="BR113" s="180">
        <f t="shared" ref="BR113" si="859">BQ113+7</f>
        <v>46002</v>
      </c>
      <c r="BS113" s="180" t="s">
        <v>148</v>
      </c>
      <c r="BT113" s="180">
        <f t="shared" ref="BT113" si="860">BR113+7</f>
        <v>46009</v>
      </c>
      <c r="BU113" s="180">
        <f t="shared" ref="BU113" si="861">BT113+7</f>
        <v>46016</v>
      </c>
      <c r="BV113" s="180">
        <f t="shared" ref="BV113" si="862">BU113+7</f>
        <v>46023</v>
      </c>
      <c r="BW113" s="180" t="s">
        <v>149</v>
      </c>
      <c r="BX113" s="180">
        <f t="shared" ref="BX113" si="863">BV113+7</f>
        <v>46030</v>
      </c>
      <c r="BY113" s="180">
        <f t="shared" ref="BY113" si="864">BX113+7</f>
        <v>46037</v>
      </c>
      <c r="BZ113" s="180">
        <f t="shared" ref="BZ113" si="865">BY113+7</f>
        <v>46044</v>
      </c>
      <c r="CA113" s="180" t="s">
        <v>149</v>
      </c>
      <c r="CB113" s="180"/>
      <c r="CC113" s="180"/>
      <c r="CD113" s="180"/>
      <c r="CE113" s="180"/>
      <c r="CF113" s="180"/>
      <c r="CG113" s="180"/>
      <c r="CH113" s="180"/>
      <c r="CI113" s="180"/>
      <c r="CJ113" s="180"/>
      <c r="CK113" s="180"/>
      <c r="CL113" s="180"/>
      <c r="CM113" s="180"/>
      <c r="CN113" s="180"/>
      <c r="CO113" s="180"/>
      <c r="CP113" s="180"/>
      <c r="CQ113" s="180"/>
      <c r="CR113" s="180"/>
      <c r="CS113" s="180"/>
      <c r="CT113" s="180"/>
      <c r="CU113" s="180"/>
      <c r="CV113" s="180"/>
      <c r="CW113" s="180"/>
      <c r="CX113" s="180"/>
      <c r="CY113" s="180"/>
      <c r="CZ113" s="180"/>
      <c r="DA113" s="180"/>
      <c r="DB113" s="180"/>
      <c r="DC113" s="180"/>
      <c r="DD113" s="180"/>
      <c r="DE113" s="180"/>
      <c r="DF113" s="180"/>
      <c r="DG113" s="180"/>
      <c r="DH113" s="180"/>
      <c r="DI113" s="180"/>
      <c r="DJ113" s="180"/>
      <c r="DK113" s="180"/>
      <c r="DL113" s="180"/>
      <c r="DM113" s="180"/>
      <c r="DN113" s="180"/>
      <c r="DO113" s="180"/>
      <c r="DP113" s="180"/>
      <c r="DQ113" s="180"/>
      <c r="DR113" s="180"/>
      <c r="DS113" s="180"/>
      <c r="DT113" s="127"/>
      <c r="DU113" s="127"/>
      <c r="DV113" s="125"/>
      <c r="DW113" s="125"/>
      <c r="DX113" s="125"/>
      <c r="DY113" s="125"/>
      <c r="DZ113" s="125"/>
      <c r="EA113" s="125"/>
      <c r="EB113" s="125"/>
      <c r="EC113" s="125"/>
      <c r="ED113" s="268"/>
      <c r="EE113" s="128"/>
      <c r="EF113" s="339"/>
      <c r="EG113" s="338"/>
      <c r="EH113" s="339"/>
    </row>
    <row r="114" spans="2:138" ht="31.15">
      <c r="B114" s="357"/>
      <c r="C114" s="359"/>
      <c r="D114" s="361"/>
      <c r="E114" s="359"/>
      <c r="F114" s="359"/>
      <c r="G114" s="359"/>
      <c r="H114" s="324" t="s">
        <v>150</v>
      </c>
      <c r="I114" s="169">
        <v>45678</v>
      </c>
      <c r="J114" s="324"/>
      <c r="K114" s="169">
        <v>45694</v>
      </c>
      <c r="L114" s="274" t="s">
        <v>148</v>
      </c>
      <c r="M114" s="202">
        <v>45701</v>
      </c>
      <c r="N114" s="169">
        <v>45708</v>
      </c>
      <c r="O114" s="324" t="s">
        <v>149</v>
      </c>
      <c r="P114" s="169">
        <v>45722</v>
      </c>
      <c r="Q114" s="169">
        <v>45729</v>
      </c>
      <c r="R114" s="169">
        <v>45736</v>
      </c>
      <c r="S114" s="324">
        <v>45743</v>
      </c>
      <c r="T114" s="169">
        <v>45750</v>
      </c>
      <c r="U114" s="169">
        <v>45756</v>
      </c>
      <c r="V114" s="169">
        <v>45763</v>
      </c>
      <c r="W114" s="152">
        <v>45770</v>
      </c>
      <c r="X114" s="169"/>
      <c r="Y114" s="169"/>
      <c r="Z114" s="169"/>
      <c r="AA114" s="176"/>
      <c r="AB114" s="169"/>
      <c r="AC114" s="169"/>
      <c r="AD114" s="169"/>
      <c r="AE114" s="177"/>
      <c r="AF114" s="177"/>
      <c r="AG114" s="177"/>
      <c r="AH114" s="177"/>
      <c r="AI114" s="177"/>
      <c r="AJ114" s="177"/>
      <c r="AK114" s="177"/>
      <c r="AL114" s="177"/>
      <c r="AM114" s="177"/>
      <c r="AN114" s="177"/>
      <c r="AO114" s="177"/>
      <c r="AP114" s="177"/>
      <c r="AQ114" s="178"/>
      <c r="AR114" s="177"/>
      <c r="AS114" s="177"/>
      <c r="AT114" s="177"/>
      <c r="AU114" s="177"/>
      <c r="AV114" s="177"/>
      <c r="AW114" s="177"/>
      <c r="AX114" s="177"/>
      <c r="AY114" s="177"/>
      <c r="AZ114" s="179"/>
      <c r="BA114" s="179"/>
      <c r="BB114" s="179"/>
      <c r="BC114" s="177"/>
      <c r="BD114" s="177"/>
      <c r="BE114" s="177"/>
      <c r="BF114" s="177"/>
      <c r="BG114" s="177"/>
      <c r="BH114" s="177"/>
      <c r="BI114" s="177"/>
      <c r="BJ114" s="177"/>
      <c r="BK114" s="177"/>
      <c r="BL114" s="177"/>
      <c r="BM114" s="177"/>
      <c r="BN114" s="177"/>
      <c r="BO114" s="177"/>
      <c r="BP114" s="177"/>
      <c r="BQ114" s="177"/>
      <c r="BR114" s="177"/>
      <c r="BS114" s="177"/>
      <c r="BT114" s="177"/>
      <c r="BU114" s="177"/>
      <c r="BV114" s="177"/>
      <c r="BW114" s="177"/>
      <c r="BX114" s="177"/>
      <c r="BY114" s="177"/>
      <c r="BZ114" s="177"/>
      <c r="CA114" s="177"/>
      <c r="CB114" s="177"/>
      <c r="CC114" s="177"/>
      <c r="CD114" s="177"/>
      <c r="CE114" s="177"/>
      <c r="CF114" s="177"/>
      <c r="CG114" s="177"/>
      <c r="CH114" s="177"/>
      <c r="CI114" s="177"/>
      <c r="CJ114" s="177"/>
      <c r="CK114" s="177"/>
      <c r="CL114" s="177"/>
      <c r="CM114" s="177"/>
      <c r="CN114" s="177"/>
      <c r="CO114" s="177"/>
      <c r="CP114" s="177"/>
      <c r="CQ114" s="177"/>
      <c r="CR114" s="177"/>
      <c r="CS114" s="177"/>
      <c r="CT114" s="177"/>
      <c r="CU114" s="177"/>
      <c r="CV114" s="177"/>
      <c r="CW114" s="177"/>
      <c r="CX114" s="177"/>
      <c r="CY114" s="177"/>
      <c r="CZ114" s="177"/>
      <c r="DA114" s="177"/>
      <c r="DB114" s="177"/>
      <c r="DC114" s="177"/>
      <c r="DD114" s="177"/>
      <c r="DE114" s="177"/>
      <c r="DF114" s="177"/>
      <c r="DG114" s="177"/>
      <c r="DH114" s="177"/>
      <c r="DI114" s="177"/>
      <c r="DJ114" s="177"/>
      <c r="DK114" s="177"/>
      <c r="DL114" s="177"/>
      <c r="DM114" s="177"/>
      <c r="DN114" s="177"/>
      <c r="DO114" s="177"/>
      <c r="DP114" s="177"/>
      <c r="DQ114" s="177"/>
      <c r="DR114" s="177"/>
      <c r="DS114" s="177"/>
      <c r="DT114" s="135" t="s">
        <v>148</v>
      </c>
      <c r="DU114" s="132" t="s">
        <v>183</v>
      </c>
      <c r="DV114" s="69">
        <v>45847</v>
      </c>
      <c r="DW114" s="69">
        <v>45945</v>
      </c>
      <c r="DX114" s="69">
        <v>46029</v>
      </c>
      <c r="DY114" s="69">
        <v>46106</v>
      </c>
      <c r="DZ114" s="69"/>
      <c r="EA114" s="69"/>
      <c r="EB114" s="69"/>
      <c r="EC114" s="69"/>
      <c r="ED114" s="22"/>
      <c r="EE114" s="22"/>
      <c r="EF114" s="339"/>
      <c r="EG114" s="338"/>
      <c r="EH114" s="338"/>
    </row>
    <row r="115" spans="2:138" ht="31.15">
      <c r="B115" s="356" t="s">
        <v>300</v>
      </c>
      <c r="C115" s="358" t="s">
        <v>302</v>
      </c>
      <c r="D115" s="360" t="s">
        <v>242</v>
      </c>
      <c r="E115" s="358" t="s">
        <v>303</v>
      </c>
      <c r="F115" s="358" t="s">
        <v>210</v>
      </c>
      <c r="G115" s="358" t="s">
        <v>146</v>
      </c>
      <c r="H115" s="181" t="s">
        <v>147</v>
      </c>
      <c r="I115" s="75">
        <v>45581</v>
      </c>
      <c r="J115" s="182"/>
      <c r="K115" s="75">
        <v>45691</v>
      </c>
      <c r="L115" s="273" t="s">
        <v>148</v>
      </c>
      <c r="M115" s="182">
        <f t="shared" ref="M115" si="866">K115+7</f>
        <v>45698</v>
      </c>
      <c r="N115" s="182">
        <f t="shared" ref="N115" si="867">M115+7</f>
        <v>45705</v>
      </c>
      <c r="O115" s="182" t="s">
        <v>149</v>
      </c>
      <c r="P115" s="182">
        <f t="shared" ref="P115" si="868">N115+7</f>
        <v>45712</v>
      </c>
      <c r="Q115" s="182">
        <f t="shared" ref="Q115" si="869">P115+7</f>
        <v>45719</v>
      </c>
      <c r="R115" s="182">
        <f t="shared" ref="R115" si="870">Q115+7</f>
        <v>45726</v>
      </c>
      <c r="S115" s="180" t="s">
        <v>149</v>
      </c>
      <c r="T115" s="180">
        <f t="shared" ref="T115" si="871">R115+7</f>
        <v>45733</v>
      </c>
      <c r="U115" s="180">
        <f t="shared" ref="U115" si="872">T115+7</f>
        <v>45740</v>
      </c>
      <c r="V115" s="180">
        <f t="shared" ref="V115" si="873">U115+7</f>
        <v>45747</v>
      </c>
      <c r="W115" s="180" t="s">
        <v>149</v>
      </c>
      <c r="X115" s="180">
        <f t="shared" ref="X115" si="874">V115+7</f>
        <v>45754</v>
      </c>
      <c r="Y115" s="180">
        <f t="shared" ref="Y115" si="875">X115+7</f>
        <v>45761</v>
      </c>
      <c r="Z115" s="180">
        <f t="shared" ref="Z115" si="876">Y115+7</f>
        <v>45768</v>
      </c>
      <c r="AA115" s="180" t="s">
        <v>149</v>
      </c>
      <c r="AB115" s="180">
        <f t="shared" ref="AB115" si="877">Z115+7</f>
        <v>45775</v>
      </c>
      <c r="AC115" s="180">
        <f t="shared" ref="AC115" si="878">AB115+7</f>
        <v>45782</v>
      </c>
      <c r="AD115" s="180">
        <f t="shared" ref="AD115" si="879">AC115+7</f>
        <v>45789</v>
      </c>
      <c r="AE115" s="180" t="s">
        <v>149</v>
      </c>
      <c r="AF115" s="180">
        <f t="shared" ref="AF115" si="880">AD115+7</f>
        <v>45796</v>
      </c>
      <c r="AG115" s="180">
        <f t="shared" ref="AG115" si="881">AF115+7</f>
        <v>45803</v>
      </c>
      <c r="AH115" s="180">
        <f t="shared" ref="AH115" si="882">AG115+7</f>
        <v>45810</v>
      </c>
      <c r="AI115" s="180" t="s">
        <v>149</v>
      </c>
      <c r="AJ115" s="180">
        <f t="shared" ref="AJ115" si="883">AH115+7</f>
        <v>45817</v>
      </c>
      <c r="AK115" s="180">
        <f t="shared" ref="AK115" si="884">AJ115+7</f>
        <v>45824</v>
      </c>
      <c r="AL115" s="180">
        <f t="shared" ref="AL115" si="885">AK115+7</f>
        <v>45831</v>
      </c>
      <c r="AM115" s="180" t="s">
        <v>149</v>
      </c>
      <c r="AN115" s="180">
        <f t="shared" ref="AN115" si="886">AL115+7</f>
        <v>45838</v>
      </c>
      <c r="AO115" s="180">
        <f t="shared" ref="AO115" si="887">AN115+7</f>
        <v>45845</v>
      </c>
      <c r="AP115" s="180">
        <f t="shared" ref="AP115" si="888">AO115+7</f>
        <v>45852</v>
      </c>
      <c r="AQ115" s="180" t="s">
        <v>149</v>
      </c>
      <c r="AR115" s="180">
        <f t="shared" ref="AR115" si="889">AP115+7</f>
        <v>45859</v>
      </c>
      <c r="AS115" s="180">
        <f t="shared" ref="AS115" si="890">AR115+7</f>
        <v>45866</v>
      </c>
      <c r="AT115" s="180">
        <f t="shared" ref="AT115" si="891">AS115+7</f>
        <v>45873</v>
      </c>
      <c r="AU115" s="180" t="s">
        <v>149</v>
      </c>
      <c r="AV115" s="180">
        <f t="shared" ref="AV115" si="892">AT115+7</f>
        <v>45880</v>
      </c>
      <c r="AW115" s="180">
        <f t="shared" ref="AW115" si="893">AV115+7</f>
        <v>45887</v>
      </c>
      <c r="AX115" s="180">
        <f t="shared" ref="AX115" si="894">AW115+7</f>
        <v>45894</v>
      </c>
      <c r="AY115" s="180" t="s">
        <v>149</v>
      </c>
      <c r="AZ115" s="180">
        <f t="shared" ref="AZ115" si="895">AX115+7</f>
        <v>45901</v>
      </c>
      <c r="BA115" s="180">
        <f t="shared" ref="BA115" si="896">AZ115+7</f>
        <v>45908</v>
      </c>
      <c r="BB115" s="180">
        <f t="shared" ref="BB115" si="897">BA115+7</f>
        <v>45915</v>
      </c>
      <c r="BC115" s="180" t="s">
        <v>149</v>
      </c>
      <c r="BD115" s="180">
        <f t="shared" ref="BD115" si="898">BB115+7</f>
        <v>45922</v>
      </c>
      <c r="BE115" s="180">
        <f t="shared" ref="BE115" si="899">BD115+7</f>
        <v>45929</v>
      </c>
      <c r="BF115" s="180">
        <f t="shared" ref="BF115" si="900">BE115+7</f>
        <v>45936</v>
      </c>
      <c r="BG115" s="180" t="s">
        <v>148</v>
      </c>
      <c r="BH115" s="180">
        <f t="shared" ref="BH115" si="901">BF115+7</f>
        <v>45943</v>
      </c>
      <c r="BI115" s="180">
        <f t="shared" ref="BI115" si="902">BH115+7</f>
        <v>45950</v>
      </c>
      <c r="BJ115" s="180">
        <f t="shared" ref="BJ115" si="903">BI115+7</f>
        <v>45957</v>
      </c>
      <c r="BK115" s="180" t="s">
        <v>148</v>
      </c>
      <c r="BL115" s="180">
        <f t="shared" ref="BL115" si="904">BJ115+7</f>
        <v>45964</v>
      </c>
      <c r="BM115" s="180">
        <f t="shared" ref="BM115" si="905">BL115+7</f>
        <v>45971</v>
      </c>
      <c r="BN115" s="180">
        <f t="shared" ref="BN115" si="906">BM115+7</f>
        <v>45978</v>
      </c>
      <c r="BO115" s="180" t="s">
        <v>149</v>
      </c>
      <c r="BP115" s="180">
        <f t="shared" ref="BP115" si="907">BN115+7</f>
        <v>45985</v>
      </c>
      <c r="BQ115" s="180">
        <f t="shared" ref="BQ115" si="908">BP115+7</f>
        <v>45992</v>
      </c>
      <c r="BR115" s="180">
        <f t="shared" ref="BR115" si="909">BQ115+7</f>
        <v>45999</v>
      </c>
      <c r="BS115" s="180" t="s">
        <v>148</v>
      </c>
      <c r="BT115" s="180">
        <f t="shared" ref="BT115" si="910">BR115+7</f>
        <v>46006</v>
      </c>
      <c r="BU115" s="180">
        <f t="shared" ref="BU115" si="911">BT115+7</f>
        <v>46013</v>
      </c>
      <c r="BV115" s="180">
        <f t="shared" ref="BV115" si="912">BU115+7</f>
        <v>46020</v>
      </c>
      <c r="BW115" s="180" t="s">
        <v>149</v>
      </c>
      <c r="BX115" s="180">
        <f t="shared" ref="BX115" si="913">BV115+7</f>
        <v>46027</v>
      </c>
      <c r="BY115" s="180">
        <f t="shared" ref="BY115" si="914">BX115+7</f>
        <v>46034</v>
      </c>
      <c r="BZ115" s="180">
        <f t="shared" ref="BZ115" si="915">BY115+7</f>
        <v>46041</v>
      </c>
      <c r="CA115" s="180" t="s">
        <v>149</v>
      </c>
      <c r="CB115" s="180"/>
      <c r="CC115" s="180"/>
      <c r="CD115" s="180"/>
      <c r="CE115" s="180"/>
      <c r="CF115" s="180"/>
      <c r="CG115" s="180"/>
      <c r="CH115" s="180"/>
      <c r="CI115" s="180"/>
      <c r="CJ115" s="180"/>
      <c r="CK115" s="180"/>
      <c r="CL115" s="180"/>
      <c r="CM115" s="180"/>
      <c r="CN115" s="180"/>
      <c r="CO115" s="180"/>
      <c r="CP115" s="180"/>
      <c r="CQ115" s="180"/>
      <c r="CR115" s="180"/>
      <c r="CS115" s="180"/>
      <c r="CT115" s="180"/>
      <c r="CU115" s="180"/>
      <c r="CV115" s="180"/>
      <c r="CW115" s="180"/>
      <c r="CX115" s="180"/>
      <c r="CY115" s="180"/>
      <c r="CZ115" s="180"/>
      <c r="DA115" s="180"/>
      <c r="DB115" s="180"/>
      <c r="DC115" s="180"/>
      <c r="DD115" s="180"/>
      <c r="DE115" s="180"/>
      <c r="DF115" s="180"/>
      <c r="DG115" s="180"/>
      <c r="DH115" s="180"/>
      <c r="DI115" s="180"/>
      <c r="DJ115" s="180"/>
      <c r="DK115" s="180"/>
      <c r="DL115" s="180"/>
      <c r="DM115" s="180"/>
      <c r="DN115" s="180"/>
      <c r="DO115" s="180"/>
      <c r="DP115" s="180"/>
      <c r="DQ115" s="180"/>
      <c r="DR115" s="180"/>
      <c r="DS115" s="180"/>
      <c r="DT115" s="127"/>
      <c r="DU115" s="127"/>
      <c r="DV115" s="125"/>
      <c r="DW115" s="125"/>
      <c r="DX115" s="125"/>
      <c r="DY115" s="125"/>
      <c r="DZ115" s="125"/>
      <c r="EA115" s="125"/>
      <c r="EB115" s="125"/>
      <c r="EC115" s="125"/>
      <c r="ED115" s="268"/>
      <c r="EE115" s="128"/>
      <c r="EF115" s="339"/>
      <c r="EG115" s="338"/>
      <c r="EH115" s="339"/>
    </row>
    <row r="116" spans="2:138" ht="31.15">
      <c r="B116" s="357"/>
      <c r="C116" s="359"/>
      <c r="D116" s="361"/>
      <c r="E116" s="359"/>
      <c r="F116" s="359"/>
      <c r="G116" s="359"/>
      <c r="H116" s="324" t="s">
        <v>150</v>
      </c>
      <c r="I116" s="169">
        <v>45581</v>
      </c>
      <c r="J116" s="324"/>
      <c r="K116" s="169">
        <v>45691</v>
      </c>
      <c r="L116" s="274" t="s">
        <v>148</v>
      </c>
      <c r="M116" s="202">
        <v>45708</v>
      </c>
      <c r="N116" s="169">
        <v>45715</v>
      </c>
      <c r="O116" s="324">
        <v>45722</v>
      </c>
      <c r="P116" s="169">
        <v>45736</v>
      </c>
      <c r="Q116" s="169">
        <v>45743</v>
      </c>
      <c r="R116" s="169">
        <v>45757</v>
      </c>
      <c r="S116" s="324">
        <v>45764</v>
      </c>
      <c r="T116" s="169"/>
      <c r="U116" s="169"/>
      <c r="V116" s="169"/>
      <c r="W116" s="152"/>
      <c r="X116" s="169"/>
      <c r="Y116" s="169"/>
      <c r="Z116" s="169"/>
      <c r="AA116" s="176"/>
      <c r="AB116" s="169"/>
      <c r="AC116" s="169"/>
      <c r="AD116" s="169"/>
      <c r="AE116" s="177"/>
      <c r="AF116" s="177"/>
      <c r="AG116" s="177"/>
      <c r="AH116" s="177"/>
      <c r="AI116" s="177"/>
      <c r="AJ116" s="177"/>
      <c r="AK116" s="177"/>
      <c r="AL116" s="177"/>
      <c r="AM116" s="177"/>
      <c r="AN116" s="177"/>
      <c r="AO116" s="177"/>
      <c r="AP116" s="177"/>
      <c r="AQ116" s="178"/>
      <c r="AR116" s="177"/>
      <c r="AS116" s="177"/>
      <c r="AT116" s="177"/>
      <c r="AU116" s="177"/>
      <c r="AV116" s="177"/>
      <c r="AW116" s="177"/>
      <c r="AX116" s="177"/>
      <c r="AY116" s="177"/>
      <c r="AZ116" s="179"/>
      <c r="BA116" s="179"/>
      <c r="BB116" s="179"/>
      <c r="BC116" s="177"/>
      <c r="BD116" s="177"/>
      <c r="BE116" s="177"/>
      <c r="BF116" s="177"/>
      <c r="BG116" s="177"/>
      <c r="BH116" s="177"/>
      <c r="BI116" s="177"/>
      <c r="BJ116" s="177"/>
      <c r="BK116" s="177"/>
      <c r="BL116" s="177"/>
      <c r="BM116" s="177"/>
      <c r="BN116" s="177"/>
      <c r="BO116" s="177"/>
      <c r="BP116" s="177"/>
      <c r="BQ116" s="177"/>
      <c r="BR116" s="177"/>
      <c r="BS116" s="177"/>
      <c r="BT116" s="177"/>
      <c r="BU116" s="177"/>
      <c r="BV116" s="177"/>
      <c r="BW116" s="177"/>
      <c r="BX116" s="177"/>
      <c r="BY116" s="177"/>
      <c r="BZ116" s="177"/>
      <c r="CA116" s="177"/>
      <c r="CB116" s="177"/>
      <c r="CC116" s="177"/>
      <c r="CD116" s="177"/>
      <c r="CE116" s="177"/>
      <c r="CF116" s="177"/>
      <c r="CG116" s="177"/>
      <c r="CH116" s="177"/>
      <c r="CI116" s="177"/>
      <c r="CJ116" s="177"/>
      <c r="CK116" s="177"/>
      <c r="CL116" s="177"/>
      <c r="CM116" s="177"/>
      <c r="CN116" s="177"/>
      <c r="CO116" s="177"/>
      <c r="CP116" s="177"/>
      <c r="CQ116" s="177"/>
      <c r="CR116" s="177"/>
      <c r="CS116" s="177"/>
      <c r="CT116" s="177"/>
      <c r="CU116" s="177"/>
      <c r="CV116" s="177"/>
      <c r="CW116" s="177"/>
      <c r="CX116" s="177"/>
      <c r="CY116" s="177"/>
      <c r="CZ116" s="177"/>
      <c r="DA116" s="177"/>
      <c r="DB116" s="177"/>
      <c r="DC116" s="177"/>
      <c r="DD116" s="177"/>
      <c r="DE116" s="177"/>
      <c r="DF116" s="177"/>
      <c r="DG116" s="177"/>
      <c r="DH116" s="177"/>
      <c r="DI116" s="177"/>
      <c r="DJ116" s="177"/>
      <c r="DK116" s="177"/>
      <c r="DL116" s="177"/>
      <c r="DM116" s="177"/>
      <c r="DN116" s="177"/>
      <c r="DO116" s="177"/>
      <c r="DP116" s="177"/>
      <c r="DQ116" s="177"/>
      <c r="DR116" s="177"/>
      <c r="DS116" s="177"/>
      <c r="DT116" s="28">
        <v>45771</v>
      </c>
      <c r="DU116" s="132" t="s">
        <v>183</v>
      </c>
      <c r="DV116" s="69">
        <v>45847</v>
      </c>
      <c r="DW116" s="69">
        <v>45945</v>
      </c>
      <c r="DX116" s="69">
        <v>46021</v>
      </c>
      <c r="DY116" s="69">
        <v>46098</v>
      </c>
      <c r="DZ116" s="69"/>
      <c r="EA116" s="69"/>
      <c r="EB116" s="69"/>
      <c r="EC116" s="69"/>
      <c r="ED116" s="22"/>
      <c r="EE116" s="22"/>
      <c r="EF116" s="339"/>
      <c r="EG116" s="338"/>
      <c r="EH116" s="338"/>
    </row>
    <row r="117" spans="2:138" s="119" customFormat="1" ht="31.15">
      <c r="B117" s="352" t="s">
        <v>286</v>
      </c>
      <c r="C117" s="340" t="s">
        <v>304</v>
      </c>
      <c r="D117" s="340" t="s">
        <v>157</v>
      </c>
      <c r="E117" s="340" t="s">
        <v>305</v>
      </c>
      <c r="F117" s="340" t="s">
        <v>210</v>
      </c>
      <c r="G117" s="340" t="s">
        <v>146</v>
      </c>
      <c r="H117" s="106" t="s">
        <v>147</v>
      </c>
      <c r="I117" s="107">
        <v>45511</v>
      </c>
      <c r="J117" s="108"/>
      <c r="K117" s="219">
        <v>45523</v>
      </c>
      <c r="L117" s="276" t="s">
        <v>148</v>
      </c>
      <c r="M117" s="220">
        <f>K117+7</f>
        <v>45530</v>
      </c>
      <c r="N117" s="220">
        <f>M117+7</f>
        <v>45537</v>
      </c>
      <c r="O117" s="220" t="s">
        <v>149</v>
      </c>
      <c r="P117" s="220">
        <f>N117+7</f>
        <v>45544</v>
      </c>
      <c r="Q117" s="220">
        <f>P117+7</f>
        <v>45551</v>
      </c>
      <c r="R117" s="220">
        <f>Q117+7</f>
        <v>45558</v>
      </c>
      <c r="S117" s="221" t="s">
        <v>149</v>
      </c>
      <c r="T117" s="221">
        <f>R117+7</f>
        <v>45565</v>
      </c>
      <c r="U117" s="221">
        <f>T117+7</f>
        <v>45572</v>
      </c>
      <c r="V117" s="221">
        <f>U117+7</f>
        <v>45579</v>
      </c>
      <c r="W117" s="221" t="s">
        <v>149</v>
      </c>
      <c r="X117" s="221">
        <f>V117+7</f>
        <v>45586</v>
      </c>
      <c r="Y117" s="221">
        <f>X117+7</f>
        <v>45593</v>
      </c>
      <c r="Z117" s="221">
        <f>Y117+7</f>
        <v>45600</v>
      </c>
      <c r="AA117" s="221" t="s">
        <v>149</v>
      </c>
      <c r="AB117" s="221">
        <f>Z117+7</f>
        <v>45607</v>
      </c>
      <c r="AC117" s="221">
        <f>AB117+7</f>
        <v>45614</v>
      </c>
      <c r="AD117" s="221">
        <f>AC117+7</f>
        <v>45621</v>
      </c>
      <c r="AE117" s="221" t="s">
        <v>149</v>
      </c>
      <c r="AF117" s="221">
        <f>AD117+7</f>
        <v>45628</v>
      </c>
      <c r="AG117" s="221">
        <f>AF117+7</f>
        <v>45635</v>
      </c>
      <c r="AH117" s="221">
        <f>AG117+7</f>
        <v>45642</v>
      </c>
      <c r="AI117" s="221" t="s">
        <v>149</v>
      </c>
      <c r="AJ117" s="221">
        <f>AH117+7</f>
        <v>45649</v>
      </c>
      <c r="AK117" s="221">
        <f>AJ117+7</f>
        <v>45656</v>
      </c>
      <c r="AL117" s="221">
        <f>AK117+7</f>
        <v>45663</v>
      </c>
      <c r="AM117" s="221" t="s">
        <v>149</v>
      </c>
      <c r="AN117" s="221">
        <f>AL117+7</f>
        <v>45670</v>
      </c>
      <c r="AO117" s="221">
        <f>AN117+7</f>
        <v>45677</v>
      </c>
      <c r="AP117" s="221">
        <f>AO117+7</f>
        <v>45684</v>
      </c>
      <c r="AQ117" s="221" t="s">
        <v>149</v>
      </c>
      <c r="AR117" s="221">
        <f>AP117+7</f>
        <v>45691</v>
      </c>
      <c r="AS117" s="221">
        <f>AR117+7</f>
        <v>45698</v>
      </c>
      <c r="AT117" s="221">
        <f>AS117+7</f>
        <v>45705</v>
      </c>
      <c r="AU117" s="222" t="s">
        <v>149</v>
      </c>
      <c r="AV117" s="221">
        <f>AT117+7</f>
        <v>45712</v>
      </c>
      <c r="AW117" s="221">
        <f>AV117+7</f>
        <v>45719</v>
      </c>
      <c r="AX117" s="221">
        <f>AW117+7</f>
        <v>45726</v>
      </c>
      <c r="AY117" s="222" t="s">
        <v>149</v>
      </c>
      <c r="AZ117" s="221">
        <f>AX117+7</f>
        <v>45733</v>
      </c>
      <c r="BA117" s="221">
        <f>AZ117+7</f>
        <v>45740</v>
      </c>
      <c r="BB117" s="221">
        <f>BA117+7</f>
        <v>45747</v>
      </c>
      <c r="BC117" s="222" t="s">
        <v>149</v>
      </c>
      <c r="BD117" s="222"/>
      <c r="BE117" s="222"/>
      <c r="BF117" s="222"/>
      <c r="BG117" s="222"/>
      <c r="BH117" s="222"/>
      <c r="BI117" s="222"/>
      <c r="BJ117" s="222"/>
      <c r="BK117" s="222"/>
      <c r="BL117" s="222"/>
      <c r="BM117" s="222"/>
      <c r="BN117" s="222"/>
      <c r="BO117" s="222"/>
      <c r="BP117" s="222"/>
      <c r="BQ117" s="222"/>
      <c r="BR117" s="222"/>
      <c r="BS117" s="222"/>
      <c r="BT117" s="222"/>
      <c r="BU117" s="222"/>
      <c r="BV117" s="222"/>
      <c r="BW117" s="222"/>
      <c r="BX117" s="222"/>
      <c r="BY117" s="222"/>
      <c r="BZ117" s="332"/>
      <c r="CA117" s="332"/>
      <c r="CB117" s="332"/>
      <c r="CC117" s="332"/>
      <c r="CD117" s="332"/>
      <c r="CE117" s="332"/>
      <c r="CF117" s="332"/>
      <c r="CG117" s="332"/>
      <c r="CH117" s="332"/>
      <c r="CI117" s="332"/>
      <c r="CJ117" s="332"/>
      <c r="CK117" s="332"/>
      <c r="CL117" s="332"/>
      <c r="CM117" s="332"/>
      <c r="CN117" s="332"/>
      <c r="CO117" s="332"/>
      <c r="CP117" s="332"/>
      <c r="CQ117" s="332"/>
      <c r="CR117" s="332"/>
      <c r="CS117" s="332"/>
      <c r="CT117" s="332"/>
      <c r="CU117" s="332"/>
      <c r="CV117" s="332"/>
      <c r="CW117" s="332"/>
      <c r="CX117" s="332"/>
      <c r="CY117" s="332"/>
      <c r="CZ117" s="332"/>
      <c r="DA117" s="332"/>
      <c r="DB117" s="332"/>
      <c r="DC117" s="332"/>
      <c r="DD117" s="332"/>
      <c r="DE117" s="332"/>
      <c r="DF117" s="332"/>
      <c r="DG117" s="332"/>
      <c r="DH117" s="332"/>
      <c r="DI117" s="332"/>
      <c r="DJ117" s="332"/>
      <c r="DK117" s="332"/>
      <c r="DL117" s="332"/>
      <c r="DM117" s="332"/>
      <c r="DN117" s="332"/>
      <c r="DO117" s="332"/>
      <c r="DP117" s="332"/>
      <c r="DQ117" s="332"/>
      <c r="DR117" s="332"/>
      <c r="DS117" s="332"/>
      <c r="DT117" s="53">
        <f>AX117+7</f>
        <v>45733</v>
      </c>
      <c r="DU117" s="53">
        <f>AW118+28</f>
        <v>28</v>
      </c>
      <c r="DV117" s="106">
        <f>EDATE(AW118,3)</f>
        <v>91</v>
      </c>
      <c r="DW117" s="106">
        <f>EDATE(DV117,3)</f>
        <v>182</v>
      </c>
      <c r="DX117" s="106">
        <f>EDATE(CA117,3)</f>
        <v>91</v>
      </c>
      <c r="DY117" s="106">
        <f t="shared" ref="DY117" si="916">EDATE(DX117,3)</f>
        <v>182</v>
      </c>
      <c r="DZ117" s="106">
        <f t="shared" ref="DZ117" si="917">EDATE(DY117,3)</f>
        <v>274</v>
      </c>
      <c r="EA117" s="106">
        <f t="shared" ref="EA117" si="918">EDATE(DZ117,3)</f>
        <v>365</v>
      </c>
      <c r="EB117" s="106">
        <f t="shared" ref="EB117" si="919">EDATE(EA117,3)</f>
        <v>455</v>
      </c>
      <c r="EC117" s="106">
        <f t="shared" ref="EC117" si="920">EDATE(EB117,3)</f>
        <v>547</v>
      </c>
      <c r="ED117" s="54"/>
      <c r="EE117" s="54"/>
      <c r="EF117" s="344"/>
      <c r="EG117" s="345"/>
      <c r="EH117" s="344"/>
    </row>
    <row r="118" spans="2:138" s="119" customFormat="1" ht="31.15">
      <c r="B118" s="353"/>
      <c r="C118" s="341"/>
      <c r="D118" s="341"/>
      <c r="E118" s="341"/>
      <c r="F118" s="341"/>
      <c r="G118" s="341"/>
      <c r="H118" s="325" t="s">
        <v>150</v>
      </c>
      <c r="I118" s="110">
        <v>45511</v>
      </c>
      <c r="J118" s="111"/>
      <c r="K118" s="112">
        <v>45523</v>
      </c>
      <c r="L118" s="277" t="s">
        <v>148</v>
      </c>
      <c r="M118" s="223"/>
      <c r="N118" s="223"/>
      <c r="O118" s="224"/>
      <c r="P118" s="223"/>
      <c r="Q118" s="223"/>
      <c r="R118" s="223"/>
      <c r="S118" s="224" t="s">
        <v>148</v>
      </c>
      <c r="T118" s="223"/>
      <c r="U118" s="223"/>
      <c r="V118" s="223"/>
      <c r="W118" s="224" t="s">
        <v>148</v>
      </c>
      <c r="X118" s="223"/>
      <c r="Y118" s="223"/>
      <c r="Z118" s="223"/>
      <c r="AA118" s="224" t="s">
        <v>148</v>
      </c>
      <c r="AB118" s="223"/>
      <c r="AC118" s="223"/>
      <c r="AD118" s="223"/>
      <c r="AE118" s="224" t="s">
        <v>148</v>
      </c>
      <c r="AF118" s="223"/>
      <c r="AG118" s="223"/>
      <c r="AH118" s="223"/>
      <c r="AI118" s="224" t="s">
        <v>148</v>
      </c>
      <c r="AJ118" s="223"/>
      <c r="AK118" s="223"/>
      <c r="AL118" s="223"/>
      <c r="AM118" s="224" t="s">
        <v>148</v>
      </c>
      <c r="AN118" s="223"/>
      <c r="AO118" s="223"/>
      <c r="AP118" s="223"/>
      <c r="AQ118" s="224" t="s">
        <v>148</v>
      </c>
      <c r="AR118" s="223"/>
      <c r="AS118" s="223"/>
      <c r="AT118" s="223"/>
      <c r="AU118" s="225" t="s">
        <v>148</v>
      </c>
      <c r="AV118" s="223"/>
      <c r="AW118" s="223"/>
      <c r="AX118" s="223"/>
      <c r="AY118" s="225" t="s">
        <v>148</v>
      </c>
      <c r="AZ118" s="223"/>
      <c r="BA118" s="223"/>
      <c r="BB118" s="223"/>
      <c r="BC118" s="225" t="s">
        <v>148</v>
      </c>
      <c r="BD118" s="226"/>
      <c r="BE118" s="226"/>
      <c r="BF118" s="226"/>
      <c r="BG118" s="226"/>
      <c r="BH118" s="226"/>
      <c r="BI118" s="226"/>
      <c r="BJ118" s="226"/>
      <c r="BK118" s="226"/>
      <c r="BL118" s="226"/>
      <c r="BM118" s="226"/>
      <c r="BN118" s="226"/>
      <c r="BO118" s="226"/>
      <c r="BP118" s="226"/>
      <c r="BQ118" s="226"/>
      <c r="BR118" s="226"/>
      <c r="BS118" s="226"/>
      <c r="BT118" s="226"/>
      <c r="BU118" s="226"/>
      <c r="BV118" s="226"/>
      <c r="BW118" s="226"/>
      <c r="BX118" s="226"/>
      <c r="BY118" s="226"/>
      <c r="BZ118" s="121"/>
      <c r="CA118" s="121"/>
      <c r="CB118" s="121"/>
      <c r="CC118" s="121"/>
      <c r="CD118" s="121"/>
      <c r="CE118" s="121"/>
      <c r="CF118" s="121"/>
      <c r="CG118" s="121"/>
      <c r="CH118" s="121"/>
      <c r="CI118" s="121"/>
      <c r="CJ118" s="121"/>
      <c r="CK118" s="121"/>
      <c r="CL118" s="121"/>
      <c r="CM118" s="121"/>
      <c r="CN118" s="121"/>
      <c r="CO118" s="121"/>
      <c r="CP118" s="121"/>
      <c r="CQ118" s="121"/>
      <c r="CR118" s="121"/>
      <c r="CS118" s="121"/>
      <c r="CT118" s="121"/>
      <c r="CU118" s="121"/>
      <c r="CV118" s="121"/>
      <c r="CW118" s="121"/>
      <c r="CX118" s="121"/>
      <c r="CY118" s="121"/>
      <c r="CZ118" s="121"/>
      <c r="DA118" s="121"/>
      <c r="DB118" s="121"/>
      <c r="DC118" s="121"/>
      <c r="DD118" s="121"/>
      <c r="DE118" s="121"/>
      <c r="DF118" s="121"/>
      <c r="DG118" s="121"/>
      <c r="DH118" s="121"/>
      <c r="DI118" s="121"/>
      <c r="DJ118" s="121"/>
      <c r="DK118" s="121"/>
      <c r="DL118" s="121"/>
      <c r="DM118" s="121"/>
      <c r="DN118" s="121"/>
      <c r="DO118" s="121"/>
      <c r="DP118" s="121"/>
      <c r="DQ118" s="121"/>
      <c r="DR118" s="121"/>
      <c r="DS118" s="121"/>
      <c r="DT118" s="112"/>
      <c r="DU118" s="134"/>
      <c r="DV118" s="325"/>
      <c r="DW118" s="325"/>
      <c r="DX118" s="325"/>
      <c r="DY118" s="325"/>
      <c r="DZ118" s="325"/>
      <c r="EA118" s="325"/>
      <c r="EB118" s="325"/>
      <c r="EC118" s="325"/>
      <c r="ED118" s="61"/>
      <c r="EE118" s="61"/>
      <c r="EF118" s="344"/>
      <c r="EG118" s="345"/>
      <c r="EH118" s="345"/>
    </row>
    <row r="119" spans="2:138" ht="31.15">
      <c r="B119" s="356" t="s">
        <v>286</v>
      </c>
      <c r="C119" s="358" t="s">
        <v>306</v>
      </c>
      <c r="D119" s="358" t="s">
        <v>157</v>
      </c>
      <c r="E119" s="358" t="s">
        <v>305</v>
      </c>
      <c r="F119" s="358" t="s">
        <v>174</v>
      </c>
      <c r="G119" s="358" t="s">
        <v>146</v>
      </c>
      <c r="H119" s="164" t="s">
        <v>147</v>
      </c>
      <c r="I119" s="171">
        <v>45565</v>
      </c>
      <c r="J119" s="172"/>
      <c r="K119" s="228">
        <v>45572</v>
      </c>
      <c r="L119" s="273" t="s">
        <v>148</v>
      </c>
      <c r="M119" s="229">
        <f>K119+7</f>
        <v>45579</v>
      </c>
      <c r="N119" s="229">
        <f>M119+7</f>
        <v>45586</v>
      </c>
      <c r="O119" s="229" t="s">
        <v>149</v>
      </c>
      <c r="P119" s="229">
        <f>N119+7</f>
        <v>45593</v>
      </c>
      <c r="Q119" s="229">
        <f>P119+7</f>
        <v>45600</v>
      </c>
      <c r="R119" s="229">
        <f>Q119+7</f>
        <v>45607</v>
      </c>
      <c r="S119" s="230" t="s">
        <v>149</v>
      </c>
      <c r="T119" s="230">
        <f>R119+7</f>
        <v>45614</v>
      </c>
      <c r="U119" s="230">
        <f>T119+7</f>
        <v>45621</v>
      </c>
      <c r="V119" s="230">
        <f>U119+7</f>
        <v>45628</v>
      </c>
      <c r="W119" s="230" t="s">
        <v>149</v>
      </c>
      <c r="X119" s="230">
        <f>V119+7</f>
        <v>45635</v>
      </c>
      <c r="Y119" s="230">
        <f>X119+7</f>
        <v>45642</v>
      </c>
      <c r="Z119" s="230">
        <f>Y119+7</f>
        <v>45649</v>
      </c>
      <c r="AA119" s="230" t="s">
        <v>149</v>
      </c>
      <c r="AB119" s="230">
        <f>Z119+7</f>
        <v>45656</v>
      </c>
      <c r="AC119" s="230">
        <f>AB119+7</f>
        <v>45663</v>
      </c>
      <c r="AD119" s="230">
        <f>AC119+7</f>
        <v>45670</v>
      </c>
      <c r="AE119" s="230" t="s">
        <v>149</v>
      </c>
      <c r="AF119" s="230">
        <f>AD119+7</f>
        <v>45677</v>
      </c>
      <c r="AG119" s="230">
        <f>AF119+7</f>
        <v>45684</v>
      </c>
      <c r="AH119" s="230">
        <f>AG119+7</f>
        <v>45691</v>
      </c>
      <c r="AI119" s="230" t="s">
        <v>149</v>
      </c>
      <c r="AJ119" s="230">
        <f>AH119+7</f>
        <v>45698</v>
      </c>
      <c r="AK119" s="230">
        <f>AJ119+7</f>
        <v>45705</v>
      </c>
      <c r="AL119" s="230">
        <f>AK119+7</f>
        <v>45712</v>
      </c>
      <c r="AM119" s="230" t="s">
        <v>149</v>
      </c>
      <c r="AN119" s="230">
        <f>AL119+7</f>
        <v>45719</v>
      </c>
      <c r="AO119" s="230">
        <f>AN119+7</f>
        <v>45726</v>
      </c>
      <c r="AP119" s="230">
        <f>AO119+7</f>
        <v>45733</v>
      </c>
      <c r="AQ119" s="230" t="s">
        <v>149</v>
      </c>
      <c r="AR119" s="230">
        <f>AP119+7</f>
        <v>45740</v>
      </c>
      <c r="AS119" s="230">
        <f>AR119+7</f>
        <v>45747</v>
      </c>
      <c r="AT119" s="230">
        <f>AS119+7</f>
        <v>45754</v>
      </c>
      <c r="AU119" s="231" t="s">
        <v>149</v>
      </c>
      <c r="AV119" s="230">
        <f>AT119+7</f>
        <v>45761</v>
      </c>
      <c r="AW119" s="230">
        <f>AV119+7</f>
        <v>45768</v>
      </c>
      <c r="AX119" s="230">
        <f>AW119+7</f>
        <v>45775</v>
      </c>
      <c r="AY119" s="231" t="s">
        <v>149</v>
      </c>
      <c r="AZ119" s="230">
        <f>AX119+7</f>
        <v>45782</v>
      </c>
      <c r="BA119" s="230">
        <f>AZ119+7</f>
        <v>45789</v>
      </c>
      <c r="BB119" s="230">
        <f>BA119+7</f>
        <v>45796</v>
      </c>
      <c r="BC119" s="231" t="s">
        <v>149</v>
      </c>
      <c r="BD119" s="231"/>
      <c r="BE119" s="231"/>
      <c r="BF119" s="231"/>
      <c r="BG119" s="231"/>
      <c r="BH119" s="231"/>
      <c r="BI119" s="231"/>
      <c r="BJ119" s="231"/>
      <c r="BK119" s="231"/>
      <c r="BL119" s="231"/>
      <c r="BM119" s="231"/>
      <c r="BN119" s="231"/>
      <c r="BO119" s="231"/>
      <c r="BP119" s="231"/>
      <c r="BQ119" s="231"/>
      <c r="BR119" s="231"/>
      <c r="BS119" s="231"/>
      <c r="BT119" s="231"/>
      <c r="BU119" s="231"/>
      <c r="BV119" s="231"/>
      <c r="BW119" s="231"/>
      <c r="BX119" s="231"/>
      <c r="BY119" s="231"/>
      <c r="BZ119" s="168"/>
      <c r="CA119" s="168"/>
      <c r="CB119" s="168"/>
      <c r="CC119" s="168"/>
      <c r="CD119" s="168"/>
      <c r="CE119" s="168"/>
      <c r="CF119" s="168"/>
      <c r="CG119" s="168"/>
      <c r="CH119" s="168"/>
      <c r="CI119" s="168"/>
      <c r="CJ119" s="168"/>
      <c r="CK119" s="168"/>
      <c r="CL119" s="168"/>
      <c r="CM119" s="168"/>
      <c r="CN119" s="168"/>
      <c r="CO119" s="168"/>
      <c r="CP119" s="168"/>
      <c r="CQ119" s="168"/>
      <c r="CR119" s="168"/>
      <c r="CS119" s="168"/>
      <c r="CT119" s="168"/>
      <c r="CU119" s="168"/>
      <c r="CV119" s="168"/>
      <c r="CW119" s="168"/>
      <c r="CX119" s="168"/>
      <c r="CY119" s="168"/>
      <c r="CZ119" s="168"/>
      <c r="DA119" s="168"/>
      <c r="DB119" s="168"/>
      <c r="DC119" s="168"/>
      <c r="DD119" s="168"/>
      <c r="DE119" s="168"/>
      <c r="DF119" s="168"/>
      <c r="DG119" s="168"/>
      <c r="DH119" s="168"/>
      <c r="DI119" s="168"/>
      <c r="DJ119" s="168"/>
      <c r="DK119" s="168"/>
      <c r="DL119" s="168"/>
      <c r="DM119" s="168"/>
      <c r="DN119" s="168"/>
      <c r="DO119" s="168"/>
      <c r="DP119" s="168"/>
      <c r="DQ119" s="168"/>
      <c r="DR119" s="168"/>
      <c r="DS119" s="168"/>
      <c r="DT119" s="211">
        <v>45635</v>
      </c>
      <c r="DU119" s="211">
        <v>45649</v>
      </c>
      <c r="DV119" s="209">
        <v>45713</v>
      </c>
      <c r="DW119" s="209"/>
      <c r="DX119" s="209"/>
      <c r="DY119" s="209"/>
      <c r="DZ119" s="209"/>
      <c r="EA119" s="209"/>
      <c r="EB119" s="209"/>
      <c r="EC119" s="209"/>
      <c r="ED119" s="21"/>
      <c r="EE119" s="21"/>
      <c r="EF119" s="339"/>
      <c r="EG119" s="338"/>
      <c r="EH119" s="339"/>
    </row>
    <row r="120" spans="2:138" s="227" customFormat="1" ht="31.15">
      <c r="B120" s="357"/>
      <c r="C120" s="359"/>
      <c r="D120" s="359"/>
      <c r="E120" s="359"/>
      <c r="F120" s="359"/>
      <c r="G120" s="359"/>
      <c r="H120" s="324" t="s">
        <v>150</v>
      </c>
      <c r="I120" s="174">
        <v>45565</v>
      </c>
      <c r="J120" s="175"/>
      <c r="K120" s="169">
        <v>45572</v>
      </c>
      <c r="L120" s="274" t="s">
        <v>148</v>
      </c>
      <c r="M120" s="169">
        <v>45579</v>
      </c>
      <c r="N120" s="169">
        <v>45586</v>
      </c>
      <c r="O120" s="324" t="s">
        <v>149</v>
      </c>
      <c r="P120" s="169">
        <v>45593</v>
      </c>
      <c r="Q120" s="169">
        <v>45600</v>
      </c>
      <c r="R120" s="169">
        <v>45607</v>
      </c>
      <c r="S120" s="324" t="s">
        <v>148</v>
      </c>
      <c r="T120" s="169">
        <v>45614</v>
      </c>
      <c r="U120" s="169">
        <v>45621</v>
      </c>
      <c r="V120" s="169">
        <v>45628</v>
      </c>
      <c r="W120" s="324" t="s">
        <v>148</v>
      </c>
      <c r="X120" s="169"/>
      <c r="Y120" s="169"/>
      <c r="Z120" s="169"/>
      <c r="AA120" s="324" t="s">
        <v>148</v>
      </c>
      <c r="AB120" s="169"/>
      <c r="AC120" s="169"/>
      <c r="AD120" s="169"/>
      <c r="AE120" s="324" t="s">
        <v>148</v>
      </c>
      <c r="AF120" s="169"/>
      <c r="AG120" s="169"/>
      <c r="AH120" s="169"/>
      <c r="AI120" s="324" t="s">
        <v>148</v>
      </c>
      <c r="AJ120" s="169"/>
      <c r="AK120" s="169"/>
      <c r="AL120" s="169"/>
      <c r="AM120" s="324" t="s">
        <v>148</v>
      </c>
      <c r="AN120" s="169"/>
      <c r="AO120" s="169"/>
      <c r="AP120" s="169"/>
      <c r="AQ120" s="324" t="s">
        <v>148</v>
      </c>
      <c r="AR120" s="169"/>
      <c r="AS120" s="169"/>
      <c r="AT120" s="169"/>
      <c r="AU120" s="80" t="s">
        <v>148</v>
      </c>
      <c r="AV120" s="169"/>
      <c r="AW120" s="169"/>
      <c r="AX120" s="169"/>
      <c r="AY120" s="80" t="s">
        <v>148</v>
      </c>
      <c r="AZ120" s="169"/>
      <c r="BA120" s="169"/>
      <c r="BB120" s="169"/>
      <c r="BC120" s="80" t="s">
        <v>148</v>
      </c>
      <c r="BD120" s="170"/>
      <c r="BE120" s="170"/>
      <c r="BF120" s="170"/>
      <c r="BG120" s="170"/>
      <c r="BH120" s="170"/>
      <c r="BI120" s="170"/>
      <c r="BJ120" s="170"/>
      <c r="BK120" s="170"/>
      <c r="BL120" s="170"/>
      <c r="BM120" s="170"/>
      <c r="BN120" s="170"/>
      <c r="BO120" s="170"/>
      <c r="BP120" s="170"/>
      <c r="BQ120" s="170"/>
      <c r="BR120" s="170"/>
      <c r="BS120" s="170"/>
      <c r="BT120" s="170"/>
      <c r="BU120" s="170"/>
      <c r="BV120" s="170"/>
      <c r="BW120" s="170"/>
      <c r="BX120" s="170"/>
      <c r="BY120" s="170"/>
      <c r="BZ120" s="170"/>
      <c r="CA120" s="170"/>
      <c r="CB120" s="170"/>
      <c r="CC120" s="170"/>
      <c r="CD120" s="170"/>
      <c r="CE120" s="170"/>
      <c r="CF120" s="170"/>
      <c r="CG120" s="170"/>
      <c r="CH120" s="170"/>
      <c r="CI120" s="170"/>
      <c r="CJ120" s="170"/>
      <c r="CK120" s="170"/>
      <c r="CL120" s="170"/>
      <c r="CM120" s="170"/>
      <c r="CN120" s="170"/>
      <c r="CO120" s="170"/>
      <c r="CP120" s="170"/>
      <c r="CQ120" s="170"/>
      <c r="CR120" s="170"/>
      <c r="CS120" s="170"/>
      <c r="CT120" s="170"/>
      <c r="CU120" s="170"/>
      <c r="CV120" s="170"/>
      <c r="CW120" s="170"/>
      <c r="CX120" s="170"/>
      <c r="CY120" s="170"/>
      <c r="CZ120" s="170"/>
      <c r="DA120" s="170"/>
      <c r="DB120" s="170"/>
      <c r="DC120" s="170"/>
      <c r="DD120" s="170"/>
      <c r="DE120" s="170"/>
      <c r="DF120" s="170"/>
      <c r="DG120" s="170"/>
      <c r="DH120" s="170"/>
      <c r="DI120" s="170"/>
      <c r="DJ120" s="170"/>
      <c r="DK120" s="170"/>
      <c r="DL120" s="170"/>
      <c r="DM120" s="170"/>
      <c r="DN120" s="170"/>
      <c r="DO120" s="170"/>
      <c r="DP120" s="170"/>
      <c r="DQ120" s="170"/>
      <c r="DR120" s="170"/>
      <c r="DS120" s="170"/>
      <c r="DT120" s="113">
        <v>45635</v>
      </c>
      <c r="DU120" s="140">
        <v>45649</v>
      </c>
      <c r="DV120" s="320">
        <v>45713</v>
      </c>
      <c r="DW120" s="320">
        <v>45798</v>
      </c>
      <c r="DX120" s="336"/>
      <c r="DY120" s="320"/>
      <c r="DZ120" s="320"/>
      <c r="EA120" s="320"/>
      <c r="EB120" s="320"/>
      <c r="EC120" s="320"/>
      <c r="ED120" s="214"/>
      <c r="EE120" s="214"/>
      <c r="EF120" s="339"/>
      <c r="EG120" s="338"/>
      <c r="EH120" s="338"/>
    </row>
    <row r="121" spans="2:138" s="283" customFormat="1" ht="31.15">
      <c r="B121" s="352" t="s">
        <v>307</v>
      </c>
      <c r="C121" s="340" t="s">
        <v>308</v>
      </c>
      <c r="D121" s="342" t="s">
        <v>309</v>
      </c>
      <c r="E121" s="340" t="s">
        <v>310</v>
      </c>
      <c r="F121" s="340" t="s">
        <v>250</v>
      </c>
      <c r="G121" s="340" t="s">
        <v>146</v>
      </c>
      <c r="H121" s="40" t="s">
        <v>147</v>
      </c>
      <c r="I121" s="31">
        <v>45586</v>
      </c>
      <c r="J121" s="94"/>
      <c r="K121" s="233">
        <v>45601</v>
      </c>
      <c r="L121" s="276" t="s">
        <v>148</v>
      </c>
      <c r="M121" s="94">
        <f t="shared" ref="M121" si="921">K121+7</f>
        <v>45608</v>
      </c>
      <c r="N121" s="94">
        <f t="shared" ref="N121" si="922">M121+7</f>
        <v>45615</v>
      </c>
      <c r="O121" s="94" t="s">
        <v>149</v>
      </c>
      <c r="P121" s="94">
        <f t="shared" ref="P121" si="923">N121+7</f>
        <v>45622</v>
      </c>
      <c r="Q121" s="94">
        <f t="shared" ref="Q121" si="924">P121+7</f>
        <v>45629</v>
      </c>
      <c r="R121" s="94">
        <f t="shared" ref="R121" si="925">Q121+7</f>
        <v>45636</v>
      </c>
      <c r="S121" s="141" t="s">
        <v>149</v>
      </c>
      <c r="T121" s="141">
        <f t="shared" ref="T121" si="926">R121+7</f>
        <v>45643</v>
      </c>
      <c r="U121" s="141">
        <f t="shared" ref="U121" si="927">T121+7</f>
        <v>45650</v>
      </c>
      <c r="V121" s="141">
        <f t="shared" ref="V121" si="928">U121+7</f>
        <v>45657</v>
      </c>
      <c r="W121" s="141" t="s">
        <v>149</v>
      </c>
      <c r="X121" s="141">
        <f t="shared" ref="X121" si="929">V121+7</f>
        <v>45664</v>
      </c>
      <c r="Y121" s="141">
        <f t="shared" ref="Y121" si="930">X121+7</f>
        <v>45671</v>
      </c>
      <c r="Z121" s="141">
        <f t="shared" ref="Z121" si="931">Y121+7</f>
        <v>45678</v>
      </c>
      <c r="AA121" s="141" t="s">
        <v>149</v>
      </c>
      <c r="AB121" s="141">
        <f t="shared" ref="AB121" si="932">Z121+7</f>
        <v>45685</v>
      </c>
      <c r="AC121" s="141">
        <f t="shared" ref="AC121" si="933">AB121+7</f>
        <v>45692</v>
      </c>
      <c r="AD121" s="141">
        <f t="shared" ref="AD121" si="934">AC121+7</f>
        <v>45699</v>
      </c>
      <c r="AE121" s="141" t="s">
        <v>149</v>
      </c>
      <c r="AF121" s="141">
        <f t="shared" ref="AF121" si="935">AD121+7</f>
        <v>45706</v>
      </c>
      <c r="AG121" s="141">
        <f t="shared" ref="AG121" si="936">AF121+7</f>
        <v>45713</v>
      </c>
      <c r="AH121" s="141">
        <f t="shared" ref="AH121" si="937">AG121+7</f>
        <v>45720</v>
      </c>
      <c r="AI121" s="141" t="s">
        <v>149</v>
      </c>
      <c r="AJ121" s="141">
        <f t="shared" ref="AJ121" si="938">AH121+7</f>
        <v>45727</v>
      </c>
      <c r="AK121" s="141">
        <f t="shared" ref="AK121" si="939">AJ121+7</f>
        <v>45734</v>
      </c>
      <c r="AL121" s="141">
        <f t="shared" ref="AL121" si="940">AK121+7</f>
        <v>45741</v>
      </c>
      <c r="AM121" s="141" t="s">
        <v>149</v>
      </c>
      <c r="AN121" s="141">
        <f t="shared" ref="AN121" si="941">AL121+7</f>
        <v>45748</v>
      </c>
      <c r="AO121" s="141">
        <f t="shared" ref="AO121" si="942">AN121+7</f>
        <v>45755</v>
      </c>
      <c r="AP121" s="141">
        <f t="shared" ref="AP121" si="943">AO121+7</f>
        <v>45762</v>
      </c>
      <c r="AQ121" s="141" t="s">
        <v>149</v>
      </c>
      <c r="AR121" s="141">
        <f t="shared" ref="AR121" si="944">AP121+7</f>
        <v>45769</v>
      </c>
      <c r="AS121" s="141">
        <f t="shared" ref="AS121" si="945">AR121+7</f>
        <v>45776</v>
      </c>
      <c r="AT121" s="141">
        <f t="shared" ref="AT121" si="946">AS121+7</f>
        <v>45783</v>
      </c>
      <c r="AU121" s="141" t="s">
        <v>149</v>
      </c>
      <c r="AV121" s="141">
        <f t="shared" ref="AV121" si="947">AT121+7</f>
        <v>45790</v>
      </c>
      <c r="AW121" s="141">
        <f t="shared" ref="AW121" si="948">AV121+7</f>
        <v>45797</v>
      </c>
      <c r="AX121" s="141">
        <f t="shared" ref="AX121" si="949">AW121+7</f>
        <v>45804</v>
      </c>
      <c r="AY121" s="141" t="s">
        <v>149</v>
      </c>
      <c r="AZ121" s="141">
        <f t="shared" ref="AZ121" si="950">AX121+7</f>
        <v>45811</v>
      </c>
      <c r="BA121" s="141">
        <f t="shared" ref="BA121" si="951">AZ121+7</f>
        <v>45818</v>
      </c>
      <c r="BB121" s="141">
        <f t="shared" ref="BB121" si="952">BA121+7</f>
        <v>45825</v>
      </c>
      <c r="BC121" s="141" t="s">
        <v>149</v>
      </c>
      <c r="BD121" s="141">
        <f t="shared" ref="BD121" si="953">BB121+7</f>
        <v>45832</v>
      </c>
      <c r="BE121" s="141">
        <f t="shared" ref="BE121" si="954">BD121+7</f>
        <v>45839</v>
      </c>
      <c r="BF121" s="141">
        <f t="shared" ref="BF121" si="955">BE121+7</f>
        <v>45846</v>
      </c>
      <c r="BG121" s="141" t="s">
        <v>148</v>
      </c>
      <c r="BH121" s="141">
        <f t="shared" ref="BH121" si="956">BF121+7</f>
        <v>45853</v>
      </c>
      <c r="BI121" s="141">
        <f t="shared" ref="BI121" si="957">BH121+7</f>
        <v>45860</v>
      </c>
      <c r="BJ121" s="141">
        <f t="shared" ref="BJ121" si="958">BI121+7</f>
        <v>45867</v>
      </c>
      <c r="BK121" s="141" t="s">
        <v>148</v>
      </c>
      <c r="BL121" s="141">
        <f t="shared" ref="BL121" si="959">BJ121+7</f>
        <v>45874</v>
      </c>
      <c r="BM121" s="141">
        <f t="shared" ref="BM121" si="960">BL121+7</f>
        <v>45881</v>
      </c>
      <c r="BN121" s="141">
        <f t="shared" ref="BN121" si="961">BM121+7</f>
        <v>45888</v>
      </c>
      <c r="BO121" s="141" t="s">
        <v>149</v>
      </c>
      <c r="BP121" s="141">
        <f t="shared" ref="BP121" si="962">BN121+7</f>
        <v>45895</v>
      </c>
      <c r="BQ121" s="141">
        <f t="shared" ref="BQ121" si="963">BP121+7</f>
        <v>45902</v>
      </c>
      <c r="BR121" s="141">
        <f t="shared" ref="BR121" si="964">BQ121+7</f>
        <v>45909</v>
      </c>
      <c r="BS121" s="141" t="s">
        <v>148</v>
      </c>
      <c r="BT121" s="141">
        <f t="shared" ref="BT121" si="965">BR121+7</f>
        <v>45916</v>
      </c>
      <c r="BU121" s="141">
        <f t="shared" ref="BU121" si="966">BT121+7</f>
        <v>45923</v>
      </c>
      <c r="BV121" s="141">
        <f t="shared" ref="BV121" si="967">BU121+7</f>
        <v>45930</v>
      </c>
      <c r="BW121" s="141" t="s">
        <v>149</v>
      </c>
      <c r="BX121" s="141">
        <f t="shared" ref="BX121" si="968">BV121+7</f>
        <v>45937</v>
      </c>
      <c r="BY121" s="141">
        <f t="shared" ref="BY121" si="969">BX121+7</f>
        <v>45944</v>
      </c>
      <c r="BZ121" s="141">
        <f t="shared" ref="BZ121" si="970">BY121+7</f>
        <v>45951</v>
      </c>
      <c r="CA121" s="141" t="s">
        <v>149</v>
      </c>
      <c r="CB121" s="141"/>
      <c r="CC121" s="141"/>
      <c r="CD121" s="141"/>
      <c r="CE121" s="141"/>
      <c r="CF121" s="141"/>
      <c r="CG121" s="141"/>
      <c r="CH121" s="141"/>
      <c r="CI121" s="141"/>
      <c r="CJ121" s="141"/>
      <c r="CK121" s="141"/>
      <c r="CL121" s="141"/>
      <c r="CM121" s="141"/>
      <c r="CN121" s="141"/>
      <c r="CO121" s="141"/>
      <c r="CP121" s="141"/>
      <c r="CQ121" s="141"/>
      <c r="CR121" s="141"/>
      <c r="CS121" s="141"/>
      <c r="CT121" s="141"/>
      <c r="CU121" s="141"/>
      <c r="CV121" s="141"/>
      <c r="CW121" s="141"/>
      <c r="CX121" s="141"/>
      <c r="CY121" s="141"/>
      <c r="CZ121" s="141"/>
      <c r="DA121" s="141"/>
      <c r="DB121" s="141"/>
      <c r="DC121" s="141"/>
      <c r="DD121" s="141"/>
      <c r="DE121" s="141"/>
      <c r="DF121" s="141"/>
      <c r="DG121" s="141"/>
      <c r="DH121" s="141"/>
      <c r="DI121" s="141"/>
      <c r="DJ121" s="141"/>
      <c r="DK121" s="141"/>
      <c r="DL121" s="141"/>
      <c r="DM121" s="141"/>
      <c r="DN121" s="141"/>
      <c r="DO121" s="141"/>
      <c r="DP121" s="141"/>
      <c r="DQ121" s="141"/>
      <c r="DR121" s="141"/>
      <c r="DS121" s="141"/>
      <c r="DT121" s="141">
        <v>45756</v>
      </c>
      <c r="DU121" s="141">
        <v>45756</v>
      </c>
      <c r="DV121" s="40">
        <v>45818</v>
      </c>
      <c r="DW121" s="40"/>
      <c r="DX121" s="40"/>
      <c r="DY121" s="40"/>
      <c r="DZ121" s="40"/>
      <c r="EA121" s="40"/>
      <c r="EB121" s="40"/>
      <c r="EC121" s="40"/>
      <c r="ED121" s="267"/>
      <c r="EE121" s="35"/>
      <c r="EF121" s="344"/>
      <c r="EG121" s="345"/>
      <c r="EH121" s="344"/>
    </row>
    <row r="122" spans="2:138" s="283" customFormat="1" ht="31.15">
      <c r="B122" s="353"/>
      <c r="C122" s="341"/>
      <c r="D122" s="343"/>
      <c r="E122" s="341"/>
      <c r="F122" s="341"/>
      <c r="G122" s="341"/>
      <c r="H122" s="325" t="s">
        <v>150</v>
      </c>
      <c r="I122" s="112">
        <v>45586</v>
      </c>
      <c r="J122" s="325"/>
      <c r="K122" s="112">
        <v>45601</v>
      </c>
      <c r="L122" s="277" t="s">
        <v>148</v>
      </c>
      <c r="M122" s="195">
        <v>45608</v>
      </c>
      <c r="N122" s="112">
        <v>45622</v>
      </c>
      <c r="O122" s="325">
        <v>45629</v>
      </c>
      <c r="P122" s="112">
        <v>45643</v>
      </c>
      <c r="Q122" s="112">
        <v>45650</v>
      </c>
      <c r="R122" s="112">
        <v>45657</v>
      </c>
      <c r="S122" s="325">
        <v>45664</v>
      </c>
      <c r="T122" s="112">
        <v>45678</v>
      </c>
      <c r="U122" s="112">
        <v>45688</v>
      </c>
      <c r="V122" s="112">
        <v>45707</v>
      </c>
      <c r="W122" s="46">
        <v>45714</v>
      </c>
      <c r="X122" s="112">
        <v>45721</v>
      </c>
      <c r="Y122" s="112">
        <v>45728</v>
      </c>
      <c r="Z122" s="112">
        <v>45735</v>
      </c>
      <c r="AA122" s="142"/>
      <c r="AB122" s="112"/>
      <c r="AC122" s="112"/>
      <c r="AD122" s="112"/>
      <c r="AE122" s="333"/>
      <c r="AF122" s="333"/>
      <c r="AG122" s="333"/>
      <c r="AH122" s="333"/>
      <c r="AI122" s="333"/>
      <c r="AJ122" s="333"/>
      <c r="AK122" s="333"/>
      <c r="AL122" s="333"/>
      <c r="AM122" s="333"/>
      <c r="AN122" s="333"/>
      <c r="AO122" s="333"/>
      <c r="AP122" s="333"/>
      <c r="AQ122" s="329"/>
      <c r="AR122" s="333"/>
      <c r="AS122" s="333"/>
      <c r="AT122" s="333"/>
      <c r="AU122" s="333"/>
      <c r="AV122" s="333"/>
      <c r="AW122" s="333"/>
      <c r="AX122" s="333"/>
      <c r="AY122" s="333"/>
      <c r="AZ122" s="143"/>
      <c r="BA122" s="143"/>
      <c r="BB122" s="143"/>
      <c r="BC122" s="333"/>
      <c r="BD122" s="333"/>
      <c r="BE122" s="333"/>
      <c r="BF122" s="333"/>
      <c r="BG122" s="333"/>
      <c r="BH122" s="333"/>
      <c r="BI122" s="333"/>
      <c r="BJ122" s="333"/>
      <c r="BK122" s="333"/>
      <c r="BL122" s="333"/>
      <c r="BM122" s="333"/>
      <c r="BN122" s="333"/>
      <c r="BO122" s="333"/>
      <c r="BP122" s="333"/>
      <c r="BQ122" s="333"/>
      <c r="BR122" s="333"/>
      <c r="BS122" s="333"/>
      <c r="BT122" s="333"/>
      <c r="BU122" s="333"/>
      <c r="BV122" s="333"/>
      <c r="BW122" s="333"/>
      <c r="BX122" s="333"/>
      <c r="BY122" s="333"/>
      <c r="BZ122" s="333"/>
      <c r="CA122" s="333"/>
      <c r="CB122" s="333"/>
      <c r="CC122" s="333"/>
      <c r="CD122" s="333"/>
      <c r="CE122" s="333"/>
      <c r="CF122" s="333"/>
      <c r="CG122" s="333"/>
      <c r="CH122" s="333"/>
      <c r="CI122" s="333"/>
      <c r="CJ122" s="333"/>
      <c r="CK122" s="333"/>
      <c r="CL122" s="333"/>
      <c r="CM122" s="333"/>
      <c r="CN122" s="333"/>
      <c r="CO122" s="333"/>
      <c r="CP122" s="333"/>
      <c r="CQ122" s="333"/>
      <c r="CR122" s="333"/>
      <c r="CS122" s="333"/>
      <c r="CT122" s="333"/>
      <c r="CU122" s="333"/>
      <c r="CV122" s="333"/>
      <c r="CW122" s="333"/>
      <c r="CX122" s="333"/>
      <c r="CY122" s="333"/>
      <c r="CZ122" s="333"/>
      <c r="DA122" s="333"/>
      <c r="DB122" s="333"/>
      <c r="DC122" s="333"/>
      <c r="DD122" s="333"/>
      <c r="DE122" s="333"/>
      <c r="DF122" s="333"/>
      <c r="DG122" s="333"/>
      <c r="DH122" s="333"/>
      <c r="DI122" s="333"/>
      <c r="DJ122" s="333"/>
      <c r="DK122" s="333"/>
      <c r="DL122" s="333"/>
      <c r="DM122" s="333"/>
      <c r="DN122" s="333"/>
      <c r="DO122" s="333"/>
      <c r="DP122" s="333"/>
      <c r="DQ122" s="333"/>
      <c r="DR122" s="333"/>
      <c r="DS122" s="333"/>
      <c r="DT122" s="333">
        <v>45756</v>
      </c>
      <c r="DU122" s="334">
        <v>45756</v>
      </c>
      <c r="DV122" s="46">
        <v>45818</v>
      </c>
      <c r="DW122" s="46">
        <v>45854</v>
      </c>
      <c r="DX122" s="46"/>
      <c r="DY122" s="46"/>
      <c r="DZ122" s="46"/>
      <c r="EA122" s="46"/>
      <c r="EB122" s="46"/>
      <c r="EC122" s="46"/>
      <c r="ED122" s="142"/>
      <c r="EE122" s="142"/>
      <c r="EF122" s="344"/>
      <c r="EG122" s="345"/>
      <c r="EH122" s="345"/>
    </row>
    <row r="123" spans="2:138" s="119" customFormat="1" ht="31.15">
      <c r="B123" s="352" t="s">
        <v>311</v>
      </c>
      <c r="C123" s="340" t="s">
        <v>312</v>
      </c>
      <c r="D123" s="340" t="s">
        <v>157</v>
      </c>
      <c r="E123" s="340" t="s">
        <v>305</v>
      </c>
      <c r="F123" s="340" t="s">
        <v>174</v>
      </c>
      <c r="G123" s="340" t="s">
        <v>146</v>
      </c>
      <c r="H123" s="106" t="s">
        <v>147</v>
      </c>
      <c r="I123" s="107">
        <v>45672</v>
      </c>
      <c r="J123" s="108"/>
      <c r="K123" s="219">
        <v>45684</v>
      </c>
      <c r="L123" s="276" t="s">
        <v>148</v>
      </c>
      <c r="M123" s="220">
        <f>K123+7</f>
        <v>45691</v>
      </c>
      <c r="N123" s="220">
        <f>M123+7</f>
        <v>45698</v>
      </c>
      <c r="O123" s="220" t="s">
        <v>149</v>
      </c>
      <c r="P123" s="220">
        <f>N123+7</f>
        <v>45705</v>
      </c>
      <c r="Q123" s="220">
        <f>P123+7</f>
        <v>45712</v>
      </c>
      <c r="R123" s="220">
        <f>Q123+7</f>
        <v>45719</v>
      </c>
      <c r="S123" s="221" t="s">
        <v>149</v>
      </c>
      <c r="T123" s="221">
        <f>R123+7</f>
        <v>45726</v>
      </c>
      <c r="U123" s="221">
        <f>T123+7</f>
        <v>45733</v>
      </c>
      <c r="V123" s="221">
        <f>U123+7</f>
        <v>45740</v>
      </c>
      <c r="W123" s="221" t="s">
        <v>149</v>
      </c>
      <c r="X123" s="221">
        <f>V123+7</f>
        <v>45747</v>
      </c>
      <c r="Y123" s="221">
        <f>X123+7</f>
        <v>45754</v>
      </c>
      <c r="Z123" s="221">
        <f>Y123+7</f>
        <v>45761</v>
      </c>
      <c r="AA123" s="221" t="s">
        <v>149</v>
      </c>
      <c r="AB123" s="221">
        <f>Z123+7</f>
        <v>45768</v>
      </c>
      <c r="AC123" s="221">
        <f>AB123+7</f>
        <v>45775</v>
      </c>
      <c r="AD123" s="221">
        <f>AC123+7</f>
        <v>45782</v>
      </c>
      <c r="AE123" s="221" t="s">
        <v>149</v>
      </c>
      <c r="AF123" s="221">
        <f>AD123+7</f>
        <v>45789</v>
      </c>
      <c r="AG123" s="221">
        <f>AF123+7</f>
        <v>45796</v>
      </c>
      <c r="AH123" s="221">
        <f>AG123+7</f>
        <v>45803</v>
      </c>
      <c r="AI123" s="221" t="s">
        <v>149</v>
      </c>
      <c r="AJ123" s="221">
        <f>AH123+7</f>
        <v>45810</v>
      </c>
      <c r="AK123" s="221">
        <f>AJ123+7</f>
        <v>45817</v>
      </c>
      <c r="AL123" s="221">
        <f>AK123+7</f>
        <v>45824</v>
      </c>
      <c r="AM123" s="221" t="s">
        <v>149</v>
      </c>
      <c r="AN123" s="221">
        <f>AL123+7</f>
        <v>45831</v>
      </c>
      <c r="AO123" s="221">
        <f>AN123+7</f>
        <v>45838</v>
      </c>
      <c r="AP123" s="221">
        <f>AO123+7</f>
        <v>45845</v>
      </c>
      <c r="AQ123" s="221" t="s">
        <v>149</v>
      </c>
      <c r="AR123" s="221">
        <f>AP123+7</f>
        <v>45852</v>
      </c>
      <c r="AS123" s="221">
        <f>AR123+7</f>
        <v>45859</v>
      </c>
      <c r="AT123" s="221">
        <f>AS123+7</f>
        <v>45866</v>
      </c>
      <c r="AU123" s="222" t="s">
        <v>149</v>
      </c>
      <c r="AV123" s="221">
        <f>AT123+7</f>
        <v>45873</v>
      </c>
      <c r="AW123" s="221">
        <f>AV123+7</f>
        <v>45880</v>
      </c>
      <c r="AX123" s="221">
        <f>AW123+7</f>
        <v>45887</v>
      </c>
      <c r="AY123" s="222" t="s">
        <v>149</v>
      </c>
      <c r="AZ123" s="221">
        <f>AX123+7</f>
        <v>45894</v>
      </c>
      <c r="BA123" s="221">
        <f>AZ123+7</f>
        <v>45901</v>
      </c>
      <c r="BB123" s="221">
        <f>BA123+7</f>
        <v>45908</v>
      </c>
      <c r="BC123" s="222" t="s">
        <v>149</v>
      </c>
      <c r="BD123" s="222"/>
      <c r="BE123" s="222"/>
      <c r="BF123" s="222"/>
      <c r="BG123" s="222"/>
      <c r="BH123" s="222"/>
      <c r="BI123" s="222"/>
      <c r="BJ123" s="222"/>
      <c r="BK123" s="222"/>
      <c r="BL123" s="222"/>
      <c r="BM123" s="222"/>
      <c r="BN123" s="222"/>
      <c r="BO123" s="222"/>
      <c r="BP123" s="222"/>
      <c r="BQ123" s="222"/>
      <c r="BR123" s="222"/>
      <c r="BS123" s="222"/>
      <c r="BT123" s="222"/>
      <c r="BU123" s="222"/>
      <c r="BV123" s="222"/>
      <c r="BW123" s="222"/>
      <c r="BX123" s="222"/>
      <c r="BY123" s="222"/>
      <c r="BZ123" s="332"/>
      <c r="CA123" s="332"/>
      <c r="CB123" s="332"/>
      <c r="CC123" s="332"/>
      <c r="CD123" s="332"/>
      <c r="CE123" s="332"/>
      <c r="CF123" s="332"/>
      <c r="CG123" s="332"/>
      <c r="CH123" s="332"/>
      <c r="CI123" s="332"/>
      <c r="CJ123" s="332"/>
      <c r="CK123" s="332"/>
      <c r="CL123" s="332"/>
      <c r="CM123" s="332"/>
      <c r="CN123" s="332"/>
      <c r="CO123" s="332"/>
      <c r="CP123" s="332"/>
      <c r="CQ123" s="332"/>
      <c r="CR123" s="332"/>
      <c r="CS123" s="332"/>
      <c r="CT123" s="332"/>
      <c r="CU123" s="332"/>
      <c r="CV123" s="332"/>
      <c r="CW123" s="332"/>
      <c r="CX123" s="332"/>
      <c r="CY123" s="332"/>
      <c r="CZ123" s="332"/>
      <c r="DA123" s="332"/>
      <c r="DB123" s="332"/>
      <c r="DC123" s="332"/>
      <c r="DD123" s="332"/>
      <c r="DE123" s="332"/>
      <c r="DF123" s="332"/>
      <c r="DG123" s="332"/>
      <c r="DH123" s="332"/>
      <c r="DI123" s="332"/>
      <c r="DJ123" s="332"/>
      <c r="DK123" s="332"/>
      <c r="DL123" s="332"/>
      <c r="DM123" s="332"/>
      <c r="DN123" s="332"/>
      <c r="DO123" s="332"/>
      <c r="DP123" s="332"/>
      <c r="DQ123" s="332"/>
      <c r="DR123" s="332"/>
      <c r="DS123" s="332"/>
      <c r="DT123" s="53">
        <v>45894</v>
      </c>
      <c r="DU123" s="53">
        <v>45910</v>
      </c>
      <c r="DV123" s="106">
        <v>45971</v>
      </c>
      <c r="DW123" s="106"/>
      <c r="DX123" s="106"/>
      <c r="DY123" s="106"/>
      <c r="DZ123" s="106"/>
      <c r="EA123" s="106"/>
      <c r="EB123" s="106"/>
      <c r="EC123" s="106"/>
      <c r="ED123" s="54"/>
      <c r="EE123" s="54"/>
      <c r="EF123" s="344"/>
      <c r="EG123" s="345"/>
      <c r="EH123" s="344"/>
    </row>
    <row r="124" spans="2:138" s="119" customFormat="1" ht="27.75">
      <c r="B124" s="353"/>
      <c r="C124" s="341"/>
      <c r="D124" s="341"/>
      <c r="E124" s="341"/>
      <c r="F124" s="341"/>
      <c r="G124" s="341"/>
      <c r="H124" s="325" t="s">
        <v>150</v>
      </c>
      <c r="I124" s="110">
        <v>45672</v>
      </c>
      <c r="J124" s="111"/>
      <c r="K124" s="112">
        <v>45684</v>
      </c>
      <c r="L124" s="277" t="s">
        <v>148</v>
      </c>
      <c r="M124" s="112">
        <v>45699</v>
      </c>
      <c r="N124" s="112">
        <v>45706</v>
      </c>
      <c r="O124" s="325">
        <v>45713</v>
      </c>
      <c r="P124" s="112">
        <v>45719</v>
      </c>
      <c r="Q124" s="112">
        <v>45726</v>
      </c>
      <c r="R124" s="112">
        <v>45733</v>
      </c>
      <c r="S124" s="325">
        <v>45740</v>
      </c>
      <c r="T124" s="112">
        <v>45747</v>
      </c>
      <c r="U124" s="112">
        <v>45761</v>
      </c>
      <c r="V124" s="112">
        <v>45768</v>
      </c>
      <c r="W124" s="325">
        <v>45775</v>
      </c>
      <c r="X124" s="112">
        <v>45789</v>
      </c>
      <c r="Y124" s="112">
        <v>45804</v>
      </c>
      <c r="Z124" s="112">
        <v>45810</v>
      </c>
      <c r="AA124" s="325">
        <v>45817</v>
      </c>
      <c r="AB124" s="112">
        <v>45833</v>
      </c>
      <c r="AC124" s="112">
        <v>45859</v>
      </c>
      <c r="AD124" s="112">
        <v>45866</v>
      </c>
      <c r="AE124" s="325">
        <v>45873</v>
      </c>
      <c r="AF124" s="112">
        <v>45880</v>
      </c>
      <c r="AG124" s="112">
        <v>45887</v>
      </c>
      <c r="AH124" s="112"/>
      <c r="AI124" s="325" t="s">
        <v>148</v>
      </c>
      <c r="AJ124" s="112"/>
      <c r="AK124" s="112"/>
      <c r="AL124" s="112"/>
      <c r="AM124" s="325" t="s">
        <v>148</v>
      </c>
      <c r="AN124" s="112"/>
      <c r="AO124" s="112"/>
      <c r="AP124" s="112"/>
      <c r="AQ124" s="325" t="s">
        <v>148</v>
      </c>
      <c r="AR124" s="112"/>
      <c r="AS124" s="112"/>
      <c r="AT124" s="112"/>
      <c r="AU124" s="328" t="s">
        <v>148</v>
      </c>
      <c r="AV124" s="112"/>
      <c r="AW124" s="112"/>
      <c r="AX124" s="112"/>
      <c r="AY124" s="328" t="s">
        <v>148</v>
      </c>
      <c r="AZ124" s="112"/>
      <c r="BA124" s="112"/>
      <c r="BB124" s="112"/>
      <c r="BC124" s="328" t="s">
        <v>148</v>
      </c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21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  <c r="DK124" s="121"/>
      <c r="DL124" s="121"/>
      <c r="DM124" s="121"/>
      <c r="DN124" s="121"/>
      <c r="DO124" s="121"/>
      <c r="DP124" s="121"/>
      <c r="DQ124" s="121"/>
      <c r="DR124" s="121"/>
      <c r="DS124" s="121"/>
      <c r="DT124" s="112">
        <v>45894</v>
      </c>
      <c r="DU124" s="134">
        <v>45910</v>
      </c>
      <c r="DV124" s="325">
        <v>45971</v>
      </c>
      <c r="DW124" s="325">
        <v>46178</v>
      </c>
      <c r="DX124" s="325"/>
      <c r="DY124" s="325"/>
      <c r="DZ124" s="325"/>
      <c r="EA124" s="325"/>
      <c r="EB124" s="325"/>
      <c r="EC124" s="325"/>
      <c r="ED124" s="61"/>
      <c r="EE124" s="61"/>
      <c r="EF124" s="344"/>
      <c r="EG124" s="345"/>
      <c r="EH124" s="345"/>
    </row>
    <row r="125" spans="2:138" s="119" customFormat="1" ht="31.15">
      <c r="B125" s="352" t="s">
        <v>307</v>
      </c>
      <c r="C125" s="340" t="s">
        <v>313</v>
      </c>
      <c r="D125" s="340" t="s">
        <v>157</v>
      </c>
      <c r="E125" s="340" t="s">
        <v>305</v>
      </c>
      <c r="F125" s="340" t="s">
        <v>174</v>
      </c>
      <c r="G125" s="340" t="s">
        <v>148</v>
      </c>
      <c r="H125" s="106" t="s">
        <v>147</v>
      </c>
      <c r="I125" s="107">
        <v>45672</v>
      </c>
      <c r="J125" s="108"/>
      <c r="K125" s="219">
        <v>45691</v>
      </c>
      <c r="L125" s="276" t="s">
        <v>148</v>
      </c>
      <c r="M125" s="220">
        <f>K125+7</f>
        <v>45698</v>
      </c>
      <c r="N125" s="220">
        <f>M125+7</f>
        <v>45705</v>
      </c>
      <c r="O125" s="220" t="s">
        <v>149</v>
      </c>
      <c r="P125" s="220">
        <f>N125+7</f>
        <v>45712</v>
      </c>
      <c r="Q125" s="220">
        <f>P125+7</f>
        <v>45719</v>
      </c>
      <c r="R125" s="220">
        <f>Q125+7</f>
        <v>45726</v>
      </c>
      <c r="S125" s="221" t="s">
        <v>149</v>
      </c>
      <c r="T125" s="221">
        <f>R125+7</f>
        <v>45733</v>
      </c>
      <c r="U125" s="221">
        <f>T125+7</f>
        <v>45740</v>
      </c>
      <c r="V125" s="221">
        <f>U125+7</f>
        <v>45747</v>
      </c>
      <c r="W125" s="221" t="s">
        <v>149</v>
      </c>
      <c r="X125" s="221">
        <f>V125+7</f>
        <v>45754</v>
      </c>
      <c r="Y125" s="221">
        <f>X125+7</f>
        <v>45761</v>
      </c>
      <c r="Z125" s="221">
        <f>Y125+7</f>
        <v>45768</v>
      </c>
      <c r="AA125" s="221" t="s">
        <v>149</v>
      </c>
      <c r="AB125" s="221">
        <f>Z125+7</f>
        <v>45775</v>
      </c>
      <c r="AC125" s="221">
        <f>AB125+7</f>
        <v>45782</v>
      </c>
      <c r="AD125" s="221">
        <f>AC125+7</f>
        <v>45789</v>
      </c>
      <c r="AE125" s="221" t="s">
        <v>149</v>
      </c>
      <c r="AF125" s="221">
        <f>AD125+7</f>
        <v>45796</v>
      </c>
      <c r="AG125" s="221">
        <f>AF125+7</f>
        <v>45803</v>
      </c>
      <c r="AH125" s="221">
        <f>AG125+7</f>
        <v>45810</v>
      </c>
      <c r="AI125" s="221" t="s">
        <v>149</v>
      </c>
      <c r="AJ125" s="221">
        <f>AH125+7</f>
        <v>45817</v>
      </c>
      <c r="AK125" s="221">
        <f>AJ125+7</f>
        <v>45824</v>
      </c>
      <c r="AL125" s="221">
        <f>AK125+7</f>
        <v>45831</v>
      </c>
      <c r="AM125" s="221" t="s">
        <v>149</v>
      </c>
      <c r="AN125" s="221">
        <f>AL125+7</f>
        <v>45838</v>
      </c>
      <c r="AO125" s="221">
        <f>AN125+7</f>
        <v>45845</v>
      </c>
      <c r="AP125" s="221">
        <f>AO125+7</f>
        <v>45852</v>
      </c>
      <c r="AQ125" s="221" t="s">
        <v>149</v>
      </c>
      <c r="AR125" s="221">
        <f>AP125+7</f>
        <v>45859</v>
      </c>
      <c r="AS125" s="221">
        <f>AR125+7</f>
        <v>45866</v>
      </c>
      <c r="AT125" s="221">
        <f>AS125+7</f>
        <v>45873</v>
      </c>
      <c r="AU125" s="222" t="s">
        <v>149</v>
      </c>
      <c r="AV125" s="221">
        <f>AT125+7</f>
        <v>45880</v>
      </c>
      <c r="AW125" s="221">
        <f>AV125+7</f>
        <v>45887</v>
      </c>
      <c r="AX125" s="221">
        <f>AW125+7</f>
        <v>45894</v>
      </c>
      <c r="AY125" s="222" t="s">
        <v>149</v>
      </c>
      <c r="AZ125" s="221">
        <f>AX125+7</f>
        <v>45901</v>
      </c>
      <c r="BA125" s="221">
        <f>AZ125+7</f>
        <v>45908</v>
      </c>
      <c r="BB125" s="221">
        <f>BA125+7</f>
        <v>45915</v>
      </c>
      <c r="BC125" s="222" t="s">
        <v>149</v>
      </c>
      <c r="BD125" s="222"/>
      <c r="BE125" s="222"/>
      <c r="BF125" s="222"/>
      <c r="BG125" s="222"/>
      <c r="BH125" s="222"/>
      <c r="BI125" s="222"/>
      <c r="BJ125" s="222"/>
      <c r="BK125" s="222"/>
      <c r="BL125" s="222"/>
      <c r="BM125" s="222"/>
      <c r="BN125" s="222"/>
      <c r="BO125" s="222"/>
      <c r="BP125" s="222"/>
      <c r="BQ125" s="222"/>
      <c r="BR125" s="222"/>
      <c r="BS125" s="222"/>
      <c r="BT125" s="222"/>
      <c r="BU125" s="222"/>
      <c r="BV125" s="222"/>
      <c r="BW125" s="222"/>
      <c r="BX125" s="222"/>
      <c r="BY125" s="222"/>
      <c r="BZ125" s="332"/>
      <c r="CA125" s="332"/>
      <c r="CB125" s="332"/>
      <c r="CC125" s="332"/>
      <c r="CD125" s="332"/>
      <c r="CE125" s="332"/>
      <c r="CF125" s="332"/>
      <c r="CG125" s="332"/>
      <c r="CH125" s="332"/>
      <c r="CI125" s="332"/>
      <c r="CJ125" s="332"/>
      <c r="CK125" s="332"/>
      <c r="CL125" s="332"/>
      <c r="CM125" s="332"/>
      <c r="CN125" s="332"/>
      <c r="CO125" s="332"/>
      <c r="CP125" s="332"/>
      <c r="CQ125" s="332"/>
      <c r="CR125" s="332"/>
      <c r="CS125" s="332"/>
      <c r="CT125" s="332"/>
      <c r="CU125" s="332"/>
      <c r="CV125" s="332"/>
      <c r="CW125" s="332"/>
      <c r="CX125" s="332"/>
      <c r="CY125" s="332"/>
      <c r="CZ125" s="332"/>
      <c r="DA125" s="332"/>
      <c r="DB125" s="332"/>
      <c r="DC125" s="332"/>
      <c r="DD125" s="332"/>
      <c r="DE125" s="332"/>
      <c r="DF125" s="332"/>
      <c r="DG125" s="332"/>
      <c r="DH125" s="332"/>
      <c r="DI125" s="332"/>
      <c r="DJ125" s="332"/>
      <c r="DK125" s="332"/>
      <c r="DL125" s="332"/>
      <c r="DM125" s="332"/>
      <c r="DN125" s="332"/>
      <c r="DO125" s="332"/>
      <c r="DP125" s="332"/>
      <c r="DQ125" s="332"/>
      <c r="DR125" s="332"/>
      <c r="DS125" s="332"/>
      <c r="DT125" s="53">
        <v>45713</v>
      </c>
      <c r="DU125" s="53"/>
      <c r="DV125" s="106"/>
      <c r="DW125" s="106"/>
      <c r="DX125" s="106"/>
      <c r="DY125" s="106"/>
      <c r="DZ125" s="106"/>
      <c r="EA125" s="106"/>
      <c r="EB125" s="106"/>
      <c r="EC125" s="106"/>
      <c r="ED125" s="54"/>
      <c r="EE125" s="54"/>
      <c r="EF125" s="344"/>
      <c r="EG125" s="345"/>
      <c r="EH125" s="344"/>
    </row>
    <row r="126" spans="2:138" s="119" customFormat="1" ht="31.15">
      <c r="B126" s="353"/>
      <c r="C126" s="341"/>
      <c r="D126" s="341"/>
      <c r="E126" s="341"/>
      <c r="F126" s="341"/>
      <c r="G126" s="341"/>
      <c r="H126" s="325" t="s">
        <v>150</v>
      </c>
      <c r="I126" s="110">
        <v>45672</v>
      </c>
      <c r="J126" s="111"/>
      <c r="K126" s="112">
        <v>45691</v>
      </c>
      <c r="L126" s="277" t="s">
        <v>148</v>
      </c>
      <c r="M126" s="112">
        <v>45699</v>
      </c>
      <c r="N126" s="112"/>
      <c r="O126" s="325"/>
      <c r="P126" s="112"/>
      <c r="Q126" s="112"/>
      <c r="R126" s="112"/>
      <c r="S126" s="325"/>
      <c r="T126" s="112"/>
      <c r="U126" s="112"/>
      <c r="V126" s="112"/>
      <c r="W126" s="325"/>
      <c r="X126" s="112"/>
      <c r="Y126" s="112"/>
      <c r="Z126" s="112"/>
      <c r="AA126" s="325" t="s">
        <v>148</v>
      </c>
      <c r="AB126" s="112"/>
      <c r="AC126" s="112"/>
      <c r="AD126" s="112"/>
      <c r="AE126" s="325" t="s">
        <v>148</v>
      </c>
      <c r="AF126" s="112"/>
      <c r="AG126" s="112"/>
      <c r="AH126" s="112"/>
      <c r="AI126" s="325" t="s">
        <v>148</v>
      </c>
      <c r="AJ126" s="112"/>
      <c r="AK126" s="112"/>
      <c r="AL126" s="112"/>
      <c r="AM126" s="325" t="s">
        <v>148</v>
      </c>
      <c r="AN126" s="112"/>
      <c r="AO126" s="112"/>
      <c r="AP126" s="112"/>
      <c r="AQ126" s="325" t="s">
        <v>148</v>
      </c>
      <c r="AR126" s="112"/>
      <c r="AS126" s="112"/>
      <c r="AT126" s="112"/>
      <c r="AU126" s="328" t="s">
        <v>148</v>
      </c>
      <c r="AV126" s="112"/>
      <c r="AW126" s="112"/>
      <c r="AX126" s="112"/>
      <c r="AY126" s="328" t="s">
        <v>148</v>
      </c>
      <c r="AZ126" s="112"/>
      <c r="BA126" s="112"/>
      <c r="BB126" s="112"/>
      <c r="BC126" s="328" t="s">
        <v>148</v>
      </c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21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  <c r="DK126" s="121"/>
      <c r="DL126" s="121"/>
      <c r="DM126" s="121"/>
      <c r="DN126" s="121"/>
      <c r="DO126" s="121"/>
      <c r="DP126" s="121"/>
      <c r="DQ126" s="121"/>
      <c r="DR126" s="121"/>
      <c r="DS126" s="121"/>
      <c r="DT126" s="112">
        <v>45713</v>
      </c>
      <c r="DU126" s="134">
        <v>45727</v>
      </c>
      <c r="DV126" s="325">
        <v>45791</v>
      </c>
      <c r="DW126" s="325"/>
      <c r="DX126" s="325"/>
      <c r="DY126" s="325"/>
      <c r="DZ126" s="325"/>
      <c r="EA126" s="325"/>
      <c r="EB126" s="325"/>
      <c r="EC126" s="325"/>
      <c r="ED126" s="61"/>
      <c r="EE126" s="61"/>
      <c r="EF126" s="344"/>
      <c r="EG126" s="345"/>
      <c r="EH126" s="345"/>
    </row>
    <row r="127" spans="2:138" ht="31.15">
      <c r="B127" s="356" t="s">
        <v>311</v>
      </c>
      <c r="C127" s="358" t="s">
        <v>314</v>
      </c>
      <c r="D127" s="360" t="s">
        <v>208</v>
      </c>
      <c r="E127" s="360" t="s">
        <v>305</v>
      </c>
      <c r="F127" s="360" t="s">
        <v>315</v>
      </c>
      <c r="G127" s="360" t="s">
        <v>146</v>
      </c>
      <c r="H127" s="74" t="s">
        <v>147</v>
      </c>
      <c r="I127" s="196">
        <v>45708</v>
      </c>
      <c r="J127" s="182"/>
      <c r="K127" s="257">
        <v>45729</v>
      </c>
      <c r="L127" s="273" t="s">
        <v>148</v>
      </c>
      <c r="M127" s="198">
        <f>K128+7</f>
        <v>45736</v>
      </c>
      <c r="N127" s="76">
        <f t="shared" ref="N127" si="971">M127+7</f>
        <v>45743</v>
      </c>
      <c r="O127" s="76" t="s">
        <v>149</v>
      </c>
      <c r="P127" s="76">
        <v>45526</v>
      </c>
      <c r="Q127" s="76">
        <f t="shared" ref="Q127" si="972">P127+7</f>
        <v>45533</v>
      </c>
      <c r="R127" s="76">
        <f t="shared" ref="R127" si="973">Q127+7</f>
        <v>45540</v>
      </c>
      <c r="S127" s="77" t="s">
        <v>149</v>
      </c>
      <c r="T127" s="77">
        <f t="shared" ref="T127" si="974">R127+7</f>
        <v>45547</v>
      </c>
      <c r="U127" s="77">
        <f t="shared" ref="U127" si="975">T127+7</f>
        <v>45554</v>
      </c>
      <c r="V127" s="77">
        <f t="shared" ref="V127" si="976">U127+7</f>
        <v>45561</v>
      </c>
      <c r="W127" s="77" t="s">
        <v>149</v>
      </c>
      <c r="X127" s="77">
        <f t="shared" ref="X127" si="977">V127+7</f>
        <v>45568</v>
      </c>
      <c r="Y127" s="77">
        <f t="shared" ref="Y127" si="978">X127+7</f>
        <v>45575</v>
      </c>
      <c r="Z127" s="77">
        <f t="shared" ref="Z127" si="979">Y127+7</f>
        <v>45582</v>
      </c>
      <c r="AA127" s="77" t="s">
        <v>149</v>
      </c>
      <c r="AB127" s="77">
        <f t="shared" ref="AB127" si="980">Z127+7</f>
        <v>45589</v>
      </c>
      <c r="AC127" s="77">
        <f t="shared" ref="AC127" si="981">AB127+7</f>
        <v>45596</v>
      </c>
      <c r="AD127" s="77">
        <f t="shared" ref="AD127" si="982">AC127+7</f>
        <v>45603</v>
      </c>
      <c r="AE127" s="77" t="s">
        <v>149</v>
      </c>
      <c r="AF127" s="77">
        <f t="shared" ref="AF127" si="983">AD127+7</f>
        <v>45610</v>
      </c>
      <c r="AG127" s="77">
        <f t="shared" ref="AG127" si="984">AF127+7</f>
        <v>45617</v>
      </c>
      <c r="AH127" s="77">
        <f t="shared" ref="AH127" si="985">AG127+7</f>
        <v>45624</v>
      </c>
      <c r="AI127" s="77" t="s">
        <v>149</v>
      </c>
      <c r="AJ127" s="77">
        <f t="shared" ref="AJ127" si="986">AH127+7</f>
        <v>45631</v>
      </c>
      <c r="AK127" s="77">
        <f t="shared" ref="AK127" si="987">AJ127+7</f>
        <v>45638</v>
      </c>
      <c r="AL127" s="77">
        <f t="shared" ref="AL127" si="988">AK127+7</f>
        <v>45645</v>
      </c>
      <c r="AM127" s="77" t="s">
        <v>149</v>
      </c>
      <c r="AN127" s="77">
        <f t="shared" ref="AN127" si="989">AL127+7</f>
        <v>45652</v>
      </c>
      <c r="AO127" s="77">
        <f t="shared" ref="AO127" si="990">AN127+7</f>
        <v>45659</v>
      </c>
      <c r="AP127" s="77">
        <f t="shared" ref="AP127" si="991">AO127+7</f>
        <v>45666</v>
      </c>
      <c r="AQ127" s="77" t="s">
        <v>149</v>
      </c>
      <c r="AR127" s="77">
        <f t="shared" ref="AR127" si="992">AP127+7</f>
        <v>45673</v>
      </c>
      <c r="AS127" s="77">
        <f t="shared" ref="AS127" si="993">AR127+7</f>
        <v>45680</v>
      </c>
      <c r="AT127" s="77">
        <f t="shared" ref="AT127" si="994">AS127+7</f>
        <v>45687</v>
      </c>
      <c r="AU127" s="77">
        <f t="shared" ref="AU127" si="995">AT127+21</f>
        <v>45708</v>
      </c>
      <c r="AV127" s="77">
        <f t="shared" ref="AV127" si="996">AT127+7</f>
        <v>45694</v>
      </c>
      <c r="AW127" s="77">
        <f t="shared" ref="AW127" si="997">AV127+7</f>
        <v>45701</v>
      </c>
      <c r="AX127" s="77">
        <f t="shared" ref="AX127" si="998">AW127+7</f>
        <v>45708</v>
      </c>
      <c r="AY127" s="77">
        <f t="shared" ref="AY127" si="999">AX127+21</f>
        <v>45729</v>
      </c>
      <c r="AZ127" s="77">
        <f t="shared" ref="AZ127" si="1000">AX127+7</f>
        <v>45715</v>
      </c>
      <c r="BA127" s="77">
        <f t="shared" ref="BA127" si="1001">AZ127+7</f>
        <v>45722</v>
      </c>
      <c r="BB127" s="77">
        <f t="shared" ref="BB127" si="1002">BA127+7</f>
        <v>45729</v>
      </c>
      <c r="BC127" s="77" t="s">
        <v>148</v>
      </c>
      <c r="BD127" s="77">
        <f>BB127+7</f>
        <v>45736</v>
      </c>
      <c r="BE127" s="77">
        <f>BD127+7</f>
        <v>45743</v>
      </c>
      <c r="BF127" s="77">
        <f>BE127+7</f>
        <v>45750</v>
      </c>
      <c r="BG127" s="77" t="s">
        <v>148</v>
      </c>
      <c r="BH127" s="77">
        <f>BF127+7</f>
        <v>45757</v>
      </c>
      <c r="BI127" s="77">
        <f>BH127+7</f>
        <v>45764</v>
      </c>
      <c r="BJ127" s="77">
        <f>BI127+7</f>
        <v>45771</v>
      </c>
      <c r="BK127" s="77" t="s">
        <v>148</v>
      </c>
      <c r="BL127" s="77">
        <f>BJ127+7</f>
        <v>45778</v>
      </c>
      <c r="BM127" s="77">
        <f>BL127+7</f>
        <v>45785</v>
      </c>
      <c r="BN127" s="77">
        <f>BM127+7</f>
        <v>45792</v>
      </c>
      <c r="BO127" s="77" t="s">
        <v>149</v>
      </c>
      <c r="BP127" s="77">
        <f>BN127+7</f>
        <v>45799</v>
      </c>
      <c r="BQ127" s="77">
        <f>BP127+7</f>
        <v>45806</v>
      </c>
      <c r="BR127" s="77">
        <f>BQ127+7</f>
        <v>45813</v>
      </c>
      <c r="BS127" s="77" t="s">
        <v>148</v>
      </c>
      <c r="BT127" s="77">
        <f>BR127+7</f>
        <v>45820</v>
      </c>
      <c r="BU127" s="77">
        <f>BT127+7</f>
        <v>45827</v>
      </c>
      <c r="BV127" s="77">
        <f>BU127+7</f>
        <v>45834</v>
      </c>
      <c r="BW127" s="77" t="s">
        <v>149</v>
      </c>
      <c r="BX127" s="77">
        <f>BV127+7</f>
        <v>45841</v>
      </c>
      <c r="BY127" s="77">
        <f>BX127+7</f>
        <v>45848</v>
      </c>
      <c r="BZ127" s="77">
        <f>BY127+7</f>
        <v>45855</v>
      </c>
      <c r="CA127" s="77" t="s">
        <v>149</v>
      </c>
      <c r="CB127" s="77"/>
      <c r="CC127" s="77"/>
      <c r="CD127" s="77"/>
      <c r="CE127" s="77"/>
      <c r="CF127" s="77"/>
      <c r="CG127" s="77"/>
      <c r="CH127" s="77"/>
      <c r="CI127" s="77"/>
      <c r="CJ127" s="77"/>
      <c r="CK127" s="77"/>
      <c r="CL127" s="77"/>
      <c r="CM127" s="77"/>
      <c r="CN127" s="77"/>
      <c r="CO127" s="77"/>
      <c r="CP127" s="77"/>
      <c r="CQ127" s="77"/>
      <c r="CR127" s="77"/>
      <c r="CS127" s="77"/>
      <c r="CT127" s="77"/>
      <c r="CU127" s="77"/>
      <c r="CV127" s="77"/>
      <c r="CW127" s="77"/>
      <c r="CX127" s="77"/>
      <c r="CY127" s="77"/>
      <c r="CZ127" s="77"/>
      <c r="DA127" s="77"/>
      <c r="DB127" s="77"/>
      <c r="DC127" s="77"/>
      <c r="DD127" s="77"/>
      <c r="DE127" s="77"/>
      <c r="DF127" s="77"/>
      <c r="DG127" s="77"/>
      <c r="DH127" s="77"/>
      <c r="DI127" s="77"/>
      <c r="DJ127" s="77"/>
      <c r="DK127" s="77"/>
      <c r="DL127" s="77"/>
      <c r="DM127" s="77"/>
      <c r="DN127" s="77"/>
      <c r="DO127" s="77"/>
      <c r="DP127" s="77"/>
      <c r="DQ127" s="77"/>
      <c r="DR127" s="77"/>
      <c r="DS127" s="77"/>
      <c r="DT127" s="17">
        <v>46093</v>
      </c>
      <c r="DU127" s="17"/>
      <c r="DV127" s="13"/>
      <c r="DW127" s="13"/>
      <c r="DX127" s="13"/>
      <c r="DY127" s="13"/>
      <c r="DZ127" s="13"/>
      <c r="EA127" s="13"/>
      <c r="EB127" s="13"/>
      <c r="EC127" s="13"/>
      <c r="ED127" s="24"/>
      <c r="EE127" s="24"/>
      <c r="EF127" s="339"/>
      <c r="EG127" s="338"/>
      <c r="EH127" s="338"/>
    </row>
    <row r="128" spans="2:138" ht="31.15">
      <c r="B128" s="357"/>
      <c r="C128" s="359"/>
      <c r="D128" s="361"/>
      <c r="E128" s="361"/>
      <c r="F128" s="361"/>
      <c r="G128" s="361"/>
      <c r="H128" s="330" t="s">
        <v>150</v>
      </c>
      <c r="I128" s="199">
        <v>45708</v>
      </c>
      <c r="J128" s="200"/>
      <c r="K128" s="201">
        <v>45729</v>
      </c>
      <c r="L128" s="274" t="s">
        <v>148</v>
      </c>
      <c r="M128" s="159">
        <v>45743</v>
      </c>
      <c r="N128" s="330">
        <v>45750</v>
      </c>
      <c r="O128" s="330">
        <v>45757</v>
      </c>
      <c r="P128" s="330">
        <v>45764</v>
      </c>
      <c r="Q128" s="330">
        <v>45778</v>
      </c>
      <c r="R128" s="324">
        <v>45785</v>
      </c>
      <c r="S128" s="330" t="s">
        <v>149</v>
      </c>
      <c r="T128" s="330">
        <v>45799</v>
      </c>
      <c r="U128" s="154">
        <v>45806</v>
      </c>
      <c r="V128" s="330">
        <v>45820</v>
      </c>
      <c r="W128" s="330">
        <v>45827</v>
      </c>
      <c r="X128" s="160">
        <v>45834</v>
      </c>
      <c r="Y128" s="324">
        <v>45841</v>
      </c>
      <c r="Z128" s="330">
        <v>45848</v>
      </c>
      <c r="AA128" s="330">
        <v>45855</v>
      </c>
      <c r="AB128" s="330">
        <v>45862</v>
      </c>
      <c r="AC128" s="330">
        <v>45869</v>
      </c>
      <c r="AD128" s="324">
        <v>45876</v>
      </c>
      <c r="AE128" s="330" t="s">
        <v>148</v>
      </c>
      <c r="AF128" s="330">
        <v>45890</v>
      </c>
      <c r="AG128" s="330">
        <v>45897</v>
      </c>
      <c r="AH128" s="324">
        <v>45904</v>
      </c>
      <c r="AI128" s="330" t="s">
        <v>148</v>
      </c>
      <c r="AJ128" s="330">
        <v>45918</v>
      </c>
      <c r="AK128" s="330">
        <v>45925</v>
      </c>
      <c r="AL128" s="324">
        <v>45932</v>
      </c>
      <c r="AM128" s="330">
        <v>45939</v>
      </c>
      <c r="AN128" s="330">
        <v>45946</v>
      </c>
      <c r="AO128" s="330">
        <v>45953</v>
      </c>
      <c r="AP128" s="324">
        <v>45960</v>
      </c>
      <c r="AQ128" s="330" t="s">
        <v>272</v>
      </c>
      <c r="AR128" s="330">
        <v>45974</v>
      </c>
      <c r="AS128" s="330">
        <v>45981</v>
      </c>
      <c r="AT128" s="256">
        <v>45987</v>
      </c>
      <c r="AU128" s="330">
        <v>45995</v>
      </c>
      <c r="AV128" s="330">
        <v>46002</v>
      </c>
      <c r="AW128" s="330">
        <v>46009</v>
      </c>
      <c r="AX128" s="256" t="s">
        <v>272</v>
      </c>
      <c r="AY128" s="256" t="s">
        <v>272</v>
      </c>
      <c r="AZ128" s="330">
        <v>46030</v>
      </c>
      <c r="BA128" s="330">
        <v>46037</v>
      </c>
      <c r="BB128" s="256">
        <v>46044</v>
      </c>
      <c r="BC128" s="330">
        <v>46051</v>
      </c>
      <c r="BD128" s="330">
        <v>46058</v>
      </c>
      <c r="BE128" s="330">
        <v>46065</v>
      </c>
      <c r="BF128" s="330">
        <v>46072</v>
      </c>
      <c r="BG128" s="330">
        <v>46079</v>
      </c>
      <c r="BH128" s="330">
        <v>46086</v>
      </c>
      <c r="BI128" s="330"/>
      <c r="BJ128" s="330"/>
      <c r="BK128" s="330"/>
      <c r="BL128" s="330"/>
      <c r="BM128" s="330"/>
      <c r="BN128" s="330"/>
      <c r="BO128" s="330"/>
      <c r="BP128" s="330"/>
      <c r="BQ128" s="330"/>
      <c r="BR128" s="330"/>
      <c r="BS128" s="330"/>
      <c r="BT128" s="330"/>
      <c r="BU128" s="330"/>
      <c r="BV128" s="330"/>
      <c r="BW128" s="330"/>
      <c r="BX128" s="330"/>
      <c r="BY128" s="330"/>
      <c r="BZ128" s="330"/>
      <c r="CA128" s="330"/>
      <c r="CB128" s="330"/>
      <c r="CC128" s="330"/>
      <c r="CD128" s="330"/>
      <c r="CE128" s="330"/>
      <c r="CF128" s="330"/>
      <c r="CG128" s="330"/>
      <c r="CH128" s="330"/>
      <c r="CI128" s="330"/>
      <c r="CJ128" s="330"/>
      <c r="CK128" s="330"/>
      <c r="CL128" s="330"/>
      <c r="CM128" s="330"/>
      <c r="CN128" s="330"/>
      <c r="CO128" s="330"/>
      <c r="CP128" s="330"/>
      <c r="CQ128" s="330"/>
      <c r="CR128" s="330"/>
      <c r="CS128" s="330"/>
      <c r="CT128" s="330"/>
      <c r="CU128" s="330"/>
      <c r="CV128" s="330"/>
      <c r="CW128" s="330"/>
      <c r="CX128" s="330"/>
      <c r="CY128" s="330"/>
      <c r="CZ128" s="330"/>
      <c r="DA128" s="330"/>
      <c r="DB128" s="330"/>
      <c r="DC128" s="330"/>
      <c r="DD128" s="330"/>
      <c r="DE128" s="330"/>
      <c r="DF128" s="330"/>
      <c r="DG128" s="330"/>
      <c r="DH128" s="330"/>
      <c r="DI128" s="330"/>
      <c r="DJ128" s="330"/>
      <c r="DK128" s="330"/>
      <c r="DL128" s="330"/>
      <c r="DM128" s="330"/>
      <c r="DN128" s="330"/>
      <c r="DO128" s="330"/>
      <c r="DP128" s="330"/>
      <c r="DQ128" s="330"/>
      <c r="DR128" s="330"/>
      <c r="DS128" s="330"/>
      <c r="DT128" s="321">
        <v>46093</v>
      </c>
      <c r="DU128" s="320" t="s">
        <v>181</v>
      </c>
      <c r="DV128" s="321" t="s">
        <v>181</v>
      </c>
      <c r="DW128" s="321"/>
      <c r="DX128" s="321"/>
      <c r="DY128" s="321"/>
      <c r="DZ128" s="321"/>
      <c r="EA128" s="321"/>
      <c r="EB128" s="321"/>
      <c r="EC128" s="321"/>
      <c r="ED128" s="25"/>
      <c r="EE128" s="25"/>
      <c r="EF128" s="339"/>
      <c r="EG128" s="338"/>
      <c r="EH128" s="338"/>
    </row>
    <row r="129" spans="2:138" ht="31.15">
      <c r="B129" s="346" t="s">
        <v>316</v>
      </c>
      <c r="C129" s="348" t="s">
        <v>317</v>
      </c>
      <c r="D129" s="350" t="s">
        <v>270</v>
      </c>
      <c r="E129" s="348" t="s">
        <v>318</v>
      </c>
      <c r="F129" s="348" t="s">
        <v>319</v>
      </c>
      <c r="G129" s="348" t="s">
        <v>146</v>
      </c>
      <c r="H129" s="125" t="s">
        <v>147</v>
      </c>
      <c r="I129" s="12">
        <v>45677</v>
      </c>
      <c r="J129" s="126"/>
      <c r="K129" s="232">
        <v>45694</v>
      </c>
      <c r="L129" s="273" t="s">
        <v>148</v>
      </c>
      <c r="M129" s="126">
        <v>45698</v>
      </c>
      <c r="N129" s="126">
        <f t="shared" ref="N129" si="1003">M129+7</f>
        <v>45705</v>
      </c>
      <c r="O129" s="126" t="s">
        <v>149</v>
      </c>
      <c r="P129" s="126">
        <f t="shared" ref="P129" si="1004">N129+7</f>
        <v>45712</v>
      </c>
      <c r="Q129" s="126">
        <f t="shared" ref="Q129" si="1005">P129+7</f>
        <v>45719</v>
      </c>
      <c r="R129" s="126">
        <f t="shared" ref="R129" si="1006">Q129+7</f>
        <v>45726</v>
      </c>
      <c r="S129" s="127" t="s">
        <v>149</v>
      </c>
      <c r="T129" s="127">
        <f t="shared" ref="T129" si="1007">R129+7</f>
        <v>45733</v>
      </c>
      <c r="U129" s="127">
        <f t="shared" ref="U129" si="1008">T129+7</f>
        <v>45740</v>
      </c>
      <c r="V129" s="127">
        <f t="shared" ref="V129" si="1009">U129+7</f>
        <v>45747</v>
      </c>
      <c r="W129" s="127" t="s">
        <v>149</v>
      </c>
      <c r="X129" s="127">
        <f t="shared" ref="X129" si="1010">V129+7</f>
        <v>45754</v>
      </c>
      <c r="Y129" s="127">
        <f t="shared" ref="Y129" si="1011">X129+7</f>
        <v>45761</v>
      </c>
      <c r="Z129" s="127">
        <f t="shared" ref="Z129" si="1012">Y129+7</f>
        <v>45768</v>
      </c>
      <c r="AA129" s="127" t="s">
        <v>149</v>
      </c>
      <c r="AB129" s="127">
        <f t="shared" ref="AB129" si="1013">Z129+7</f>
        <v>45775</v>
      </c>
      <c r="AC129" s="127">
        <f t="shared" ref="AC129" si="1014">AB129+7</f>
        <v>45782</v>
      </c>
      <c r="AD129" s="127">
        <f t="shared" ref="AD129" si="1015">AC129+7</f>
        <v>45789</v>
      </c>
      <c r="AE129" s="127" t="s">
        <v>149</v>
      </c>
      <c r="AF129" s="127">
        <f t="shared" ref="AF129" si="1016">AD129+7</f>
        <v>45796</v>
      </c>
      <c r="AG129" s="127">
        <f t="shared" ref="AG129" si="1017">AF129+7</f>
        <v>45803</v>
      </c>
      <c r="AH129" s="127">
        <f t="shared" ref="AH129" si="1018">AG129+7</f>
        <v>45810</v>
      </c>
      <c r="AI129" s="127" t="s">
        <v>149</v>
      </c>
      <c r="AJ129" s="127">
        <f t="shared" ref="AJ129" si="1019">AH129+7</f>
        <v>45817</v>
      </c>
      <c r="AK129" s="127">
        <f t="shared" ref="AK129" si="1020">AJ129+7</f>
        <v>45824</v>
      </c>
      <c r="AL129" s="127">
        <f t="shared" ref="AL129" si="1021">AK129+7</f>
        <v>45831</v>
      </c>
      <c r="AM129" s="127" t="s">
        <v>149</v>
      </c>
      <c r="AN129" s="127">
        <f t="shared" ref="AN129" si="1022">AL129+7</f>
        <v>45838</v>
      </c>
      <c r="AO129" s="127">
        <f t="shared" ref="AO129" si="1023">AN129+7</f>
        <v>45845</v>
      </c>
      <c r="AP129" s="127">
        <f t="shared" ref="AP129" si="1024">AO129+7</f>
        <v>45852</v>
      </c>
      <c r="AQ129" s="127" t="s">
        <v>149</v>
      </c>
      <c r="AR129" s="127">
        <f t="shared" ref="AR129" si="1025">AP129+7</f>
        <v>45859</v>
      </c>
      <c r="AS129" s="127">
        <f t="shared" ref="AS129" si="1026">AR129+7</f>
        <v>45866</v>
      </c>
      <c r="AT129" s="127">
        <f t="shared" ref="AT129" si="1027">AS129+7</f>
        <v>45873</v>
      </c>
      <c r="AU129" s="127" t="s">
        <v>149</v>
      </c>
      <c r="AV129" s="127">
        <f t="shared" ref="AV129" si="1028">AT129+7</f>
        <v>45880</v>
      </c>
      <c r="AW129" s="127">
        <f t="shared" ref="AW129" si="1029">AV129+7</f>
        <v>45887</v>
      </c>
      <c r="AX129" s="127">
        <f t="shared" ref="AX129" si="1030">AW129+7</f>
        <v>45894</v>
      </c>
      <c r="AY129" s="127" t="s">
        <v>149</v>
      </c>
      <c r="AZ129" s="127">
        <f t="shared" ref="AZ129" si="1031">AX129+7</f>
        <v>45901</v>
      </c>
      <c r="BA129" s="127">
        <f t="shared" ref="BA129" si="1032">AZ129+7</f>
        <v>45908</v>
      </c>
      <c r="BB129" s="127">
        <f t="shared" ref="BB129" si="1033">BA129+7</f>
        <v>45915</v>
      </c>
      <c r="BC129" s="127" t="s">
        <v>149</v>
      </c>
      <c r="BD129" s="127">
        <f t="shared" ref="BD129" si="1034">BB129+7</f>
        <v>45922</v>
      </c>
      <c r="BE129" s="127">
        <f t="shared" ref="BE129" si="1035">BD129+7</f>
        <v>45929</v>
      </c>
      <c r="BF129" s="127">
        <f t="shared" ref="BF129" si="1036">BE129+7</f>
        <v>45936</v>
      </c>
      <c r="BG129" s="127" t="s">
        <v>148</v>
      </c>
      <c r="BH129" s="127">
        <f t="shared" ref="BH129" si="1037">BF129+7</f>
        <v>45943</v>
      </c>
      <c r="BI129" s="127">
        <f t="shared" ref="BI129" si="1038">BH129+7</f>
        <v>45950</v>
      </c>
      <c r="BJ129" s="127">
        <f t="shared" ref="BJ129" si="1039">BI129+7</f>
        <v>45957</v>
      </c>
      <c r="BK129" s="127" t="s">
        <v>148</v>
      </c>
      <c r="BL129" s="127">
        <f t="shared" ref="BL129" si="1040">BJ129+7</f>
        <v>45964</v>
      </c>
      <c r="BM129" s="127">
        <f t="shared" ref="BM129" si="1041">BL129+7</f>
        <v>45971</v>
      </c>
      <c r="BN129" s="127">
        <f t="shared" ref="BN129" si="1042">BM129+7</f>
        <v>45978</v>
      </c>
      <c r="BO129" s="127" t="s">
        <v>149</v>
      </c>
      <c r="BP129" s="127">
        <f t="shared" ref="BP129" si="1043">BN129+7</f>
        <v>45985</v>
      </c>
      <c r="BQ129" s="127">
        <f t="shared" ref="BQ129" si="1044">BP129+7</f>
        <v>45992</v>
      </c>
      <c r="BR129" s="127">
        <f t="shared" ref="BR129" si="1045">BQ129+7</f>
        <v>45999</v>
      </c>
      <c r="BS129" s="127" t="s">
        <v>148</v>
      </c>
      <c r="BT129" s="127">
        <f t="shared" ref="BT129" si="1046">BR129+7</f>
        <v>46006</v>
      </c>
      <c r="BU129" s="127">
        <f t="shared" ref="BU129" si="1047">BT129+7</f>
        <v>46013</v>
      </c>
      <c r="BV129" s="127">
        <f t="shared" ref="BV129" si="1048">BU129+7</f>
        <v>46020</v>
      </c>
      <c r="BW129" s="127" t="s">
        <v>149</v>
      </c>
      <c r="BX129" s="127">
        <f t="shared" ref="BX129" si="1049">BV129+7</f>
        <v>46027</v>
      </c>
      <c r="BY129" s="127">
        <f t="shared" ref="BY129" si="1050">BX129+7</f>
        <v>46034</v>
      </c>
      <c r="BZ129" s="127">
        <f t="shared" ref="BZ129" si="1051">BY129+7</f>
        <v>46041</v>
      </c>
      <c r="CA129" s="127" t="s">
        <v>149</v>
      </c>
      <c r="CB129" s="127"/>
      <c r="CC129" s="127"/>
      <c r="CD129" s="127"/>
      <c r="CE129" s="127"/>
      <c r="CF129" s="127"/>
      <c r="CG129" s="127"/>
      <c r="CH129" s="127"/>
      <c r="CI129" s="127"/>
      <c r="CJ129" s="127"/>
      <c r="CK129" s="127"/>
      <c r="CL129" s="127"/>
      <c r="CM129" s="127"/>
      <c r="CN129" s="127"/>
      <c r="CO129" s="127"/>
      <c r="CP129" s="127"/>
      <c r="CQ129" s="127"/>
      <c r="CR129" s="127"/>
      <c r="CS129" s="127"/>
      <c r="CT129" s="127"/>
      <c r="CU129" s="127"/>
      <c r="CV129" s="127"/>
      <c r="CW129" s="127"/>
      <c r="CX129" s="127"/>
      <c r="CY129" s="127"/>
      <c r="CZ129" s="127"/>
      <c r="DA129" s="127"/>
      <c r="DB129" s="127"/>
      <c r="DC129" s="127"/>
      <c r="DD129" s="127"/>
      <c r="DE129" s="127"/>
      <c r="DF129" s="127"/>
      <c r="DG129" s="127"/>
      <c r="DH129" s="127"/>
      <c r="DI129" s="127"/>
      <c r="DJ129" s="127"/>
      <c r="DK129" s="127"/>
      <c r="DL129" s="127"/>
      <c r="DM129" s="127"/>
      <c r="DN129" s="127"/>
      <c r="DO129" s="127"/>
      <c r="DP129" s="127"/>
      <c r="DQ129" s="127"/>
      <c r="DR129" s="127"/>
      <c r="DS129" s="127"/>
      <c r="DT129" s="127"/>
      <c r="DU129" s="127"/>
      <c r="DV129" s="125"/>
      <c r="DW129" s="125"/>
      <c r="DX129" s="125"/>
      <c r="DY129" s="125"/>
      <c r="DZ129" s="125"/>
      <c r="EA129" s="125"/>
      <c r="EB129" s="125"/>
      <c r="EC129" s="125"/>
      <c r="ED129" s="268"/>
      <c r="EE129" s="128"/>
      <c r="EF129" s="339"/>
      <c r="EG129" s="338"/>
      <c r="EH129" s="339"/>
    </row>
    <row r="130" spans="2:138" ht="27.75">
      <c r="B130" s="347"/>
      <c r="C130" s="349"/>
      <c r="D130" s="351"/>
      <c r="E130" s="349"/>
      <c r="F130" s="349"/>
      <c r="G130" s="349"/>
      <c r="H130" s="320" t="s">
        <v>150</v>
      </c>
      <c r="I130" s="113">
        <v>45677</v>
      </c>
      <c r="J130" s="320"/>
      <c r="K130" s="113">
        <v>45694</v>
      </c>
      <c r="L130" s="274" t="s">
        <v>148</v>
      </c>
      <c r="M130" s="194">
        <v>45698</v>
      </c>
      <c r="N130" s="113">
        <v>45708</v>
      </c>
      <c r="O130" s="320">
        <v>45714</v>
      </c>
      <c r="P130" s="113">
        <v>45723</v>
      </c>
      <c r="Q130" s="113">
        <v>45728</v>
      </c>
      <c r="R130" s="113">
        <v>45737</v>
      </c>
      <c r="S130" s="320">
        <v>45744</v>
      </c>
      <c r="T130" s="113">
        <v>45749</v>
      </c>
      <c r="U130" s="113">
        <v>45756</v>
      </c>
      <c r="V130" s="113">
        <v>45763</v>
      </c>
      <c r="W130" s="69">
        <v>45770</v>
      </c>
      <c r="X130" s="113">
        <v>45777</v>
      </c>
      <c r="Y130" s="113">
        <v>45784</v>
      </c>
      <c r="Z130" s="113">
        <v>45791</v>
      </c>
      <c r="AA130" s="22">
        <v>45798</v>
      </c>
      <c r="AB130" s="113">
        <v>45805</v>
      </c>
      <c r="AC130" s="113">
        <v>45812</v>
      </c>
      <c r="AD130" s="113">
        <v>45819</v>
      </c>
      <c r="AE130" s="28">
        <v>45826</v>
      </c>
      <c r="AF130" s="28">
        <v>45833</v>
      </c>
      <c r="AG130" s="28">
        <v>45840</v>
      </c>
      <c r="AH130" s="28">
        <v>45848</v>
      </c>
      <c r="AI130" s="28">
        <v>45854</v>
      </c>
      <c r="AJ130" s="28">
        <v>45861</v>
      </c>
      <c r="AK130" s="12">
        <v>45868</v>
      </c>
      <c r="AL130" s="28">
        <v>45875</v>
      </c>
      <c r="AM130" s="28">
        <v>45882</v>
      </c>
      <c r="AN130" s="28">
        <v>45889</v>
      </c>
      <c r="AO130" s="28">
        <v>45896</v>
      </c>
      <c r="AP130" s="28">
        <v>45903</v>
      </c>
      <c r="AQ130" s="323">
        <v>45910</v>
      </c>
      <c r="AR130" s="28">
        <v>45917</v>
      </c>
      <c r="AS130" s="28">
        <v>45924</v>
      </c>
      <c r="AT130" s="28">
        <v>45931</v>
      </c>
      <c r="AU130" s="28">
        <v>45940</v>
      </c>
      <c r="AV130" s="28">
        <v>45945</v>
      </c>
      <c r="AW130" s="28">
        <v>45952</v>
      </c>
      <c r="AX130" s="28">
        <v>45959</v>
      </c>
      <c r="AY130" s="28">
        <v>45966</v>
      </c>
      <c r="AZ130" s="28">
        <v>45973</v>
      </c>
      <c r="BA130" s="278">
        <v>45980</v>
      </c>
      <c r="BB130" s="278">
        <v>45987</v>
      </c>
      <c r="BC130" s="28">
        <v>45994</v>
      </c>
      <c r="BD130" s="28">
        <v>46001</v>
      </c>
      <c r="BE130" s="28">
        <v>46008</v>
      </c>
      <c r="BF130" s="28">
        <v>46015</v>
      </c>
      <c r="BG130" s="28">
        <v>46022</v>
      </c>
      <c r="BH130" s="28">
        <v>46036</v>
      </c>
      <c r="BI130" s="28">
        <v>46224</v>
      </c>
      <c r="BJ130" s="28">
        <v>46050</v>
      </c>
      <c r="BK130" s="28">
        <v>46057</v>
      </c>
      <c r="BL130" s="28">
        <v>46064</v>
      </c>
      <c r="BM130" s="28">
        <v>46072</v>
      </c>
      <c r="BN130" s="28">
        <v>46078</v>
      </c>
      <c r="BO130" s="28">
        <v>46085</v>
      </c>
      <c r="BP130" s="28">
        <v>46092</v>
      </c>
      <c r="BQ130" s="28">
        <v>46099</v>
      </c>
      <c r="BR130" s="28">
        <v>46106</v>
      </c>
      <c r="BS130" s="28">
        <v>46113</v>
      </c>
      <c r="BT130" s="28">
        <v>46118</v>
      </c>
      <c r="BU130" s="28">
        <v>46125</v>
      </c>
      <c r="BV130" s="28">
        <v>46132</v>
      </c>
      <c r="BW130" s="28">
        <v>46139</v>
      </c>
      <c r="BX130" s="28">
        <v>46146</v>
      </c>
      <c r="BY130" s="28">
        <v>46153</v>
      </c>
      <c r="BZ130" s="28">
        <v>46160</v>
      </c>
      <c r="CA130" s="28">
        <v>46169</v>
      </c>
      <c r="CB130" s="28">
        <v>46174</v>
      </c>
      <c r="CC130" s="28">
        <v>46181</v>
      </c>
      <c r="CD130" s="28">
        <v>46188</v>
      </c>
      <c r="CE130" s="28">
        <v>46195</v>
      </c>
      <c r="CF130" s="28">
        <v>46202</v>
      </c>
      <c r="CG130" s="28">
        <v>46209</v>
      </c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/>
      <c r="DO130" s="28"/>
      <c r="DP130" s="28"/>
      <c r="DQ130" s="28"/>
      <c r="DR130" s="28"/>
      <c r="DS130" s="28"/>
      <c r="DT130" s="28"/>
      <c r="DU130" s="132"/>
      <c r="DV130" s="69"/>
      <c r="DW130" s="69"/>
      <c r="DX130" s="69"/>
      <c r="DY130" s="69"/>
      <c r="DZ130" s="69"/>
      <c r="EA130" s="69"/>
      <c r="EB130" s="69"/>
      <c r="EC130" s="69"/>
      <c r="ED130" s="22"/>
      <c r="EE130" s="22"/>
      <c r="EF130" s="339"/>
      <c r="EG130" s="338"/>
      <c r="EH130" s="338"/>
    </row>
    <row r="131" spans="2:138" s="119" customFormat="1" ht="27.75">
      <c r="B131" s="352" t="s">
        <v>320</v>
      </c>
      <c r="C131" s="340" t="s">
        <v>321</v>
      </c>
      <c r="D131" s="342" t="s">
        <v>270</v>
      </c>
      <c r="E131" s="340" t="s">
        <v>305</v>
      </c>
      <c r="F131" s="340" t="s">
        <v>174</v>
      </c>
      <c r="G131" s="340" t="s">
        <v>148</v>
      </c>
      <c r="H131" s="40" t="s">
        <v>147</v>
      </c>
      <c r="I131" s="236">
        <v>45579</v>
      </c>
      <c r="J131" s="85"/>
      <c r="K131" s="233">
        <v>45694</v>
      </c>
      <c r="L131" s="276" t="s">
        <v>148</v>
      </c>
      <c r="M131" s="94">
        <v>45698</v>
      </c>
      <c r="N131" s="94">
        <f t="shared" ref="N131" si="1052">M131+7</f>
        <v>45705</v>
      </c>
      <c r="O131" s="94" t="s">
        <v>149</v>
      </c>
      <c r="P131" s="94">
        <f t="shared" ref="P131" si="1053">N131+7</f>
        <v>45712</v>
      </c>
      <c r="Q131" s="94">
        <f t="shared" ref="Q131" si="1054">P131+7</f>
        <v>45719</v>
      </c>
      <c r="R131" s="94">
        <f t="shared" ref="R131" si="1055">Q131+7</f>
        <v>45726</v>
      </c>
      <c r="S131" s="141" t="s">
        <v>149</v>
      </c>
      <c r="T131" s="141">
        <f t="shared" ref="T131" si="1056">R131+7</f>
        <v>45733</v>
      </c>
      <c r="U131" s="141">
        <f t="shared" ref="U131" si="1057">T131+7</f>
        <v>45740</v>
      </c>
      <c r="V131" s="141">
        <f t="shared" ref="V131" si="1058">U131+7</f>
        <v>45747</v>
      </c>
      <c r="W131" s="141" t="s">
        <v>149</v>
      </c>
      <c r="X131" s="141">
        <f t="shared" ref="X131" si="1059">V131+7</f>
        <v>45754</v>
      </c>
      <c r="Y131" s="141">
        <f t="shared" ref="Y131" si="1060">X131+7</f>
        <v>45761</v>
      </c>
      <c r="Z131" s="141">
        <f t="shared" ref="Z131" si="1061">Y131+7</f>
        <v>45768</v>
      </c>
      <c r="AA131" s="141" t="s">
        <v>149</v>
      </c>
      <c r="AB131" s="141">
        <f t="shared" ref="AB131" si="1062">Z131+7</f>
        <v>45775</v>
      </c>
      <c r="AC131" s="141">
        <f t="shared" ref="AC131" si="1063">AB131+7</f>
        <v>45782</v>
      </c>
      <c r="AD131" s="141">
        <f t="shared" ref="AD131" si="1064">AC131+7</f>
        <v>45789</v>
      </c>
      <c r="AE131" s="141" t="s">
        <v>149</v>
      </c>
      <c r="AF131" s="141">
        <f t="shared" ref="AF131" si="1065">AD131+7</f>
        <v>45796</v>
      </c>
      <c r="AG131" s="141">
        <f t="shared" ref="AG131" si="1066">AF131+7</f>
        <v>45803</v>
      </c>
      <c r="AH131" s="141">
        <f t="shared" ref="AH131" si="1067">AG131+7</f>
        <v>45810</v>
      </c>
      <c r="AI131" s="141" t="s">
        <v>149</v>
      </c>
      <c r="AJ131" s="141">
        <f t="shared" ref="AJ131" si="1068">AH131+7</f>
        <v>45817</v>
      </c>
      <c r="AK131" s="141">
        <f t="shared" ref="AK131" si="1069">AJ131+7</f>
        <v>45824</v>
      </c>
      <c r="AL131" s="141">
        <f t="shared" ref="AL131" si="1070">AK131+7</f>
        <v>45831</v>
      </c>
      <c r="AM131" s="141" t="s">
        <v>149</v>
      </c>
      <c r="AN131" s="141">
        <f t="shared" ref="AN131" si="1071">AL131+7</f>
        <v>45838</v>
      </c>
      <c r="AO131" s="141">
        <f t="shared" ref="AO131" si="1072">AN131+7</f>
        <v>45845</v>
      </c>
      <c r="AP131" s="141">
        <f t="shared" ref="AP131" si="1073">AO131+7</f>
        <v>45852</v>
      </c>
      <c r="AQ131" s="141" t="s">
        <v>149</v>
      </c>
      <c r="AR131" s="141">
        <f t="shared" ref="AR131" si="1074">AP131+7</f>
        <v>45859</v>
      </c>
      <c r="AS131" s="141">
        <f t="shared" ref="AS131" si="1075">AR131+7</f>
        <v>45866</v>
      </c>
      <c r="AT131" s="141">
        <f t="shared" ref="AT131" si="1076">AS131+7</f>
        <v>45873</v>
      </c>
      <c r="AU131" s="141" t="s">
        <v>149</v>
      </c>
      <c r="AV131" s="141">
        <f t="shared" ref="AV131" si="1077">AT131+7</f>
        <v>45880</v>
      </c>
      <c r="AW131" s="141">
        <f t="shared" ref="AW131" si="1078">AV131+7</f>
        <v>45887</v>
      </c>
      <c r="AX131" s="141">
        <f t="shared" ref="AX131" si="1079">AW131+7</f>
        <v>45894</v>
      </c>
      <c r="AY131" s="141" t="s">
        <v>149</v>
      </c>
      <c r="AZ131" s="141">
        <f t="shared" ref="AZ131" si="1080">AX131+7</f>
        <v>45901</v>
      </c>
      <c r="BA131" s="141">
        <f t="shared" ref="BA131" si="1081">AZ131+7</f>
        <v>45908</v>
      </c>
      <c r="BB131" s="141">
        <f t="shared" ref="BB131" si="1082">BA131+7</f>
        <v>45915</v>
      </c>
      <c r="BC131" s="141" t="s">
        <v>149</v>
      </c>
      <c r="BD131" s="141">
        <f t="shared" ref="BD131" si="1083">BB131+7</f>
        <v>45922</v>
      </c>
      <c r="BE131" s="141">
        <f t="shared" ref="BE131" si="1084">BD131+7</f>
        <v>45929</v>
      </c>
      <c r="BF131" s="141">
        <f t="shared" ref="BF131" si="1085">BE131+7</f>
        <v>45936</v>
      </c>
      <c r="BG131" s="141" t="s">
        <v>148</v>
      </c>
      <c r="BH131" s="141">
        <f t="shared" ref="BH131" si="1086">BF131+7</f>
        <v>45943</v>
      </c>
      <c r="BI131" s="141">
        <f t="shared" ref="BI131" si="1087">BH131+7</f>
        <v>45950</v>
      </c>
      <c r="BJ131" s="141">
        <f t="shared" ref="BJ131" si="1088">BI131+7</f>
        <v>45957</v>
      </c>
      <c r="BK131" s="141" t="s">
        <v>148</v>
      </c>
      <c r="BL131" s="141">
        <f t="shared" ref="BL131" si="1089">BJ131+7</f>
        <v>45964</v>
      </c>
      <c r="BM131" s="141">
        <f t="shared" ref="BM131" si="1090">BL131+7</f>
        <v>45971</v>
      </c>
      <c r="BN131" s="141">
        <f t="shared" ref="BN131" si="1091">BM131+7</f>
        <v>45978</v>
      </c>
      <c r="BO131" s="141" t="s">
        <v>149</v>
      </c>
      <c r="BP131" s="141">
        <f t="shared" ref="BP131" si="1092">BN131+7</f>
        <v>45985</v>
      </c>
      <c r="BQ131" s="141">
        <f t="shared" ref="BQ131" si="1093">BP131+7</f>
        <v>45992</v>
      </c>
      <c r="BR131" s="141">
        <f t="shared" ref="BR131" si="1094">BQ131+7</f>
        <v>45999</v>
      </c>
      <c r="BS131" s="141" t="s">
        <v>148</v>
      </c>
      <c r="BT131" s="141">
        <f t="shared" ref="BT131" si="1095">BR131+7</f>
        <v>46006</v>
      </c>
      <c r="BU131" s="141">
        <f t="shared" ref="BU131" si="1096">BT131+7</f>
        <v>46013</v>
      </c>
      <c r="BV131" s="141">
        <f t="shared" ref="BV131" si="1097">BU131+7</f>
        <v>46020</v>
      </c>
      <c r="BW131" s="141" t="s">
        <v>149</v>
      </c>
      <c r="BX131" s="141">
        <f t="shared" ref="BX131" si="1098">BV131+7</f>
        <v>46027</v>
      </c>
      <c r="BY131" s="141">
        <f t="shared" ref="BY131" si="1099">BX131+7</f>
        <v>46034</v>
      </c>
      <c r="BZ131" s="141">
        <f t="shared" ref="BZ131" si="1100">BY131+7</f>
        <v>46041</v>
      </c>
      <c r="CA131" s="141" t="s">
        <v>149</v>
      </c>
      <c r="CB131" s="141"/>
      <c r="CC131" s="141"/>
      <c r="CD131" s="141"/>
      <c r="CE131" s="141"/>
      <c r="CF131" s="141"/>
      <c r="CG131" s="141"/>
      <c r="CH131" s="141"/>
      <c r="CI131" s="141"/>
      <c r="CJ131" s="141"/>
      <c r="CK131" s="141"/>
      <c r="CL131" s="141"/>
      <c r="CM131" s="141"/>
      <c r="CN131" s="141"/>
      <c r="CO131" s="141"/>
      <c r="CP131" s="141"/>
      <c r="CQ131" s="141"/>
      <c r="CR131" s="141"/>
      <c r="CS131" s="141"/>
      <c r="CT131" s="141"/>
      <c r="CU131" s="141"/>
      <c r="CV131" s="141"/>
      <c r="CW131" s="141"/>
      <c r="CX131" s="141"/>
      <c r="CY131" s="141"/>
      <c r="CZ131" s="141"/>
      <c r="DA131" s="141"/>
      <c r="DB131" s="141"/>
      <c r="DC131" s="141"/>
      <c r="DD131" s="141"/>
      <c r="DE131" s="141"/>
      <c r="DF131" s="141"/>
      <c r="DG131" s="141"/>
      <c r="DH131" s="141"/>
      <c r="DI131" s="141"/>
      <c r="DJ131" s="141"/>
      <c r="DK131" s="141"/>
      <c r="DL131" s="141"/>
      <c r="DM131" s="141"/>
      <c r="DN131" s="141"/>
      <c r="DO131" s="141"/>
      <c r="DP131" s="141"/>
      <c r="DQ131" s="141"/>
      <c r="DR131" s="141"/>
      <c r="DS131" s="141"/>
      <c r="DT131" s="141" t="s">
        <v>148</v>
      </c>
      <c r="DU131" s="141"/>
      <c r="DV131" s="40"/>
      <c r="DW131" s="40"/>
      <c r="DX131" s="40"/>
      <c r="DY131" s="40"/>
      <c r="DZ131" s="40"/>
      <c r="EA131" s="40"/>
      <c r="EB131" s="40"/>
      <c r="EC131" s="40"/>
      <c r="ED131" s="267"/>
      <c r="EE131" s="35"/>
      <c r="EF131" s="344"/>
      <c r="EG131" s="345"/>
      <c r="EH131" s="344"/>
    </row>
    <row r="132" spans="2:138" s="119" customFormat="1" ht="31.15">
      <c r="B132" s="353"/>
      <c r="C132" s="341"/>
      <c r="D132" s="343"/>
      <c r="E132" s="341"/>
      <c r="F132" s="341"/>
      <c r="G132" s="341"/>
      <c r="H132" s="325" t="s">
        <v>150</v>
      </c>
      <c r="I132" s="237">
        <v>45579</v>
      </c>
      <c r="J132" s="111"/>
      <c r="K132" s="112">
        <v>45694</v>
      </c>
      <c r="L132" s="277" t="s">
        <v>148</v>
      </c>
      <c r="M132" s="195">
        <v>45698</v>
      </c>
      <c r="N132" s="112">
        <v>45708</v>
      </c>
      <c r="O132" s="325">
        <v>45714</v>
      </c>
      <c r="P132" s="112"/>
      <c r="Q132" s="112"/>
      <c r="R132" s="112"/>
      <c r="S132" s="325"/>
      <c r="T132" s="112"/>
      <c r="U132" s="112"/>
      <c r="V132" s="112"/>
      <c r="W132" s="46"/>
      <c r="X132" s="112"/>
      <c r="Y132" s="112"/>
      <c r="Z132" s="112"/>
      <c r="AA132" s="142"/>
      <c r="AB132" s="112"/>
      <c r="AC132" s="112"/>
      <c r="AD132" s="112"/>
      <c r="AE132" s="333"/>
      <c r="AF132" s="333"/>
      <c r="AG132" s="333"/>
      <c r="AH132" s="333"/>
      <c r="AI132" s="333"/>
      <c r="AJ132" s="333"/>
      <c r="AK132" s="333"/>
      <c r="AL132" s="333"/>
      <c r="AM132" s="333"/>
      <c r="AN132" s="333"/>
      <c r="AO132" s="333"/>
      <c r="AP132" s="333"/>
      <c r="AQ132" s="329"/>
      <c r="AR132" s="333"/>
      <c r="AS132" s="333"/>
      <c r="AT132" s="333"/>
      <c r="AU132" s="333"/>
      <c r="AV132" s="333"/>
      <c r="AW132" s="333"/>
      <c r="AX132" s="333"/>
      <c r="AY132" s="333"/>
      <c r="AZ132" s="143"/>
      <c r="BA132" s="143"/>
      <c r="BB132" s="143"/>
      <c r="BC132" s="333"/>
      <c r="BD132" s="333"/>
      <c r="BE132" s="333"/>
      <c r="BF132" s="333"/>
      <c r="BG132" s="333"/>
      <c r="BH132" s="333"/>
      <c r="BI132" s="333"/>
      <c r="BJ132" s="333"/>
      <c r="BK132" s="333"/>
      <c r="BL132" s="333"/>
      <c r="BM132" s="333"/>
      <c r="BN132" s="333"/>
      <c r="BO132" s="333"/>
      <c r="BP132" s="333"/>
      <c r="BQ132" s="333"/>
      <c r="BR132" s="333"/>
      <c r="BS132" s="333"/>
      <c r="BT132" s="333"/>
      <c r="BU132" s="333"/>
      <c r="BV132" s="333"/>
      <c r="BW132" s="333"/>
      <c r="BX132" s="333"/>
      <c r="BY132" s="333"/>
      <c r="BZ132" s="333"/>
      <c r="CA132" s="333"/>
      <c r="CB132" s="333"/>
      <c r="CC132" s="333"/>
      <c r="CD132" s="333"/>
      <c r="CE132" s="333"/>
      <c r="CF132" s="333"/>
      <c r="CG132" s="333"/>
      <c r="CH132" s="333"/>
      <c r="CI132" s="333"/>
      <c r="CJ132" s="333"/>
      <c r="CK132" s="333"/>
      <c r="CL132" s="333"/>
      <c r="CM132" s="333"/>
      <c r="CN132" s="333"/>
      <c r="CO132" s="333"/>
      <c r="CP132" s="333"/>
      <c r="CQ132" s="333"/>
      <c r="CR132" s="333"/>
      <c r="CS132" s="333"/>
      <c r="CT132" s="333"/>
      <c r="CU132" s="333"/>
      <c r="CV132" s="333"/>
      <c r="CW132" s="333"/>
      <c r="CX132" s="333"/>
      <c r="CY132" s="333"/>
      <c r="CZ132" s="333"/>
      <c r="DA132" s="333"/>
      <c r="DB132" s="333"/>
      <c r="DC132" s="333"/>
      <c r="DD132" s="333"/>
      <c r="DE132" s="333"/>
      <c r="DF132" s="333"/>
      <c r="DG132" s="333"/>
      <c r="DH132" s="333"/>
      <c r="DI132" s="333"/>
      <c r="DJ132" s="333"/>
      <c r="DK132" s="333"/>
      <c r="DL132" s="333"/>
      <c r="DM132" s="333"/>
      <c r="DN132" s="333"/>
      <c r="DO132" s="333"/>
      <c r="DP132" s="333"/>
      <c r="DQ132" s="333"/>
      <c r="DR132" s="333"/>
      <c r="DS132" s="333"/>
      <c r="DT132" s="333" t="s">
        <v>148</v>
      </c>
      <c r="DU132" s="334"/>
      <c r="DV132" s="46"/>
      <c r="DW132" s="46"/>
      <c r="DX132" s="46"/>
      <c r="DY132" s="46"/>
      <c r="DZ132" s="46"/>
      <c r="EA132" s="46"/>
      <c r="EB132" s="46"/>
      <c r="EC132" s="46"/>
      <c r="ED132" s="142"/>
      <c r="EE132" s="142"/>
      <c r="EF132" s="344"/>
      <c r="EG132" s="345"/>
      <c r="EH132" s="345"/>
    </row>
    <row r="133" spans="2:138" ht="31.15">
      <c r="B133" s="346" t="s">
        <v>307</v>
      </c>
      <c r="C133" s="348" t="s">
        <v>322</v>
      </c>
      <c r="D133" s="350" t="s">
        <v>270</v>
      </c>
      <c r="E133" s="348" t="s">
        <v>323</v>
      </c>
      <c r="F133" s="348" t="s">
        <v>315</v>
      </c>
      <c r="G133" s="348" t="s">
        <v>146</v>
      </c>
      <c r="H133" s="125" t="s">
        <v>147</v>
      </c>
      <c r="I133" s="238">
        <v>45588</v>
      </c>
      <c r="J133" s="235"/>
      <c r="K133" s="232">
        <v>45600</v>
      </c>
      <c r="L133" s="273" t="s">
        <v>148</v>
      </c>
      <c r="M133" s="126">
        <v>45607</v>
      </c>
      <c r="N133" s="126">
        <f t="shared" ref="N133" si="1101">M133+7</f>
        <v>45614</v>
      </c>
      <c r="O133" s="126" t="s">
        <v>149</v>
      </c>
      <c r="P133" s="126">
        <f t="shared" ref="P133" si="1102">N133+7</f>
        <v>45621</v>
      </c>
      <c r="Q133" s="126">
        <f t="shared" ref="Q133" si="1103">P133+7</f>
        <v>45628</v>
      </c>
      <c r="R133" s="126">
        <f t="shared" ref="R133" si="1104">Q133+7</f>
        <v>45635</v>
      </c>
      <c r="S133" s="127" t="s">
        <v>149</v>
      </c>
      <c r="T133" s="127">
        <f t="shared" ref="T133" si="1105">R133+7</f>
        <v>45642</v>
      </c>
      <c r="U133" s="127">
        <f t="shared" ref="U133" si="1106">T133+7</f>
        <v>45649</v>
      </c>
      <c r="V133" s="127">
        <f t="shared" ref="V133" si="1107">U133+7</f>
        <v>45656</v>
      </c>
      <c r="W133" s="127" t="s">
        <v>149</v>
      </c>
      <c r="X133" s="127">
        <f t="shared" ref="X133" si="1108">V133+7</f>
        <v>45663</v>
      </c>
      <c r="Y133" s="127">
        <f t="shared" ref="Y133" si="1109">X133+7</f>
        <v>45670</v>
      </c>
      <c r="Z133" s="127">
        <f t="shared" ref="Z133" si="1110">Y133+7</f>
        <v>45677</v>
      </c>
      <c r="AA133" s="127" t="s">
        <v>149</v>
      </c>
      <c r="AB133" s="127">
        <f t="shared" ref="AB133" si="1111">Z133+7</f>
        <v>45684</v>
      </c>
      <c r="AC133" s="127">
        <f t="shared" ref="AC133" si="1112">AB133+7</f>
        <v>45691</v>
      </c>
      <c r="AD133" s="127">
        <f t="shared" ref="AD133" si="1113">AC133+7</f>
        <v>45698</v>
      </c>
      <c r="AE133" s="127" t="s">
        <v>149</v>
      </c>
      <c r="AF133" s="127">
        <f t="shared" ref="AF133" si="1114">AD133+7</f>
        <v>45705</v>
      </c>
      <c r="AG133" s="127">
        <f t="shared" ref="AG133" si="1115">AF133+7</f>
        <v>45712</v>
      </c>
      <c r="AH133" s="127">
        <f t="shared" ref="AH133" si="1116">AG133+7</f>
        <v>45719</v>
      </c>
      <c r="AI133" s="127" t="s">
        <v>149</v>
      </c>
      <c r="AJ133" s="127">
        <f t="shared" ref="AJ133" si="1117">AH133+7</f>
        <v>45726</v>
      </c>
      <c r="AK133" s="127">
        <f t="shared" ref="AK133" si="1118">AJ133+7</f>
        <v>45733</v>
      </c>
      <c r="AL133" s="127">
        <f t="shared" ref="AL133" si="1119">AK133+7</f>
        <v>45740</v>
      </c>
      <c r="AM133" s="127" t="s">
        <v>149</v>
      </c>
      <c r="AN133" s="127">
        <f t="shared" ref="AN133" si="1120">AL133+7</f>
        <v>45747</v>
      </c>
      <c r="AO133" s="127">
        <f t="shared" ref="AO133" si="1121">AN133+7</f>
        <v>45754</v>
      </c>
      <c r="AP133" s="127">
        <f t="shared" ref="AP133" si="1122">AO133+7</f>
        <v>45761</v>
      </c>
      <c r="AQ133" s="127" t="s">
        <v>149</v>
      </c>
      <c r="AR133" s="127">
        <f t="shared" ref="AR133" si="1123">AP133+7</f>
        <v>45768</v>
      </c>
      <c r="AS133" s="127">
        <f t="shared" ref="AS133" si="1124">AR133+7</f>
        <v>45775</v>
      </c>
      <c r="AT133" s="127">
        <f t="shared" ref="AT133" si="1125">AS133+7</f>
        <v>45782</v>
      </c>
      <c r="AU133" s="127" t="s">
        <v>149</v>
      </c>
      <c r="AV133" s="127">
        <f t="shared" ref="AV133" si="1126">AT133+7</f>
        <v>45789</v>
      </c>
      <c r="AW133" s="127">
        <f t="shared" ref="AW133" si="1127">AV133+7</f>
        <v>45796</v>
      </c>
      <c r="AX133" s="127">
        <f t="shared" ref="AX133" si="1128">AW133+7</f>
        <v>45803</v>
      </c>
      <c r="AY133" s="127" t="s">
        <v>149</v>
      </c>
      <c r="AZ133" s="127">
        <f t="shared" ref="AZ133" si="1129">AX133+7</f>
        <v>45810</v>
      </c>
      <c r="BA133" s="127">
        <f t="shared" ref="BA133" si="1130">AZ133+7</f>
        <v>45817</v>
      </c>
      <c r="BB133" s="127">
        <f t="shared" ref="BB133" si="1131">BA133+7</f>
        <v>45824</v>
      </c>
      <c r="BC133" s="127" t="s">
        <v>149</v>
      </c>
      <c r="BD133" s="127">
        <f t="shared" ref="BD133" si="1132">BB133+7</f>
        <v>45831</v>
      </c>
      <c r="BE133" s="127">
        <f t="shared" ref="BE133" si="1133">BD133+7</f>
        <v>45838</v>
      </c>
      <c r="BF133" s="127">
        <f t="shared" ref="BF133" si="1134">BE133+7</f>
        <v>45845</v>
      </c>
      <c r="BG133" s="127" t="s">
        <v>148</v>
      </c>
      <c r="BH133" s="127">
        <f t="shared" ref="BH133" si="1135">BF133+7</f>
        <v>45852</v>
      </c>
      <c r="BI133" s="127">
        <f t="shared" ref="BI133" si="1136">BH133+7</f>
        <v>45859</v>
      </c>
      <c r="BJ133" s="127">
        <f t="shared" ref="BJ133" si="1137">BI133+7</f>
        <v>45866</v>
      </c>
      <c r="BK133" s="127" t="s">
        <v>148</v>
      </c>
      <c r="BL133" s="127">
        <f t="shared" ref="BL133" si="1138">BJ133+7</f>
        <v>45873</v>
      </c>
      <c r="BM133" s="127">
        <f t="shared" ref="BM133" si="1139">BL133+7</f>
        <v>45880</v>
      </c>
      <c r="BN133" s="127">
        <f t="shared" ref="BN133" si="1140">BM133+7</f>
        <v>45887</v>
      </c>
      <c r="BO133" s="127" t="s">
        <v>149</v>
      </c>
      <c r="BP133" s="127">
        <f t="shared" ref="BP133" si="1141">BN133+7</f>
        <v>45894</v>
      </c>
      <c r="BQ133" s="127">
        <f t="shared" ref="BQ133" si="1142">BP133+7</f>
        <v>45901</v>
      </c>
      <c r="BR133" s="127">
        <f t="shared" ref="BR133" si="1143">BQ133+7</f>
        <v>45908</v>
      </c>
      <c r="BS133" s="127" t="s">
        <v>148</v>
      </c>
      <c r="BT133" s="127">
        <f t="shared" ref="BT133" si="1144">BR133+7</f>
        <v>45915</v>
      </c>
      <c r="BU133" s="127">
        <f t="shared" ref="BU133" si="1145">BT133+7</f>
        <v>45922</v>
      </c>
      <c r="BV133" s="127">
        <f t="shared" ref="BV133" si="1146">BU133+7</f>
        <v>45929</v>
      </c>
      <c r="BW133" s="127" t="s">
        <v>149</v>
      </c>
      <c r="BX133" s="127">
        <f t="shared" ref="BX133" si="1147">BV133+7</f>
        <v>45936</v>
      </c>
      <c r="BY133" s="127">
        <f t="shared" ref="BY133" si="1148">BX133+7</f>
        <v>45943</v>
      </c>
      <c r="BZ133" s="127">
        <f t="shared" ref="BZ133" si="1149">BY133+7</f>
        <v>45950</v>
      </c>
      <c r="CA133" s="127" t="s">
        <v>149</v>
      </c>
      <c r="CB133" s="127"/>
      <c r="CC133" s="127"/>
      <c r="CD133" s="127"/>
      <c r="CE133" s="127"/>
      <c r="CF133" s="127"/>
      <c r="CG133" s="127"/>
      <c r="CH133" s="127"/>
      <c r="CI133" s="127"/>
      <c r="CJ133" s="127"/>
      <c r="CK133" s="127"/>
      <c r="CL133" s="127"/>
      <c r="CM133" s="127"/>
      <c r="CN133" s="127"/>
      <c r="CO133" s="127"/>
      <c r="CP133" s="127"/>
      <c r="CQ133" s="127"/>
      <c r="CR133" s="127"/>
      <c r="CS133" s="127"/>
      <c r="CT133" s="127"/>
      <c r="CU133" s="127"/>
      <c r="CV133" s="127"/>
      <c r="CW133" s="127"/>
      <c r="CX133" s="127"/>
      <c r="CY133" s="127"/>
      <c r="CZ133" s="127"/>
      <c r="DA133" s="127"/>
      <c r="DB133" s="127"/>
      <c r="DC133" s="127"/>
      <c r="DD133" s="127"/>
      <c r="DE133" s="127"/>
      <c r="DF133" s="127"/>
      <c r="DG133" s="127"/>
      <c r="DH133" s="127"/>
      <c r="DI133" s="127"/>
      <c r="DJ133" s="127"/>
      <c r="DK133" s="127"/>
      <c r="DL133" s="127"/>
      <c r="DM133" s="127"/>
      <c r="DN133" s="127"/>
      <c r="DO133" s="127"/>
      <c r="DP133" s="127"/>
      <c r="DQ133" s="127"/>
      <c r="DR133" s="127"/>
      <c r="DS133" s="127"/>
      <c r="DT133" s="127"/>
      <c r="DU133" s="127"/>
      <c r="DV133" s="125"/>
      <c r="DW133" s="125"/>
      <c r="DX133" s="125"/>
      <c r="DY133" s="125"/>
      <c r="DZ133" s="125"/>
      <c r="EA133" s="125"/>
      <c r="EB133" s="125"/>
      <c r="EC133" s="125"/>
      <c r="ED133" s="268"/>
      <c r="EE133" s="128"/>
      <c r="EF133" s="339"/>
      <c r="EG133" s="338"/>
      <c r="EH133" s="339"/>
    </row>
    <row r="134" spans="2:138" ht="27.75">
      <c r="B134" s="347"/>
      <c r="C134" s="349"/>
      <c r="D134" s="351"/>
      <c r="E134" s="349"/>
      <c r="F134" s="349"/>
      <c r="G134" s="349"/>
      <c r="H134" s="320" t="s">
        <v>150</v>
      </c>
      <c r="I134" s="234">
        <v>45588</v>
      </c>
      <c r="J134" s="212"/>
      <c r="K134" s="113">
        <v>45600</v>
      </c>
      <c r="L134" s="274" t="s">
        <v>148</v>
      </c>
      <c r="M134" s="194">
        <v>45607</v>
      </c>
      <c r="N134" s="207">
        <v>45621</v>
      </c>
      <c r="O134" s="320">
        <v>45628</v>
      </c>
      <c r="P134" s="113">
        <v>45635</v>
      </c>
      <c r="Q134" s="113">
        <v>45643</v>
      </c>
      <c r="R134" s="113">
        <v>45653</v>
      </c>
      <c r="S134" s="320">
        <v>45659</v>
      </c>
      <c r="T134" s="113">
        <v>45665</v>
      </c>
      <c r="U134" s="113">
        <v>45672</v>
      </c>
      <c r="V134" s="113">
        <v>45679</v>
      </c>
      <c r="W134" s="69" t="s">
        <v>272</v>
      </c>
      <c r="X134" s="113">
        <v>45691</v>
      </c>
      <c r="Y134" s="113">
        <v>45698</v>
      </c>
      <c r="Z134" s="113">
        <v>45705</v>
      </c>
      <c r="AA134" s="22">
        <v>45712</v>
      </c>
      <c r="AB134" s="113">
        <v>45721</v>
      </c>
      <c r="AC134" s="113">
        <v>45728</v>
      </c>
      <c r="AD134" s="113">
        <v>45735</v>
      </c>
      <c r="AE134" s="28">
        <v>45742</v>
      </c>
      <c r="AF134" s="28">
        <v>45749</v>
      </c>
      <c r="AG134" s="28">
        <v>45756</v>
      </c>
      <c r="AH134" s="28">
        <v>45763</v>
      </c>
      <c r="AI134" s="28" t="s">
        <v>149</v>
      </c>
      <c r="AJ134" s="28">
        <v>45777</v>
      </c>
      <c r="AK134" s="28">
        <v>45784</v>
      </c>
      <c r="AL134" s="28">
        <v>45791</v>
      </c>
      <c r="AM134" s="28" t="s">
        <v>149</v>
      </c>
      <c r="AN134" s="28">
        <v>45803</v>
      </c>
      <c r="AO134" s="28">
        <v>45810</v>
      </c>
      <c r="AP134" s="28">
        <v>45817</v>
      </c>
      <c r="AQ134" s="323">
        <v>45824</v>
      </c>
      <c r="AR134" s="28">
        <v>45833</v>
      </c>
      <c r="AS134" s="28">
        <v>45840</v>
      </c>
      <c r="AT134" s="28">
        <v>45847</v>
      </c>
      <c r="AU134" s="28">
        <v>45854</v>
      </c>
      <c r="AV134" s="28">
        <v>45859</v>
      </c>
      <c r="AW134" s="28">
        <v>45866</v>
      </c>
      <c r="AX134" s="28">
        <v>45873</v>
      </c>
      <c r="AY134" s="28" t="s">
        <v>148</v>
      </c>
      <c r="AZ134" s="28">
        <v>45887</v>
      </c>
      <c r="BA134" s="28">
        <v>45894</v>
      </c>
      <c r="BB134" s="28">
        <v>45901</v>
      </c>
      <c r="BC134" s="28">
        <v>45908</v>
      </c>
      <c r="BD134" s="28">
        <v>45915</v>
      </c>
      <c r="BE134" s="28">
        <v>45922</v>
      </c>
      <c r="BF134" s="28">
        <v>45929</v>
      </c>
      <c r="BG134" s="28" t="s">
        <v>148</v>
      </c>
      <c r="BH134" s="28">
        <v>45945</v>
      </c>
      <c r="BI134" s="28">
        <v>45952</v>
      </c>
      <c r="BJ134" s="28">
        <v>45959</v>
      </c>
      <c r="BK134" s="28" t="s">
        <v>148</v>
      </c>
      <c r="BL134" s="28">
        <v>45973</v>
      </c>
      <c r="BM134" s="28">
        <v>45980</v>
      </c>
      <c r="BN134" s="28">
        <v>45987</v>
      </c>
      <c r="BO134" s="28">
        <v>45994</v>
      </c>
      <c r="BP134" s="28">
        <v>46001</v>
      </c>
      <c r="BQ134" s="28">
        <v>46008</v>
      </c>
      <c r="BR134" s="28">
        <v>46015</v>
      </c>
      <c r="BS134" s="28" t="s">
        <v>149</v>
      </c>
      <c r="BT134" s="28">
        <v>46029</v>
      </c>
      <c r="BU134" s="28">
        <v>46036</v>
      </c>
      <c r="BV134" s="28">
        <v>46043</v>
      </c>
      <c r="BW134" s="28">
        <v>46050</v>
      </c>
      <c r="BX134" s="28">
        <v>46057</v>
      </c>
      <c r="BY134" s="28">
        <v>46064</v>
      </c>
      <c r="BZ134" s="28">
        <v>46073</v>
      </c>
      <c r="CA134" s="28">
        <v>46080</v>
      </c>
      <c r="CB134" s="28">
        <v>46085</v>
      </c>
      <c r="CC134" s="28">
        <v>46092</v>
      </c>
      <c r="CD134" s="28">
        <v>46099</v>
      </c>
      <c r="CE134" s="28" t="s">
        <v>148</v>
      </c>
      <c r="CF134" s="28">
        <v>46113</v>
      </c>
      <c r="CG134" s="28">
        <v>46120</v>
      </c>
      <c r="CH134" s="28">
        <v>46127</v>
      </c>
      <c r="CI134" s="28">
        <v>46134</v>
      </c>
      <c r="CJ134" s="28">
        <v>46141</v>
      </c>
      <c r="CK134" s="28">
        <v>46148</v>
      </c>
      <c r="CL134" s="28">
        <v>46155</v>
      </c>
      <c r="CM134" s="28">
        <v>46162</v>
      </c>
      <c r="CN134" s="28">
        <v>46169</v>
      </c>
      <c r="CO134" s="28">
        <v>46177</v>
      </c>
      <c r="CP134" s="28">
        <v>46184</v>
      </c>
      <c r="CQ134" s="305">
        <v>46191</v>
      </c>
      <c r="CR134" s="28">
        <v>46197</v>
      </c>
      <c r="CS134" s="28">
        <v>46204</v>
      </c>
      <c r="CT134" s="28">
        <v>46211</v>
      </c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DS134" s="28"/>
      <c r="DT134" s="28"/>
      <c r="DU134" s="132"/>
      <c r="DV134" s="69"/>
      <c r="DW134" s="69"/>
      <c r="DX134" s="69"/>
      <c r="DY134" s="69"/>
      <c r="DZ134" s="69"/>
      <c r="EA134" s="69"/>
      <c r="EB134" s="69"/>
      <c r="EC134" s="69"/>
      <c r="ED134" s="22"/>
      <c r="EE134" s="22"/>
      <c r="EF134" s="339"/>
      <c r="EG134" s="338"/>
      <c r="EH134" s="338"/>
    </row>
    <row r="135" spans="2:138" ht="31.15">
      <c r="B135" s="356" t="s">
        <v>311</v>
      </c>
      <c r="C135" s="358" t="s">
        <v>324</v>
      </c>
      <c r="D135" s="358" t="s">
        <v>157</v>
      </c>
      <c r="E135" s="358" t="s">
        <v>325</v>
      </c>
      <c r="F135" s="358" t="s">
        <v>315</v>
      </c>
      <c r="G135" s="358" t="s">
        <v>146</v>
      </c>
      <c r="H135" s="164" t="s">
        <v>147</v>
      </c>
      <c r="I135" s="284">
        <v>45719</v>
      </c>
      <c r="J135" s="172"/>
      <c r="K135" s="228">
        <v>45726</v>
      </c>
      <c r="L135" s="273" t="s">
        <v>148</v>
      </c>
      <c r="M135" s="229">
        <f>K135+7</f>
        <v>45733</v>
      </c>
      <c r="N135" s="229">
        <f>M135+7</f>
        <v>45740</v>
      </c>
      <c r="O135" s="229" t="s">
        <v>149</v>
      </c>
      <c r="P135" s="229">
        <f>N135+7</f>
        <v>45747</v>
      </c>
      <c r="Q135" s="229">
        <f>P135+7</f>
        <v>45754</v>
      </c>
      <c r="R135" s="229">
        <f>Q135+7</f>
        <v>45761</v>
      </c>
      <c r="S135" s="230" t="s">
        <v>149</v>
      </c>
      <c r="T135" s="230">
        <f>R135+7</f>
        <v>45768</v>
      </c>
      <c r="U135" s="230">
        <f>T135+7</f>
        <v>45775</v>
      </c>
      <c r="V135" s="230">
        <f>U135+7</f>
        <v>45782</v>
      </c>
      <c r="W135" s="230" t="s">
        <v>149</v>
      </c>
      <c r="X135" s="230">
        <f>V135+7</f>
        <v>45789</v>
      </c>
      <c r="Y135" s="230">
        <f>X135+7</f>
        <v>45796</v>
      </c>
      <c r="Z135" s="230">
        <f>Y135+7</f>
        <v>45803</v>
      </c>
      <c r="AA135" s="230" t="s">
        <v>149</v>
      </c>
      <c r="AB135" s="230">
        <f>Z135+7</f>
        <v>45810</v>
      </c>
      <c r="AC135" s="230">
        <f>AB135+7</f>
        <v>45817</v>
      </c>
      <c r="AD135" s="230">
        <f>AC135+7</f>
        <v>45824</v>
      </c>
      <c r="AE135" s="230" t="s">
        <v>149</v>
      </c>
      <c r="AF135" s="230">
        <f>AD135+7</f>
        <v>45831</v>
      </c>
      <c r="AG135" s="230">
        <f>AF135+7</f>
        <v>45838</v>
      </c>
      <c r="AH135" s="230">
        <f>AG135+7</f>
        <v>45845</v>
      </c>
      <c r="AI135" s="230" t="s">
        <v>149</v>
      </c>
      <c r="AJ135" s="230">
        <f>AH135+7</f>
        <v>45852</v>
      </c>
      <c r="AK135" s="230">
        <f>AJ135+7</f>
        <v>45859</v>
      </c>
      <c r="AL135" s="230">
        <f>AK135+7</f>
        <v>45866</v>
      </c>
      <c r="AM135" s="230" t="s">
        <v>149</v>
      </c>
      <c r="AN135" s="230">
        <f>AL135+7</f>
        <v>45873</v>
      </c>
      <c r="AO135" s="230">
        <f>AN135+7</f>
        <v>45880</v>
      </c>
      <c r="AP135" s="230">
        <f>AO135+7</f>
        <v>45887</v>
      </c>
      <c r="AQ135" s="230" t="s">
        <v>149</v>
      </c>
      <c r="AR135" s="230">
        <f>AP135+7</f>
        <v>45894</v>
      </c>
      <c r="AS135" s="230">
        <f>AR135+7</f>
        <v>45901</v>
      </c>
      <c r="AT135" s="230">
        <f>AS135+7</f>
        <v>45908</v>
      </c>
      <c r="AU135" s="231" t="s">
        <v>149</v>
      </c>
      <c r="AV135" s="230">
        <f>AT135+7</f>
        <v>45915</v>
      </c>
      <c r="AW135" s="230">
        <f>AV135+7</f>
        <v>45922</v>
      </c>
      <c r="AX135" s="230">
        <f>AW135+7</f>
        <v>45929</v>
      </c>
      <c r="AY135" s="231" t="s">
        <v>149</v>
      </c>
      <c r="AZ135" s="230">
        <f>AX135+7</f>
        <v>45936</v>
      </c>
      <c r="BA135" s="230">
        <f>AZ135+7</f>
        <v>45943</v>
      </c>
      <c r="BB135" s="230">
        <f>BA135+7</f>
        <v>45950</v>
      </c>
      <c r="BC135" s="231" t="s">
        <v>149</v>
      </c>
      <c r="BD135" s="231"/>
      <c r="BE135" s="231"/>
      <c r="BF135" s="231"/>
      <c r="BG135" s="231"/>
      <c r="BH135" s="231"/>
      <c r="BI135" s="231"/>
      <c r="BJ135" s="231"/>
      <c r="BK135" s="231"/>
      <c r="BL135" s="231"/>
      <c r="BM135" s="231"/>
      <c r="BN135" s="231"/>
      <c r="BO135" s="231"/>
      <c r="BP135" s="231"/>
      <c r="BQ135" s="231"/>
      <c r="BR135" s="231"/>
      <c r="BS135" s="231"/>
      <c r="BT135" s="231"/>
      <c r="BU135" s="231"/>
      <c r="BV135" s="231"/>
      <c r="BW135" s="231"/>
      <c r="BX135" s="231"/>
      <c r="BY135" s="231"/>
      <c r="BZ135" s="168"/>
      <c r="CA135" s="168"/>
      <c r="CB135" s="168"/>
      <c r="CC135" s="168"/>
      <c r="CD135" s="168"/>
      <c r="CE135" s="168"/>
      <c r="CF135" s="168"/>
      <c r="CG135" s="168"/>
      <c r="CH135" s="168"/>
      <c r="CI135" s="168"/>
      <c r="CJ135" s="168"/>
      <c r="CK135" s="168"/>
      <c r="CL135" s="168"/>
      <c r="CM135" s="168"/>
      <c r="CN135" s="168"/>
      <c r="CO135" s="168"/>
      <c r="CP135" s="168"/>
      <c r="CQ135" s="168"/>
      <c r="CR135" s="168"/>
      <c r="CS135" s="168"/>
      <c r="CT135" s="168"/>
      <c r="CU135" s="168"/>
      <c r="CV135" s="168"/>
      <c r="CW135" s="168"/>
      <c r="CX135" s="168"/>
      <c r="CY135" s="168"/>
      <c r="CZ135" s="168"/>
      <c r="DA135" s="168"/>
      <c r="DB135" s="168"/>
      <c r="DC135" s="168"/>
      <c r="DD135" s="168"/>
      <c r="DE135" s="168"/>
      <c r="DF135" s="168"/>
      <c r="DG135" s="168"/>
      <c r="DH135" s="168"/>
      <c r="DI135" s="168"/>
      <c r="DJ135" s="168"/>
      <c r="DK135" s="168"/>
      <c r="DL135" s="168"/>
      <c r="DM135" s="168"/>
      <c r="DN135" s="168"/>
      <c r="DO135" s="168"/>
      <c r="DP135" s="168"/>
      <c r="DQ135" s="168"/>
      <c r="DR135" s="168"/>
      <c r="DS135" s="168"/>
      <c r="DT135" s="211">
        <v>46084</v>
      </c>
      <c r="DU135" s="211"/>
      <c r="DV135" s="209"/>
      <c r="DW135" s="209"/>
      <c r="DX135" s="209"/>
      <c r="DY135" s="209"/>
      <c r="DZ135" s="209"/>
      <c r="EA135" s="209"/>
      <c r="EB135" s="209"/>
      <c r="EC135" s="209"/>
      <c r="ED135" s="21"/>
      <c r="EE135" s="21"/>
      <c r="EF135" s="339"/>
      <c r="EG135" s="338"/>
      <c r="EH135" s="339"/>
    </row>
    <row r="136" spans="2:138" ht="31.15">
      <c r="B136" s="357"/>
      <c r="C136" s="359"/>
      <c r="D136" s="359"/>
      <c r="E136" s="359"/>
      <c r="F136" s="359"/>
      <c r="G136" s="359"/>
      <c r="H136" s="324" t="s">
        <v>150</v>
      </c>
      <c r="I136" s="285">
        <v>45719</v>
      </c>
      <c r="J136" s="175"/>
      <c r="K136" s="169">
        <v>45726</v>
      </c>
      <c r="L136" s="274" t="s">
        <v>148</v>
      </c>
      <c r="M136" s="169">
        <v>45733</v>
      </c>
      <c r="N136" s="169">
        <v>45740</v>
      </c>
      <c r="O136" s="324">
        <v>45747</v>
      </c>
      <c r="P136" s="169">
        <v>45754</v>
      </c>
      <c r="Q136" s="169">
        <v>45761</v>
      </c>
      <c r="R136" s="169">
        <v>45768</v>
      </c>
      <c r="S136" s="324">
        <v>45775</v>
      </c>
      <c r="T136" s="169">
        <v>45782</v>
      </c>
      <c r="U136" s="169">
        <v>45789</v>
      </c>
      <c r="V136" s="169">
        <v>45796</v>
      </c>
      <c r="W136" s="324">
        <v>45804</v>
      </c>
      <c r="X136" s="169">
        <v>45810</v>
      </c>
      <c r="Y136" s="169">
        <v>45817</v>
      </c>
      <c r="Z136" s="169">
        <v>45824</v>
      </c>
      <c r="AA136" s="324">
        <v>45831</v>
      </c>
      <c r="AB136" s="169">
        <v>45838</v>
      </c>
      <c r="AC136" s="169">
        <v>45845</v>
      </c>
      <c r="AD136" s="169">
        <v>45852</v>
      </c>
      <c r="AE136" s="324">
        <v>45859</v>
      </c>
      <c r="AF136" s="169">
        <v>45866</v>
      </c>
      <c r="AG136" s="169">
        <v>45873</v>
      </c>
      <c r="AH136" s="169">
        <v>45880</v>
      </c>
      <c r="AI136" s="324">
        <v>45887</v>
      </c>
      <c r="AJ136" s="169">
        <v>45894</v>
      </c>
      <c r="AK136" s="169">
        <v>45902</v>
      </c>
      <c r="AL136" s="169">
        <v>45908</v>
      </c>
      <c r="AM136" s="324" t="s">
        <v>148</v>
      </c>
      <c r="AN136" s="169">
        <v>45922</v>
      </c>
      <c r="AO136" s="169">
        <v>45929</v>
      </c>
      <c r="AP136" s="169">
        <v>45936</v>
      </c>
      <c r="AQ136" s="324">
        <v>45943</v>
      </c>
      <c r="AR136" s="169">
        <v>45950</v>
      </c>
      <c r="AS136" s="169">
        <v>45957</v>
      </c>
      <c r="AT136" s="169">
        <v>45978</v>
      </c>
      <c r="AU136" s="80">
        <v>45985</v>
      </c>
      <c r="AV136" s="169">
        <v>45999</v>
      </c>
      <c r="AW136" s="169">
        <v>46006</v>
      </c>
      <c r="AX136" s="169">
        <v>46013</v>
      </c>
      <c r="AY136" s="80">
        <v>46027</v>
      </c>
      <c r="AZ136" s="169">
        <v>46043</v>
      </c>
      <c r="BA136" s="169" t="s">
        <v>272</v>
      </c>
      <c r="BB136" s="169">
        <v>46055</v>
      </c>
      <c r="BC136" s="80">
        <v>46062</v>
      </c>
      <c r="BD136" s="170">
        <v>46071</v>
      </c>
      <c r="BE136" s="170" t="s">
        <v>181</v>
      </c>
      <c r="BF136" s="170" t="s">
        <v>181</v>
      </c>
      <c r="BG136" s="170"/>
      <c r="BH136" s="170"/>
      <c r="BI136" s="170"/>
      <c r="BJ136" s="170"/>
      <c r="BK136" s="170"/>
      <c r="BL136" s="170"/>
      <c r="BM136" s="170"/>
      <c r="BN136" s="170"/>
      <c r="BO136" s="170"/>
      <c r="BP136" s="170"/>
      <c r="BQ136" s="170"/>
      <c r="BR136" s="170"/>
      <c r="BS136" s="170"/>
      <c r="BT136" s="170"/>
      <c r="BU136" s="170"/>
      <c r="BV136" s="170"/>
      <c r="BW136" s="170"/>
      <c r="BX136" s="170"/>
      <c r="BY136" s="170"/>
      <c r="BZ136" s="170"/>
      <c r="CA136" s="170"/>
      <c r="CB136" s="170"/>
      <c r="CC136" s="170"/>
      <c r="CD136" s="170"/>
      <c r="CE136" s="170"/>
      <c r="CF136" s="170"/>
      <c r="CG136" s="170"/>
      <c r="CH136" s="170"/>
      <c r="CI136" s="170"/>
      <c r="CJ136" s="170"/>
      <c r="CK136" s="170"/>
      <c r="CL136" s="170"/>
      <c r="CM136" s="170"/>
      <c r="CN136" s="170"/>
      <c r="CO136" s="170"/>
      <c r="CP136" s="170"/>
      <c r="CQ136" s="170"/>
      <c r="CR136" s="170"/>
      <c r="CS136" s="170"/>
      <c r="CT136" s="170"/>
      <c r="CU136" s="170"/>
      <c r="CV136" s="170"/>
      <c r="CW136" s="170"/>
      <c r="CX136" s="170"/>
      <c r="CY136" s="170"/>
      <c r="CZ136" s="170"/>
      <c r="DA136" s="170"/>
      <c r="DB136" s="170"/>
      <c r="DC136" s="170"/>
      <c r="DD136" s="170"/>
      <c r="DE136" s="170"/>
      <c r="DF136" s="170"/>
      <c r="DG136" s="170"/>
      <c r="DH136" s="170"/>
      <c r="DI136" s="170"/>
      <c r="DJ136" s="170"/>
      <c r="DK136" s="170"/>
      <c r="DL136" s="170"/>
      <c r="DM136" s="170"/>
      <c r="DN136" s="170"/>
      <c r="DO136" s="170"/>
      <c r="DP136" s="170"/>
      <c r="DQ136" s="170"/>
      <c r="DR136" s="170"/>
      <c r="DS136" s="170"/>
      <c r="DT136" s="113">
        <v>46084</v>
      </c>
      <c r="DU136" s="140">
        <v>46099</v>
      </c>
      <c r="DV136" s="320"/>
      <c r="DW136" s="320"/>
      <c r="DX136" s="320"/>
      <c r="DY136" s="320"/>
      <c r="DZ136" s="320"/>
      <c r="EA136" s="320"/>
      <c r="EB136" s="320"/>
      <c r="EC136" s="320"/>
      <c r="ED136" s="214"/>
      <c r="EE136" s="214"/>
      <c r="EF136" s="339"/>
      <c r="EG136" s="338"/>
      <c r="EH136" s="338"/>
    </row>
    <row r="137" spans="2:138" s="119" customFormat="1" ht="31.15">
      <c r="B137" s="352" t="s">
        <v>261</v>
      </c>
      <c r="C137" s="340" t="s">
        <v>326</v>
      </c>
      <c r="D137" s="342" t="s">
        <v>143</v>
      </c>
      <c r="E137" s="340"/>
      <c r="F137" s="340" t="s">
        <v>158</v>
      </c>
      <c r="G137" s="340" t="s">
        <v>146</v>
      </c>
      <c r="H137" s="32" t="s">
        <v>147</v>
      </c>
      <c r="I137" s="243">
        <v>45719</v>
      </c>
      <c r="J137" s="96"/>
      <c r="K137" s="243"/>
      <c r="L137" s="276" t="s">
        <v>148</v>
      </c>
      <c r="M137" s="33">
        <f>K137+7</f>
        <v>7</v>
      </c>
      <c r="N137" s="33">
        <f>M137+7</f>
        <v>14</v>
      </c>
      <c r="O137" s="33" t="s">
        <v>149</v>
      </c>
      <c r="P137" s="33">
        <f>N137+7</f>
        <v>21</v>
      </c>
      <c r="Q137" s="33">
        <f>P137+7</f>
        <v>28</v>
      </c>
      <c r="R137" s="33">
        <f>Q137+7</f>
        <v>35</v>
      </c>
      <c r="S137" s="34" t="s">
        <v>149</v>
      </c>
      <c r="T137" s="34">
        <f>R137+7</f>
        <v>42</v>
      </c>
      <c r="U137" s="34">
        <f>T137+7</f>
        <v>49</v>
      </c>
      <c r="V137" s="34">
        <f>U137+7</f>
        <v>56</v>
      </c>
      <c r="W137" s="34" t="s">
        <v>149</v>
      </c>
      <c r="X137" s="34">
        <f>V137+7</f>
        <v>63</v>
      </c>
      <c r="Y137" s="34">
        <f>X137+7</f>
        <v>70</v>
      </c>
      <c r="Z137" s="34">
        <f>Y137+7</f>
        <v>77</v>
      </c>
      <c r="AA137" s="34" t="s">
        <v>149</v>
      </c>
      <c r="AB137" s="34">
        <f>Z137+7</f>
        <v>84</v>
      </c>
      <c r="AC137" s="34">
        <f>AB137+7</f>
        <v>91</v>
      </c>
      <c r="AD137" s="34">
        <f>AC137+7</f>
        <v>98</v>
      </c>
      <c r="AE137" s="34" t="s">
        <v>149</v>
      </c>
      <c r="AF137" s="34">
        <f>AD137+7</f>
        <v>105</v>
      </c>
      <c r="AG137" s="34">
        <f>AF137+7</f>
        <v>112</v>
      </c>
      <c r="AH137" s="34">
        <f>AG137+7</f>
        <v>119</v>
      </c>
      <c r="AI137" s="34" t="s">
        <v>149</v>
      </c>
      <c r="AJ137" s="34">
        <f>AH137+7</f>
        <v>126</v>
      </c>
      <c r="AK137" s="34">
        <f>AJ137+7</f>
        <v>133</v>
      </c>
      <c r="AL137" s="34">
        <f>AK137+7</f>
        <v>140</v>
      </c>
      <c r="AM137" s="34" t="s">
        <v>149</v>
      </c>
      <c r="AN137" s="34">
        <f>AL137+7</f>
        <v>147</v>
      </c>
      <c r="AO137" s="34">
        <f>AN137+7</f>
        <v>154</v>
      </c>
      <c r="AP137" s="34">
        <f>AO137+7</f>
        <v>161</v>
      </c>
      <c r="AQ137" s="34" t="s">
        <v>149</v>
      </c>
      <c r="AR137" s="34">
        <f>AP137+7</f>
        <v>168</v>
      </c>
      <c r="AS137" s="34">
        <f>AR137+7</f>
        <v>175</v>
      </c>
      <c r="AT137" s="34">
        <f>AS137+7</f>
        <v>182</v>
      </c>
      <c r="AU137" s="34" t="s">
        <v>149</v>
      </c>
      <c r="AV137" s="34">
        <f>AT137+7</f>
        <v>189</v>
      </c>
      <c r="AW137" s="34">
        <f>AV137+7</f>
        <v>196</v>
      </c>
      <c r="AX137" s="34">
        <f>AW137+7</f>
        <v>203</v>
      </c>
      <c r="AY137" s="34" t="s">
        <v>149</v>
      </c>
      <c r="AZ137" s="34">
        <f>AX137+7</f>
        <v>210</v>
      </c>
      <c r="BA137" s="34">
        <f>AZ137+7</f>
        <v>217</v>
      </c>
      <c r="BB137" s="34">
        <f>BA137+7</f>
        <v>224</v>
      </c>
      <c r="BC137" s="34" t="s">
        <v>149</v>
      </c>
      <c r="BD137" s="34">
        <f>BB137+7</f>
        <v>231</v>
      </c>
      <c r="BE137" s="34">
        <f>BD137+7</f>
        <v>238</v>
      </c>
      <c r="BF137" s="34">
        <f>BE137+7</f>
        <v>245</v>
      </c>
      <c r="BG137" s="34" t="s">
        <v>148</v>
      </c>
      <c r="BH137" s="34">
        <f>BF137+7</f>
        <v>252</v>
      </c>
      <c r="BI137" s="34">
        <f>BH137+7</f>
        <v>259</v>
      </c>
      <c r="BJ137" s="34">
        <f>BI137+7</f>
        <v>266</v>
      </c>
      <c r="BK137" s="34" t="s">
        <v>148</v>
      </c>
      <c r="BL137" s="34">
        <f>BJ137+7</f>
        <v>273</v>
      </c>
      <c r="BM137" s="34">
        <f>BL137+7</f>
        <v>280</v>
      </c>
      <c r="BN137" s="34">
        <f>BM137+7</f>
        <v>287</v>
      </c>
      <c r="BO137" s="34" t="s">
        <v>149</v>
      </c>
      <c r="BP137" s="34">
        <f>BN137+7</f>
        <v>294</v>
      </c>
      <c r="BQ137" s="34">
        <f>BP137+7</f>
        <v>301</v>
      </c>
      <c r="BR137" s="34">
        <f>BQ137+7</f>
        <v>308</v>
      </c>
      <c r="BS137" s="34" t="s">
        <v>148</v>
      </c>
      <c r="BT137" s="34">
        <f>BR137+7</f>
        <v>315</v>
      </c>
      <c r="BU137" s="34">
        <f>BT137+7</f>
        <v>322</v>
      </c>
      <c r="BV137" s="34">
        <f>BU137+7</f>
        <v>329</v>
      </c>
      <c r="BW137" s="34" t="s">
        <v>149</v>
      </c>
      <c r="BX137" s="34">
        <f>BV137+7</f>
        <v>336</v>
      </c>
      <c r="BY137" s="34">
        <f>BX137+7</f>
        <v>343</v>
      </c>
      <c r="BZ137" s="34">
        <f>BY137+7</f>
        <v>350</v>
      </c>
      <c r="CA137" s="34" t="s">
        <v>149</v>
      </c>
      <c r="CB137" s="34">
        <f>BZ137+7</f>
        <v>357</v>
      </c>
      <c r="CC137" s="34">
        <f>CB137+7</f>
        <v>364</v>
      </c>
      <c r="CD137" s="34">
        <f>CC137+7</f>
        <v>371</v>
      </c>
      <c r="CE137" s="34" t="s">
        <v>148</v>
      </c>
      <c r="CF137" s="34">
        <f>CD137+7</f>
        <v>378</v>
      </c>
      <c r="CG137" s="34"/>
      <c r="CH137" s="34"/>
      <c r="CI137" s="34" t="s">
        <v>148</v>
      </c>
      <c r="CJ137" s="34"/>
      <c r="CK137" s="34"/>
      <c r="CL137" s="34"/>
      <c r="CM137" s="34" t="s">
        <v>148</v>
      </c>
      <c r="CN137" s="34"/>
      <c r="CO137" s="34"/>
      <c r="CP137" s="34"/>
      <c r="CQ137" s="34"/>
      <c r="CR137" s="34"/>
      <c r="CS137" s="34"/>
      <c r="CT137" s="34"/>
      <c r="CU137" s="34"/>
      <c r="CV137" s="34"/>
      <c r="CW137" s="34"/>
      <c r="CX137" s="34"/>
      <c r="CY137" s="34"/>
      <c r="CZ137" s="34"/>
      <c r="DA137" s="34"/>
      <c r="DB137" s="34"/>
      <c r="DC137" s="34"/>
      <c r="DD137" s="34"/>
      <c r="DE137" s="34"/>
      <c r="DF137" s="34"/>
      <c r="DG137" s="34"/>
      <c r="DH137" s="34"/>
      <c r="DI137" s="34"/>
      <c r="DJ137" s="34"/>
      <c r="DK137" s="34"/>
      <c r="DL137" s="34"/>
      <c r="DM137" s="34"/>
      <c r="DN137" s="34"/>
      <c r="DO137" s="34"/>
      <c r="DP137" s="34"/>
      <c r="DQ137" s="34"/>
      <c r="DR137" s="34"/>
      <c r="DS137" s="34"/>
      <c r="DT137" s="34"/>
      <c r="DU137" s="34"/>
      <c r="DV137" s="32"/>
      <c r="DW137" s="32"/>
      <c r="DX137" s="32"/>
      <c r="DY137" s="32"/>
      <c r="DZ137" s="32"/>
      <c r="EA137" s="32"/>
      <c r="EB137" s="32"/>
      <c r="EC137" s="32"/>
      <c r="ED137" s="123"/>
      <c r="EE137" s="54"/>
      <c r="EF137" s="344"/>
      <c r="EG137" s="345"/>
      <c r="EH137" s="344"/>
    </row>
    <row r="138" spans="2:138" s="119" customFormat="1" ht="31.15">
      <c r="B138" s="353"/>
      <c r="C138" s="341"/>
      <c r="D138" s="343"/>
      <c r="E138" s="341"/>
      <c r="F138" s="341"/>
      <c r="G138" s="341"/>
      <c r="H138" s="325" t="s">
        <v>150</v>
      </c>
      <c r="I138" s="237">
        <v>45719</v>
      </c>
      <c r="J138" s="111"/>
      <c r="K138" s="237"/>
      <c r="L138" s="277" t="s">
        <v>148</v>
      </c>
      <c r="M138" s="237"/>
      <c r="N138" s="237"/>
      <c r="O138" s="325"/>
      <c r="P138" s="237"/>
      <c r="Q138" s="237"/>
      <c r="R138" s="237"/>
      <c r="S138" s="325"/>
      <c r="T138" s="237"/>
      <c r="U138" s="237"/>
      <c r="V138" s="237"/>
      <c r="W138" s="325"/>
      <c r="X138" s="237"/>
      <c r="Y138" s="237"/>
      <c r="Z138" s="237"/>
      <c r="AA138" s="325"/>
      <c r="AB138" s="237"/>
      <c r="AC138" s="237"/>
      <c r="AD138" s="237"/>
      <c r="AE138" s="325"/>
      <c r="AF138" s="325"/>
      <c r="AG138" s="325"/>
      <c r="AH138" s="325"/>
      <c r="AI138" s="325"/>
      <c r="AJ138" s="325"/>
      <c r="AK138" s="325"/>
      <c r="AL138" s="325"/>
      <c r="AM138" s="325"/>
      <c r="AN138" s="325"/>
      <c r="AO138" s="325"/>
      <c r="AP138" s="325"/>
      <c r="AQ138" s="331"/>
      <c r="AR138" s="325"/>
      <c r="AS138" s="325"/>
      <c r="AT138" s="325"/>
      <c r="AU138" s="325"/>
      <c r="AV138" s="325"/>
      <c r="AW138" s="325"/>
      <c r="AX138" s="325"/>
      <c r="AY138" s="325"/>
      <c r="AZ138" s="325"/>
      <c r="BA138" s="325"/>
      <c r="BB138" s="325"/>
      <c r="BC138" s="325"/>
      <c r="BD138" s="325"/>
      <c r="BE138" s="325"/>
      <c r="BF138" s="325"/>
      <c r="BG138" s="325"/>
      <c r="BH138" s="325"/>
      <c r="BI138" s="325"/>
      <c r="BJ138" s="325"/>
      <c r="BK138" s="325"/>
      <c r="BL138" s="325"/>
      <c r="BM138" s="325"/>
      <c r="BN138" s="325"/>
      <c r="BO138" s="325"/>
      <c r="BP138" s="325"/>
      <c r="BQ138" s="325"/>
      <c r="BR138" s="325"/>
      <c r="BS138" s="325"/>
      <c r="BT138" s="325"/>
      <c r="BU138" s="325"/>
      <c r="BV138" s="325"/>
      <c r="BW138" s="325"/>
      <c r="BX138" s="325"/>
      <c r="BY138" s="325"/>
      <c r="BZ138" s="325"/>
      <c r="CA138" s="325"/>
      <c r="CB138" s="325"/>
      <c r="CC138" s="325"/>
      <c r="CD138" s="325"/>
      <c r="CE138" s="325"/>
      <c r="CF138" s="325"/>
      <c r="CG138" s="325"/>
      <c r="CH138" s="325"/>
      <c r="CI138" s="325"/>
      <c r="CJ138" s="325"/>
      <c r="CK138" s="325"/>
      <c r="CL138" s="325"/>
      <c r="CM138" s="325"/>
      <c r="CN138" s="325"/>
      <c r="CO138" s="325"/>
      <c r="CP138" s="325"/>
      <c r="CQ138" s="325"/>
      <c r="CR138" s="325"/>
      <c r="CS138" s="325"/>
      <c r="CT138" s="325"/>
      <c r="CU138" s="325"/>
      <c r="CV138" s="325"/>
      <c r="CW138" s="325"/>
      <c r="CX138" s="325"/>
      <c r="CY138" s="325"/>
      <c r="CZ138" s="325"/>
      <c r="DA138" s="325"/>
      <c r="DB138" s="325"/>
      <c r="DC138" s="325"/>
      <c r="DD138" s="325"/>
      <c r="DE138" s="325"/>
      <c r="DF138" s="325"/>
      <c r="DG138" s="325"/>
      <c r="DH138" s="325"/>
      <c r="DI138" s="325"/>
      <c r="DJ138" s="325"/>
      <c r="DK138" s="325"/>
      <c r="DL138" s="325"/>
      <c r="DM138" s="325"/>
      <c r="DN138" s="325"/>
      <c r="DO138" s="325"/>
      <c r="DP138" s="325"/>
      <c r="DQ138" s="325"/>
      <c r="DR138" s="325"/>
      <c r="DS138" s="325"/>
      <c r="DT138" s="325"/>
      <c r="DU138" s="334"/>
      <c r="DV138" s="244"/>
      <c r="DW138" s="46"/>
      <c r="DX138" s="46"/>
      <c r="DY138" s="46"/>
      <c r="DZ138" s="46"/>
      <c r="EA138" s="46"/>
      <c r="EB138" s="46"/>
      <c r="EC138" s="46"/>
      <c r="ED138" s="142"/>
      <c r="EE138" s="142"/>
      <c r="EF138" s="344"/>
      <c r="EG138" s="345"/>
      <c r="EH138" s="345"/>
    </row>
    <row r="139" spans="2:138" s="119" customFormat="1" ht="31.15">
      <c r="B139" s="352" t="s">
        <v>261</v>
      </c>
      <c r="C139" s="340" t="s">
        <v>327</v>
      </c>
      <c r="D139" s="342" t="s">
        <v>212</v>
      </c>
      <c r="E139" s="342" t="s">
        <v>305</v>
      </c>
      <c r="F139" s="342" t="s">
        <v>158</v>
      </c>
      <c r="G139" s="342" t="s">
        <v>146</v>
      </c>
      <c r="H139" s="32" t="s">
        <v>147</v>
      </c>
      <c r="I139" s="241">
        <v>45673</v>
      </c>
      <c r="J139" s="85"/>
      <c r="K139" s="96"/>
      <c r="L139" s="276" t="s">
        <v>148</v>
      </c>
      <c r="M139" s="96">
        <f>K140+7</f>
        <v>7</v>
      </c>
      <c r="N139" s="33">
        <f t="shared" ref="N139" si="1150">M139+7</f>
        <v>14</v>
      </c>
      <c r="O139" s="33" t="s">
        <v>149</v>
      </c>
      <c r="P139" s="33">
        <f t="shared" ref="P139" si="1151">N139+7</f>
        <v>21</v>
      </c>
      <c r="Q139" s="33">
        <f t="shared" ref="Q139" si="1152">P139+7</f>
        <v>28</v>
      </c>
      <c r="R139" s="33">
        <f t="shared" ref="R139" si="1153">Q139+7</f>
        <v>35</v>
      </c>
      <c r="S139" s="34" t="s">
        <v>149</v>
      </c>
      <c r="T139" s="34">
        <f t="shared" ref="T139" si="1154">R139+7</f>
        <v>42</v>
      </c>
      <c r="U139" s="34">
        <f t="shared" ref="U139" si="1155">T139+7</f>
        <v>49</v>
      </c>
      <c r="V139" s="34">
        <f t="shared" ref="V139" si="1156">U139+7</f>
        <v>56</v>
      </c>
      <c r="W139" s="34" t="s">
        <v>149</v>
      </c>
      <c r="X139" s="34">
        <f t="shared" ref="X139" si="1157">V139+7</f>
        <v>63</v>
      </c>
      <c r="Y139" s="34">
        <f t="shared" ref="Y139" si="1158">X139+7</f>
        <v>70</v>
      </c>
      <c r="Z139" s="34">
        <f t="shared" ref="Z139" si="1159">Y139+7</f>
        <v>77</v>
      </c>
      <c r="AA139" s="34" t="s">
        <v>149</v>
      </c>
      <c r="AB139" s="34">
        <f t="shared" ref="AB139" si="1160">Z139+7</f>
        <v>84</v>
      </c>
      <c r="AC139" s="34">
        <f t="shared" ref="AC139" si="1161">AB139+7</f>
        <v>91</v>
      </c>
      <c r="AD139" s="34">
        <f t="shared" ref="AD139" si="1162">AC139+7</f>
        <v>98</v>
      </c>
      <c r="AE139" s="34" t="s">
        <v>149</v>
      </c>
      <c r="AF139" s="34">
        <f t="shared" ref="AF139" si="1163">AD139+7</f>
        <v>105</v>
      </c>
      <c r="AG139" s="34">
        <f t="shared" ref="AG139" si="1164">AF139+7</f>
        <v>112</v>
      </c>
      <c r="AH139" s="34">
        <f t="shared" ref="AH139" si="1165">AG139+7</f>
        <v>119</v>
      </c>
      <c r="AI139" s="34" t="s">
        <v>149</v>
      </c>
      <c r="AJ139" s="34">
        <f t="shared" ref="AJ139" si="1166">AH139+7</f>
        <v>126</v>
      </c>
      <c r="AK139" s="34">
        <f t="shared" ref="AK139" si="1167">AJ139+7</f>
        <v>133</v>
      </c>
      <c r="AL139" s="34">
        <f t="shared" ref="AL139" si="1168">AK139+7</f>
        <v>140</v>
      </c>
      <c r="AM139" s="34" t="s">
        <v>149</v>
      </c>
      <c r="AN139" s="34">
        <f t="shared" ref="AN139" si="1169">AL139+7</f>
        <v>147</v>
      </c>
      <c r="AO139" s="34">
        <f t="shared" ref="AO139" si="1170">AN139+7</f>
        <v>154</v>
      </c>
      <c r="AP139" s="34">
        <f t="shared" ref="AP139" si="1171">AO139+7</f>
        <v>161</v>
      </c>
      <c r="AQ139" s="34" t="s">
        <v>149</v>
      </c>
      <c r="AR139" s="34">
        <f t="shared" ref="AR139" si="1172">AP139+7</f>
        <v>168</v>
      </c>
      <c r="AS139" s="34">
        <f t="shared" ref="AS139" si="1173">AR139+7</f>
        <v>175</v>
      </c>
      <c r="AT139" s="34">
        <f t="shared" ref="AT139" si="1174">AS139+7</f>
        <v>182</v>
      </c>
      <c r="AU139" s="34">
        <f t="shared" ref="AU139" si="1175">AT139+21</f>
        <v>203</v>
      </c>
      <c r="AV139" s="34">
        <f t="shared" ref="AV139" si="1176">AT139+7</f>
        <v>189</v>
      </c>
      <c r="AW139" s="34">
        <f t="shared" ref="AW139" si="1177">AV139+7</f>
        <v>196</v>
      </c>
      <c r="AX139" s="34">
        <f t="shared" ref="AX139" si="1178">AW139+7</f>
        <v>203</v>
      </c>
      <c r="AY139" s="34">
        <f t="shared" ref="AY139" si="1179">AX139+21</f>
        <v>224</v>
      </c>
      <c r="AZ139" s="34">
        <f t="shared" ref="AZ139" si="1180">AX139+7</f>
        <v>210</v>
      </c>
      <c r="BA139" s="34">
        <f t="shared" ref="BA139" si="1181">AZ139+7</f>
        <v>217</v>
      </c>
      <c r="BB139" s="34">
        <f t="shared" ref="BB139" si="1182">BA139+7</f>
        <v>224</v>
      </c>
      <c r="BC139" s="34" t="s">
        <v>148</v>
      </c>
      <c r="BD139" s="34">
        <f>BB139+7</f>
        <v>231</v>
      </c>
      <c r="BE139" s="34">
        <f>BD139+7</f>
        <v>238</v>
      </c>
      <c r="BF139" s="34">
        <f>BE139+7</f>
        <v>245</v>
      </c>
      <c r="BG139" s="34" t="s">
        <v>148</v>
      </c>
      <c r="BH139" s="34">
        <f>BF139+7</f>
        <v>252</v>
      </c>
      <c r="BI139" s="34">
        <f>BH139+7</f>
        <v>259</v>
      </c>
      <c r="BJ139" s="34">
        <f>BI139+7</f>
        <v>266</v>
      </c>
      <c r="BK139" s="34" t="s">
        <v>148</v>
      </c>
      <c r="BL139" s="34"/>
      <c r="BM139" s="34"/>
      <c r="BN139" s="34"/>
      <c r="BO139" s="34"/>
      <c r="BP139" s="34">
        <f>BN139+7</f>
        <v>7</v>
      </c>
      <c r="BQ139" s="34">
        <f>BP139+7</f>
        <v>14</v>
      </c>
      <c r="BR139" s="34">
        <f>BQ139+7</f>
        <v>21</v>
      </c>
      <c r="BS139" s="34" t="s">
        <v>148</v>
      </c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A139" s="34"/>
      <c r="DB139" s="34"/>
      <c r="DC139" s="34"/>
      <c r="DD139" s="34"/>
      <c r="DE139" s="34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  <c r="DR139" s="34"/>
      <c r="DS139" s="34"/>
      <c r="DT139" s="34"/>
      <c r="DU139" s="34"/>
      <c r="DV139" s="32"/>
      <c r="DW139" s="32"/>
      <c r="DX139" s="32"/>
      <c r="DY139" s="32"/>
      <c r="DZ139" s="32"/>
      <c r="EA139" s="32"/>
      <c r="EB139" s="32"/>
      <c r="EC139" s="32"/>
      <c r="ED139" s="123"/>
      <c r="EE139" s="123"/>
      <c r="EF139" s="344"/>
      <c r="EG139" s="345"/>
      <c r="EH139" s="345"/>
    </row>
    <row r="140" spans="2:138" s="119" customFormat="1" ht="31.15">
      <c r="B140" s="353"/>
      <c r="C140" s="341"/>
      <c r="D140" s="343"/>
      <c r="E140" s="343"/>
      <c r="F140" s="343"/>
      <c r="G140" s="343"/>
      <c r="H140" s="327" t="s">
        <v>150</v>
      </c>
      <c r="I140" s="242">
        <v>45673</v>
      </c>
      <c r="J140" s="88"/>
      <c r="K140" s="98"/>
      <c r="L140" s="277" t="s">
        <v>148</v>
      </c>
      <c r="M140" s="83"/>
      <c r="N140" s="327"/>
      <c r="O140" s="327"/>
      <c r="P140" s="327"/>
      <c r="Q140" s="327"/>
      <c r="R140" s="325"/>
      <c r="S140" s="327"/>
      <c r="T140" s="327"/>
      <c r="U140" s="331"/>
      <c r="V140" s="327"/>
      <c r="W140" s="327"/>
      <c r="X140" s="65"/>
      <c r="Y140" s="325"/>
      <c r="Z140" s="327"/>
      <c r="AA140" s="327"/>
      <c r="AB140" s="327"/>
      <c r="AC140" s="327"/>
      <c r="AD140" s="58"/>
      <c r="AE140" s="327"/>
      <c r="AF140" s="327"/>
      <c r="AG140" s="327"/>
      <c r="AH140" s="58"/>
      <c r="AI140" s="327"/>
      <c r="AJ140" s="327"/>
      <c r="AK140" s="327"/>
      <c r="AL140" s="58"/>
      <c r="AM140" s="327"/>
      <c r="AN140" s="327"/>
      <c r="AO140" s="327"/>
      <c r="AP140" s="58"/>
      <c r="AQ140" s="327"/>
      <c r="AR140" s="327"/>
      <c r="AS140" s="327"/>
      <c r="AT140" s="58"/>
      <c r="AU140" s="327"/>
      <c r="AV140" s="327"/>
      <c r="AW140" s="327"/>
      <c r="AX140" s="58"/>
      <c r="AY140" s="327"/>
      <c r="AZ140" s="327"/>
      <c r="BA140" s="327"/>
      <c r="BB140" s="58"/>
      <c r="BC140" s="327"/>
      <c r="BD140" s="327"/>
      <c r="BE140" s="327"/>
      <c r="BF140" s="327"/>
      <c r="BG140" s="327"/>
      <c r="BH140" s="327"/>
      <c r="BI140" s="327"/>
      <c r="BJ140" s="327"/>
      <c r="BK140" s="327"/>
      <c r="BL140" s="327"/>
      <c r="BM140" s="327"/>
      <c r="BN140" s="327"/>
      <c r="BO140" s="327"/>
      <c r="BP140" s="327"/>
      <c r="BQ140" s="327"/>
      <c r="BR140" s="327"/>
      <c r="BS140" s="327"/>
      <c r="BT140" s="327"/>
      <c r="BU140" s="327"/>
      <c r="BV140" s="327"/>
      <c r="BW140" s="327"/>
      <c r="BX140" s="327"/>
      <c r="BY140" s="327"/>
      <c r="BZ140" s="327"/>
      <c r="CA140" s="327"/>
      <c r="CB140" s="327"/>
      <c r="CC140" s="327"/>
      <c r="CD140" s="327"/>
      <c r="CE140" s="327"/>
      <c r="CF140" s="327"/>
      <c r="CG140" s="327"/>
      <c r="CH140" s="327"/>
      <c r="CI140" s="327"/>
      <c r="CJ140" s="327"/>
      <c r="CK140" s="327"/>
      <c r="CL140" s="327"/>
      <c r="CM140" s="327"/>
      <c r="CN140" s="327"/>
      <c r="CO140" s="327"/>
      <c r="CP140" s="327"/>
      <c r="CQ140" s="327"/>
      <c r="CR140" s="327"/>
      <c r="CS140" s="327"/>
      <c r="CT140" s="327"/>
      <c r="CU140" s="327"/>
      <c r="CV140" s="327"/>
      <c r="CW140" s="327"/>
      <c r="CX140" s="327"/>
      <c r="CY140" s="327"/>
      <c r="CZ140" s="327"/>
      <c r="DA140" s="327"/>
      <c r="DB140" s="327"/>
      <c r="DC140" s="327"/>
      <c r="DD140" s="327"/>
      <c r="DE140" s="327"/>
      <c r="DF140" s="327"/>
      <c r="DG140" s="327"/>
      <c r="DH140" s="327"/>
      <c r="DI140" s="327"/>
      <c r="DJ140" s="327"/>
      <c r="DK140" s="327"/>
      <c r="DL140" s="327"/>
      <c r="DM140" s="327"/>
      <c r="DN140" s="327"/>
      <c r="DO140" s="327"/>
      <c r="DP140" s="327"/>
      <c r="DQ140" s="327"/>
      <c r="DR140" s="327"/>
      <c r="DS140" s="327"/>
      <c r="DT140" s="327"/>
      <c r="DU140" s="327"/>
      <c r="DV140" s="327"/>
      <c r="DW140" s="327"/>
      <c r="DX140" s="327"/>
      <c r="DY140" s="327"/>
      <c r="DZ140" s="327"/>
      <c r="EA140" s="327"/>
      <c r="EB140" s="327"/>
      <c r="EC140" s="327"/>
      <c r="ED140" s="124"/>
      <c r="EE140" s="124"/>
      <c r="EF140" s="344"/>
      <c r="EG140" s="345"/>
      <c r="EH140" s="345"/>
    </row>
    <row r="141" spans="2:138" ht="31.15">
      <c r="B141" s="356" t="s">
        <v>328</v>
      </c>
      <c r="C141" s="358" t="s">
        <v>329</v>
      </c>
      <c r="D141" s="360" t="s">
        <v>330</v>
      </c>
      <c r="E141" s="360" t="s">
        <v>331</v>
      </c>
      <c r="F141" s="360" t="s">
        <v>174</v>
      </c>
      <c r="G141" s="360" t="s">
        <v>146</v>
      </c>
      <c r="H141" s="74" t="s">
        <v>147</v>
      </c>
      <c r="I141" s="162">
        <v>45441</v>
      </c>
      <c r="J141" s="165"/>
      <c r="K141" s="197">
        <v>45456</v>
      </c>
      <c r="L141" s="249" t="s">
        <v>148</v>
      </c>
      <c r="M141" s="198">
        <v>45463</v>
      </c>
      <c r="N141" s="76">
        <f t="shared" ref="N141" si="1183">M141+7</f>
        <v>45470</v>
      </c>
      <c r="O141" s="76" t="s">
        <v>149</v>
      </c>
      <c r="P141" s="76">
        <f t="shared" ref="P141" si="1184">N141+7</f>
        <v>45477</v>
      </c>
      <c r="Q141" s="76">
        <f t="shared" ref="Q141" si="1185">P141+7</f>
        <v>45484</v>
      </c>
      <c r="R141" s="76">
        <f t="shared" ref="R141" si="1186">Q141+7</f>
        <v>45491</v>
      </c>
      <c r="S141" s="77" t="s">
        <v>149</v>
      </c>
      <c r="T141" s="77">
        <f t="shared" ref="T141" si="1187">R141+7</f>
        <v>45498</v>
      </c>
      <c r="U141" s="77">
        <f t="shared" ref="U141" si="1188">T141+7</f>
        <v>45505</v>
      </c>
      <c r="V141" s="77">
        <f t="shared" ref="V141" si="1189">U141+7</f>
        <v>45512</v>
      </c>
      <c r="W141" s="77" t="s">
        <v>149</v>
      </c>
      <c r="X141" s="77">
        <f t="shared" ref="X141" si="1190">V141+7</f>
        <v>45519</v>
      </c>
      <c r="Y141" s="77">
        <f t="shared" ref="Y141" si="1191">X141+7</f>
        <v>45526</v>
      </c>
      <c r="Z141" s="77">
        <f t="shared" ref="Z141" si="1192">Y141+7</f>
        <v>45533</v>
      </c>
      <c r="AA141" s="77" t="s">
        <v>149</v>
      </c>
      <c r="AB141" s="77">
        <f t="shared" ref="AB141" si="1193">Z141+7</f>
        <v>45540</v>
      </c>
      <c r="AC141" s="77">
        <f t="shared" ref="AC141" si="1194">AB141+7</f>
        <v>45547</v>
      </c>
      <c r="AD141" s="77">
        <f t="shared" ref="AD141" si="1195">AC141+7</f>
        <v>45554</v>
      </c>
      <c r="AE141" s="77" t="s">
        <v>149</v>
      </c>
      <c r="AF141" s="77">
        <f t="shared" ref="AF141" si="1196">AD141+7</f>
        <v>45561</v>
      </c>
      <c r="AG141" s="77">
        <f t="shared" ref="AG141" si="1197">AF141+7</f>
        <v>45568</v>
      </c>
      <c r="AH141" s="77">
        <f t="shared" ref="AH141" si="1198">AG141+7</f>
        <v>45575</v>
      </c>
      <c r="AI141" s="77" t="s">
        <v>149</v>
      </c>
      <c r="AJ141" s="77">
        <f t="shared" ref="AJ141" si="1199">AH141+7</f>
        <v>45582</v>
      </c>
      <c r="AK141" s="77">
        <f t="shared" ref="AK141" si="1200">AJ141+7</f>
        <v>45589</v>
      </c>
      <c r="AL141" s="77">
        <f t="shared" ref="AL141" si="1201">AK141+7</f>
        <v>45596</v>
      </c>
      <c r="AM141" s="77" t="s">
        <v>149</v>
      </c>
      <c r="AN141" s="77">
        <f t="shared" ref="AN141" si="1202">AL141+7</f>
        <v>45603</v>
      </c>
      <c r="AO141" s="77">
        <f t="shared" ref="AO141" si="1203">AN141+7</f>
        <v>45610</v>
      </c>
      <c r="AP141" s="77">
        <f t="shared" ref="AP141" si="1204">AO141+7</f>
        <v>45617</v>
      </c>
      <c r="AQ141" s="77" t="s">
        <v>149</v>
      </c>
      <c r="AR141" s="77">
        <f t="shared" ref="AR141" si="1205">AP141+7</f>
        <v>45624</v>
      </c>
      <c r="AS141" s="77">
        <f t="shared" ref="AS141" si="1206">AR141+7</f>
        <v>45631</v>
      </c>
      <c r="AT141" s="77">
        <f t="shared" ref="AT141" si="1207">AS141+7</f>
        <v>45638</v>
      </c>
      <c r="AU141" s="77">
        <f t="shared" ref="AU141" si="1208">AT141+21</f>
        <v>45659</v>
      </c>
      <c r="AV141" s="77">
        <f t="shared" ref="AV141" si="1209">AT141+7</f>
        <v>45645</v>
      </c>
      <c r="AW141" s="77">
        <f t="shared" ref="AW141" si="1210">AV141+7</f>
        <v>45652</v>
      </c>
      <c r="AX141" s="77">
        <f t="shared" ref="AX141" si="1211">AW141+7</f>
        <v>45659</v>
      </c>
      <c r="AY141" s="77">
        <f t="shared" ref="AY141" si="1212">AX141+21</f>
        <v>45680</v>
      </c>
      <c r="AZ141" s="77">
        <f t="shared" ref="AZ141" si="1213">AX141+7</f>
        <v>45666</v>
      </c>
      <c r="BA141" s="77">
        <f t="shared" ref="BA141" si="1214">AZ141+7</f>
        <v>45673</v>
      </c>
      <c r="BB141" s="77">
        <f t="shared" ref="BB141" si="1215">BA141+7</f>
        <v>45680</v>
      </c>
      <c r="BC141" s="77" t="s">
        <v>148</v>
      </c>
      <c r="BD141" s="77">
        <f>BB141+7</f>
        <v>45687</v>
      </c>
      <c r="BE141" s="77">
        <f>BD141+7</f>
        <v>45694</v>
      </c>
      <c r="BF141" s="77">
        <f>BE141+7</f>
        <v>45701</v>
      </c>
      <c r="BG141" s="77" t="s">
        <v>148</v>
      </c>
      <c r="BH141" s="77">
        <f>BF141+7</f>
        <v>45708</v>
      </c>
      <c r="BI141" s="77">
        <f>BH141+7</f>
        <v>45715</v>
      </c>
      <c r="BJ141" s="77">
        <f>BI141+7</f>
        <v>45722</v>
      </c>
      <c r="BK141" s="77" t="s">
        <v>148</v>
      </c>
      <c r="BL141" s="77"/>
      <c r="BM141" s="77"/>
      <c r="BN141" s="77"/>
      <c r="BO141" s="77"/>
      <c r="BP141" s="77">
        <f>BN141+7</f>
        <v>7</v>
      </c>
      <c r="BQ141" s="77">
        <f>BP141+7</f>
        <v>14</v>
      </c>
      <c r="BR141" s="77">
        <f>BQ141+7</f>
        <v>21</v>
      </c>
      <c r="BS141" s="77" t="s">
        <v>148</v>
      </c>
      <c r="BT141" s="77"/>
      <c r="BU141" s="77"/>
      <c r="BV141" s="77"/>
      <c r="BW141" s="77"/>
      <c r="BX141" s="77"/>
      <c r="BY141" s="77"/>
      <c r="BZ141" s="77"/>
      <c r="CA141" s="77"/>
      <c r="CB141" s="77"/>
      <c r="CC141" s="77"/>
      <c r="CD141" s="77"/>
      <c r="CE141" s="77"/>
      <c r="CF141" s="77"/>
      <c r="CG141" s="77"/>
      <c r="CH141" s="77"/>
      <c r="CI141" s="77"/>
      <c r="CJ141" s="77"/>
      <c r="CK141" s="77"/>
      <c r="CL141" s="77"/>
      <c r="CM141" s="77"/>
      <c r="CN141" s="77"/>
      <c r="CO141" s="77"/>
      <c r="CP141" s="77"/>
      <c r="CQ141" s="77"/>
      <c r="CR141" s="77"/>
      <c r="CS141" s="77"/>
      <c r="CT141" s="77"/>
      <c r="CU141" s="77"/>
      <c r="CV141" s="77"/>
      <c r="CW141" s="77"/>
      <c r="CX141" s="77"/>
      <c r="CY141" s="77"/>
      <c r="CZ141" s="77"/>
      <c r="DA141" s="77"/>
      <c r="DB141" s="77"/>
      <c r="DC141" s="77"/>
      <c r="DD141" s="77"/>
      <c r="DE141" s="77"/>
      <c r="DF141" s="77"/>
      <c r="DG141" s="77"/>
      <c r="DH141" s="77"/>
      <c r="DI141" s="77"/>
      <c r="DJ141" s="77"/>
      <c r="DK141" s="77"/>
      <c r="DL141" s="77"/>
      <c r="DM141" s="77"/>
      <c r="DN141" s="77"/>
      <c r="DO141" s="77"/>
      <c r="DP141" s="77"/>
      <c r="DQ141" s="77"/>
      <c r="DR141" s="77"/>
      <c r="DS141" s="77"/>
      <c r="DT141" s="17">
        <v>45520</v>
      </c>
      <c r="DU141" s="17">
        <v>45537</v>
      </c>
      <c r="DV141" s="13"/>
      <c r="DW141" s="13"/>
      <c r="DX141" s="13"/>
      <c r="DY141" s="13"/>
      <c r="DZ141" s="13"/>
      <c r="EA141" s="13"/>
      <c r="EB141" s="13"/>
      <c r="EC141" s="13"/>
      <c r="ED141" s="24"/>
      <c r="EE141" s="24"/>
      <c r="EF141" s="339"/>
      <c r="EG141" s="338"/>
      <c r="EH141" s="338"/>
    </row>
    <row r="142" spans="2:138" ht="31.15">
      <c r="B142" s="357"/>
      <c r="C142" s="359"/>
      <c r="D142" s="361"/>
      <c r="E142" s="361"/>
      <c r="F142" s="361"/>
      <c r="G142" s="361"/>
      <c r="H142" s="330" t="s">
        <v>150</v>
      </c>
      <c r="I142" s="239">
        <v>45441</v>
      </c>
      <c r="J142" s="166"/>
      <c r="K142" s="201">
        <v>45456</v>
      </c>
      <c r="L142" s="272" t="s">
        <v>148</v>
      </c>
      <c r="M142" s="159">
        <v>45463</v>
      </c>
      <c r="N142" s="330">
        <v>45470</v>
      </c>
      <c r="O142" s="330" t="s">
        <v>149</v>
      </c>
      <c r="P142" s="330">
        <v>45477</v>
      </c>
      <c r="Q142" s="330">
        <v>45484</v>
      </c>
      <c r="R142" s="324">
        <v>45491</v>
      </c>
      <c r="S142" s="330" t="s">
        <v>149</v>
      </c>
      <c r="T142" s="330">
        <v>45499</v>
      </c>
      <c r="U142" s="154">
        <v>45506</v>
      </c>
      <c r="V142" s="330">
        <v>45513</v>
      </c>
      <c r="W142" s="330"/>
      <c r="X142" s="160"/>
      <c r="Y142" s="324"/>
      <c r="Z142" s="330"/>
      <c r="AA142" s="330"/>
      <c r="AB142" s="330"/>
      <c r="AC142" s="330"/>
      <c r="AD142" s="161"/>
      <c r="AE142" s="330"/>
      <c r="AF142" s="330"/>
      <c r="AG142" s="330"/>
      <c r="AH142" s="161"/>
      <c r="AI142" s="330"/>
      <c r="AJ142" s="330"/>
      <c r="AK142" s="330"/>
      <c r="AL142" s="161"/>
      <c r="AM142" s="330"/>
      <c r="AN142" s="330"/>
      <c r="AO142" s="330"/>
      <c r="AP142" s="161"/>
      <c r="AQ142" s="330"/>
      <c r="AR142" s="330"/>
      <c r="AS142" s="330"/>
      <c r="AT142" s="161"/>
      <c r="AU142" s="330"/>
      <c r="AV142" s="330"/>
      <c r="AW142" s="330"/>
      <c r="AX142" s="161"/>
      <c r="AY142" s="330"/>
      <c r="AZ142" s="330"/>
      <c r="BA142" s="330"/>
      <c r="BB142" s="161"/>
      <c r="BC142" s="330"/>
      <c r="BD142" s="330"/>
      <c r="BE142" s="330"/>
      <c r="BF142" s="330"/>
      <c r="BG142" s="330"/>
      <c r="BH142" s="330"/>
      <c r="BI142" s="330"/>
      <c r="BJ142" s="330"/>
      <c r="BK142" s="330"/>
      <c r="BL142" s="330"/>
      <c r="BM142" s="330"/>
      <c r="BN142" s="330"/>
      <c r="BO142" s="330"/>
      <c r="BP142" s="330"/>
      <c r="BQ142" s="330"/>
      <c r="BR142" s="330"/>
      <c r="BS142" s="330"/>
      <c r="BT142" s="330"/>
      <c r="BU142" s="330"/>
      <c r="BV142" s="330"/>
      <c r="BW142" s="330"/>
      <c r="BX142" s="330"/>
      <c r="BY142" s="330"/>
      <c r="BZ142" s="330"/>
      <c r="CA142" s="330"/>
      <c r="CB142" s="330"/>
      <c r="CC142" s="330"/>
      <c r="CD142" s="330"/>
      <c r="CE142" s="330"/>
      <c r="CF142" s="330"/>
      <c r="CG142" s="330"/>
      <c r="CH142" s="330"/>
      <c r="CI142" s="330"/>
      <c r="CJ142" s="330"/>
      <c r="CK142" s="330"/>
      <c r="CL142" s="330"/>
      <c r="CM142" s="330"/>
      <c r="CN142" s="330"/>
      <c r="CO142" s="330"/>
      <c r="CP142" s="330"/>
      <c r="CQ142" s="330"/>
      <c r="CR142" s="330"/>
      <c r="CS142" s="330"/>
      <c r="CT142" s="330"/>
      <c r="CU142" s="330"/>
      <c r="CV142" s="330"/>
      <c r="CW142" s="330"/>
      <c r="CX142" s="330"/>
      <c r="CY142" s="330"/>
      <c r="CZ142" s="330"/>
      <c r="DA142" s="330"/>
      <c r="DB142" s="330"/>
      <c r="DC142" s="330"/>
      <c r="DD142" s="330"/>
      <c r="DE142" s="330"/>
      <c r="DF142" s="330"/>
      <c r="DG142" s="330"/>
      <c r="DH142" s="330"/>
      <c r="DI142" s="330"/>
      <c r="DJ142" s="330"/>
      <c r="DK142" s="330"/>
      <c r="DL142" s="330"/>
      <c r="DM142" s="330"/>
      <c r="DN142" s="330"/>
      <c r="DO142" s="330"/>
      <c r="DP142" s="330"/>
      <c r="DQ142" s="330"/>
      <c r="DR142" s="330"/>
      <c r="DS142" s="330"/>
      <c r="DT142" s="321">
        <v>45520</v>
      </c>
      <c r="DU142" s="321">
        <v>45537</v>
      </c>
      <c r="DV142" s="321">
        <v>45597</v>
      </c>
      <c r="DW142" s="321">
        <v>45691</v>
      </c>
      <c r="DX142" s="321">
        <v>45779</v>
      </c>
      <c r="DY142" s="321">
        <v>45873</v>
      </c>
      <c r="DZ142" s="321">
        <v>45964</v>
      </c>
      <c r="EA142" s="321">
        <v>46056</v>
      </c>
      <c r="EB142" s="321">
        <v>46146</v>
      </c>
      <c r="EC142" s="321"/>
      <c r="ED142" s="25"/>
      <c r="EE142" s="25"/>
      <c r="EF142" s="339"/>
      <c r="EG142" s="338"/>
      <c r="EH142" s="338"/>
    </row>
    <row r="143" spans="2:138" ht="31.15">
      <c r="B143" s="356" t="s">
        <v>286</v>
      </c>
      <c r="C143" s="358" t="s">
        <v>332</v>
      </c>
      <c r="D143" s="360" t="s">
        <v>330</v>
      </c>
      <c r="E143" s="360" t="s">
        <v>333</v>
      </c>
      <c r="F143" s="360" t="s">
        <v>220</v>
      </c>
      <c r="G143" s="360" t="s">
        <v>146</v>
      </c>
      <c r="H143" s="74" t="s">
        <v>147</v>
      </c>
      <c r="I143" s="162">
        <v>45477</v>
      </c>
      <c r="J143" s="165"/>
      <c r="K143" s="197">
        <v>45491</v>
      </c>
      <c r="L143" s="249" t="s">
        <v>148</v>
      </c>
      <c r="M143" s="198">
        <v>45498</v>
      </c>
      <c r="N143" s="76">
        <f t="shared" ref="N143" si="1216">M143+7</f>
        <v>45505</v>
      </c>
      <c r="O143" s="76" t="s">
        <v>149</v>
      </c>
      <c r="P143" s="76">
        <f t="shared" ref="P143" si="1217">N143+7</f>
        <v>45512</v>
      </c>
      <c r="Q143" s="76">
        <f t="shared" ref="Q143" si="1218">P143+7</f>
        <v>45519</v>
      </c>
      <c r="R143" s="76">
        <f t="shared" ref="R143" si="1219">Q143+7</f>
        <v>45526</v>
      </c>
      <c r="S143" s="77" t="s">
        <v>149</v>
      </c>
      <c r="T143" s="77">
        <f t="shared" ref="T143" si="1220">R143+7</f>
        <v>45533</v>
      </c>
      <c r="U143" s="77">
        <f t="shared" ref="U143" si="1221">T143+7</f>
        <v>45540</v>
      </c>
      <c r="V143" s="77">
        <f t="shared" ref="V143" si="1222">U143+7</f>
        <v>45547</v>
      </c>
      <c r="W143" s="77" t="s">
        <v>149</v>
      </c>
      <c r="X143" s="77">
        <f t="shared" ref="X143" si="1223">V143+7</f>
        <v>45554</v>
      </c>
      <c r="Y143" s="77">
        <f t="shared" ref="Y143" si="1224">X143+7</f>
        <v>45561</v>
      </c>
      <c r="Z143" s="77">
        <f t="shared" ref="Z143" si="1225">Y143+7</f>
        <v>45568</v>
      </c>
      <c r="AA143" s="77" t="s">
        <v>149</v>
      </c>
      <c r="AB143" s="77">
        <f t="shared" ref="AB143" si="1226">Z143+7</f>
        <v>45575</v>
      </c>
      <c r="AC143" s="77">
        <f t="shared" ref="AC143" si="1227">AB143+7</f>
        <v>45582</v>
      </c>
      <c r="AD143" s="77">
        <f t="shared" ref="AD143" si="1228">AC143+7</f>
        <v>45589</v>
      </c>
      <c r="AE143" s="77" t="s">
        <v>149</v>
      </c>
      <c r="AF143" s="77">
        <f t="shared" ref="AF143" si="1229">AD143+7</f>
        <v>45596</v>
      </c>
      <c r="AG143" s="77">
        <f t="shared" ref="AG143" si="1230">AF143+7</f>
        <v>45603</v>
      </c>
      <c r="AH143" s="77">
        <f t="shared" ref="AH143" si="1231">AG143+7</f>
        <v>45610</v>
      </c>
      <c r="AI143" s="77" t="s">
        <v>149</v>
      </c>
      <c r="AJ143" s="77">
        <f t="shared" ref="AJ143" si="1232">AH143+7</f>
        <v>45617</v>
      </c>
      <c r="AK143" s="77">
        <f t="shared" ref="AK143" si="1233">AJ143+7</f>
        <v>45624</v>
      </c>
      <c r="AL143" s="77">
        <f t="shared" ref="AL143" si="1234">AK143+7</f>
        <v>45631</v>
      </c>
      <c r="AM143" s="77" t="s">
        <v>149</v>
      </c>
      <c r="AN143" s="77">
        <f t="shared" ref="AN143" si="1235">AL143+7</f>
        <v>45638</v>
      </c>
      <c r="AO143" s="77">
        <f t="shared" ref="AO143" si="1236">AN143+7</f>
        <v>45645</v>
      </c>
      <c r="AP143" s="77">
        <f t="shared" ref="AP143" si="1237">AO143+7</f>
        <v>45652</v>
      </c>
      <c r="AQ143" s="77" t="s">
        <v>149</v>
      </c>
      <c r="AR143" s="77">
        <f t="shared" ref="AR143" si="1238">AP143+7</f>
        <v>45659</v>
      </c>
      <c r="AS143" s="77">
        <f t="shared" ref="AS143" si="1239">AR143+7</f>
        <v>45666</v>
      </c>
      <c r="AT143" s="77">
        <f t="shared" ref="AT143" si="1240">AS143+7</f>
        <v>45673</v>
      </c>
      <c r="AU143" s="77">
        <f t="shared" ref="AU143" si="1241">AT143+21</f>
        <v>45694</v>
      </c>
      <c r="AV143" s="77">
        <f t="shared" ref="AV143" si="1242">AT143+7</f>
        <v>45680</v>
      </c>
      <c r="AW143" s="77">
        <f t="shared" ref="AW143" si="1243">AV143+7</f>
        <v>45687</v>
      </c>
      <c r="AX143" s="77">
        <f t="shared" ref="AX143" si="1244">AW143+7</f>
        <v>45694</v>
      </c>
      <c r="AY143" s="77">
        <f t="shared" ref="AY143" si="1245">AX143+21</f>
        <v>45715</v>
      </c>
      <c r="AZ143" s="77">
        <f t="shared" ref="AZ143" si="1246">AX143+7</f>
        <v>45701</v>
      </c>
      <c r="BA143" s="77">
        <f t="shared" ref="BA143" si="1247">AZ143+7</f>
        <v>45708</v>
      </c>
      <c r="BB143" s="77">
        <f t="shared" ref="BB143" si="1248">BA143+7</f>
        <v>45715</v>
      </c>
      <c r="BC143" s="77" t="s">
        <v>148</v>
      </c>
      <c r="BD143" s="77">
        <f>BB143+7</f>
        <v>45722</v>
      </c>
      <c r="BE143" s="77">
        <f>BD143+7</f>
        <v>45729</v>
      </c>
      <c r="BF143" s="77">
        <f>BE143+7</f>
        <v>45736</v>
      </c>
      <c r="BG143" s="77" t="s">
        <v>148</v>
      </c>
      <c r="BH143" s="77">
        <f>BF143+7</f>
        <v>45743</v>
      </c>
      <c r="BI143" s="77">
        <f>BH143+7</f>
        <v>45750</v>
      </c>
      <c r="BJ143" s="77">
        <f>BI143+7</f>
        <v>45757</v>
      </c>
      <c r="BK143" s="77" t="s">
        <v>148</v>
      </c>
      <c r="BL143" s="77"/>
      <c r="BM143" s="77"/>
      <c r="BN143" s="77"/>
      <c r="BO143" s="77"/>
      <c r="BP143" s="77">
        <f>BN143+7</f>
        <v>7</v>
      </c>
      <c r="BQ143" s="77">
        <f>BP143+7</f>
        <v>14</v>
      </c>
      <c r="BR143" s="77">
        <f>BQ143+7</f>
        <v>21</v>
      </c>
      <c r="BS143" s="77" t="s">
        <v>148</v>
      </c>
      <c r="BT143" s="77"/>
      <c r="BU143" s="77"/>
      <c r="BV143" s="77"/>
      <c r="BW143" s="77"/>
      <c r="BX143" s="77"/>
      <c r="BY143" s="77"/>
      <c r="BZ143" s="77"/>
      <c r="CA143" s="77"/>
      <c r="CB143" s="77"/>
      <c r="CC143" s="77"/>
      <c r="CD143" s="77"/>
      <c r="CE143" s="77"/>
      <c r="CF143" s="77"/>
      <c r="CG143" s="77"/>
      <c r="CH143" s="77"/>
      <c r="CI143" s="77"/>
      <c r="CJ143" s="77"/>
      <c r="CK143" s="77"/>
      <c r="CL143" s="77"/>
      <c r="CM143" s="77"/>
      <c r="CN143" s="77"/>
      <c r="CO143" s="77"/>
      <c r="CP143" s="77"/>
      <c r="CQ143" s="77"/>
      <c r="CR143" s="77"/>
      <c r="CS143" s="77"/>
      <c r="CT143" s="77"/>
      <c r="CU143" s="77"/>
      <c r="CV143" s="77"/>
      <c r="CW143" s="77"/>
      <c r="CX143" s="77"/>
      <c r="CY143" s="77"/>
      <c r="CZ143" s="77"/>
      <c r="DA143" s="77"/>
      <c r="DB143" s="77"/>
      <c r="DC143" s="77"/>
      <c r="DD143" s="77"/>
      <c r="DE143" s="77"/>
      <c r="DF143" s="77"/>
      <c r="DG143" s="77"/>
      <c r="DH143" s="77"/>
      <c r="DI143" s="77"/>
      <c r="DJ143" s="77"/>
      <c r="DK143" s="77"/>
      <c r="DL143" s="77"/>
      <c r="DM143" s="77"/>
      <c r="DN143" s="77"/>
      <c r="DO143" s="77"/>
      <c r="DP143" s="77"/>
      <c r="DQ143" s="77"/>
      <c r="DR143" s="77"/>
      <c r="DS143" s="77"/>
      <c r="DT143" s="17">
        <v>45910</v>
      </c>
      <c r="DU143" s="17">
        <v>45932</v>
      </c>
      <c r="DV143" s="13"/>
      <c r="DW143" s="13"/>
      <c r="DX143" s="13"/>
      <c r="DY143" s="13"/>
      <c r="DZ143" s="13"/>
      <c r="EA143" s="13"/>
      <c r="EB143" s="13"/>
      <c r="EC143" s="13"/>
      <c r="ED143" s="24"/>
      <c r="EE143" s="24"/>
      <c r="EF143" s="339"/>
      <c r="EG143" s="338"/>
      <c r="EH143" s="338"/>
    </row>
    <row r="144" spans="2:138" ht="27.75">
      <c r="B144" s="357"/>
      <c r="C144" s="359"/>
      <c r="D144" s="361"/>
      <c r="E144" s="361"/>
      <c r="F144" s="361"/>
      <c r="G144" s="361"/>
      <c r="H144" s="330" t="s">
        <v>150</v>
      </c>
      <c r="I144" s="239">
        <v>45477</v>
      </c>
      <c r="J144" s="166"/>
      <c r="K144" s="201">
        <v>45491</v>
      </c>
      <c r="L144" s="272" t="s">
        <v>148</v>
      </c>
      <c r="M144" s="159">
        <v>45498</v>
      </c>
      <c r="N144" s="330"/>
      <c r="O144" s="330" t="s">
        <v>149</v>
      </c>
      <c r="P144" s="330">
        <v>45513</v>
      </c>
      <c r="Q144" s="330">
        <v>45526</v>
      </c>
      <c r="R144" s="324">
        <v>45533</v>
      </c>
      <c r="S144" s="330" t="s">
        <v>149</v>
      </c>
      <c r="T144" s="330">
        <v>45539</v>
      </c>
      <c r="U144" s="154">
        <v>45547</v>
      </c>
      <c r="V144" s="330">
        <v>45554</v>
      </c>
      <c r="W144" s="330" t="s">
        <v>149</v>
      </c>
      <c r="X144" s="160">
        <v>45560</v>
      </c>
      <c r="Y144" s="324">
        <v>45567</v>
      </c>
      <c r="Z144" s="330">
        <v>45575</v>
      </c>
      <c r="AA144" s="330" t="s">
        <v>149</v>
      </c>
      <c r="AB144" s="330">
        <v>45581</v>
      </c>
      <c r="AC144" s="330">
        <v>45588</v>
      </c>
      <c r="AD144" s="324">
        <v>45595</v>
      </c>
      <c r="AE144" s="330" t="s">
        <v>149</v>
      </c>
      <c r="AF144" s="330">
        <v>45602</v>
      </c>
      <c r="AG144" s="330">
        <v>45609</v>
      </c>
      <c r="AH144" s="324">
        <v>45617</v>
      </c>
      <c r="AI144" s="330" t="s">
        <v>149</v>
      </c>
      <c r="AJ144" s="330">
        <v>45623</v>
      </c>
      <c r="AK144" s="330">
        <v>45630</v>
      </c>
      <c r="AL144" s="324">
        <v>45637</v>
      </c>
      <c r="AM144" s="330" t="s">
        <v>149</v>
      </c>
      <c r="AN144" s="330">
        <v>45644</v>
      </c>
      <c r="AO144" s="330">
        <v>45652</v>
      </c>
      <c r="AP144" s="324">
        <v>45659</v>
      </c>
      <c r="AQ144" s="330" t="s">
        <v>149</v>
      </c>
      <c r="AR144" s="330">
        <v>45665</v>
      </c>
      <c r="AS144" s="330">
        <v>45672</v>
      </c>
      <c r="AT144" s="324">
        <v>45679</v>
      </c>
      <c r="AU144" s="330" t="s">
        <v>149</v>
      </c>
      <c r="AV144" s="330">
        <v>45688</v>
      </c>
      <c r="AW144" s="330">
        <v>45695</v>
      </c>
      <c r="AX144" s="324">
        <v>45702</v>
      </c>
      <c r="AY144" s="330" t="s">
        <v>149</v>
      </c>
      <c r="AZ144" s="330">
        <v>45707</v>
      </c>
      <c r="BA144" s="330">
        <v>45714</v>
      </c>
      <c r="BB144" s="324">
        <v>45721</v>
      </c>
      <c r="BC144" s="330" t="s">
        <v>149</v>
      </c>
      <c r="BD144" s="330">
        <v>45728</v>
      </c>
      <c r="BE144" s="330">
        <v>45735</v>
      </c>
      <c r="BF144" s="330">
        <v>45742</v>
      </c>
      <c r="BG144" s="330" t="s">
        <v>149</v>
      </c>
      <c r="BH144" s="330">
        <v>45749</v>
      </c>
      <c r="BI144" s="330">
        <v>45756</v>
      </c>
      <c r="BJ144" s="330">
        <v>45763</v>
      </c>
      <c r="BK144" s="330" t="s">
        <v>149</v>
      </c>
      <c r="BL144" s="330">
        <v>45770</v>
      </c>
      <c r="BM144" s="330">
        <v>45777</v>
      </c>
      <c r="BN144" s="330">
        <v>45784</v>
      </c>
      <c r="BO144" s="330" t="s">
        <v>149</v>
      </c>
      <c r="BP144" s="330">
        <v>45789</v>
      </c>
      <c r="BQ144" s="330">
        <v>45798</v>
      </c>
      <c r="BR144" s="330">
        <v>45805</v>
      </c>
      <c r="BS144" s="330" t="s">
        <v>149</v>
      </c>
      <c r="BT144" s="330">
        <v>45812</v>
      </c>
      <c r="BU144" s="330">
        <v>45819</v>
      </c>
      <c r="BV144" s="330">
        <v>45826</v>
      </c>
      <c r="BW144" s="330" t="s">
        <v>149</v>
      </c>
      <c r="BX144" s="330">
        <v>45833</v>
      </c>
      <c r="BY144" s="330">
        <v>45840</v>
      </c>
      <c r="BZ144" s="330">
        <v>45847</v>
      </c>
      <c r="CA144" s="330" t="s">
        <v>149</v>
      </c>
      <c r="CB144" s="330">
        <v>45854</v>
      </c>
      <c r="CC144" s="330">
        <v>45861</v>
      </c>
      <c r="CD144" s="330">
        <v>45868</v>
      </c>
      <c r="CE144" s="330" t="s">
        <v>148</v>
      </c>
      <c r="CF144" s="330">
        <v>45875</v>
      </c>
      <c r="CG144" s="330">
        <v>45882</v>
      </c>
      <c r="CH144" s="330">
        <v>45891</v>
      </c>
      <c r="CI144" s="330" t="s">
        <v>148</v>
      </c>
      <c r="CJ144" s="330">
        <v>45896</v>
      </c>
      <c r="CK144" s="330">
        <v>45903</v>
      </c>
      <c r="CL144" s="330"/>
      <c r="CM144" s="330"/>
      <c r="CN144" s="330"/>
      <c r="CO144" s="330"/>
      <c r="CP144" s="330"/>
      <c r="CQ144" s="330"/>
      <c r="CR144" s="330"/>
      <c r="CS144" s="330"/>
      <c r="CT144" s="330"/>
      <c r="CU144" s="330"/>
      <c r="CV144" s="330"/>
      <c r="CW144" s="330"/>
      <c r="CX144" s="330"/>
      <c r="CY144" s="330"/>
      <c r="CZ144" s="330"/>
      <c r="DA144" s="330"/>
      <c r="DB144" s="330"/>
      <c r="DC144" s="330"/>
      <c r="DD144" s="330"/>
      <c r="DE144" s="330"/>
      <c r="DF144" s="330"/>
      <c r="DG144" s="330"/>
      <c r="DH144" s="330"/>
      <c r="DI144" s="330"/>
      <c r="DJ144" s="330"/>
      <c r="DK144" s="330"/>
      <c r="DL144" s="330"/>
      <c r="DM144" s="330"/>
      <c r="DN144" s="330"/>
      <c r="DO144" s="330"/>
      <c r="DP144" s="330"/>
      <c r="DQ144" s="330"/>
      <c r="DR144" s="330"/>
      <c r="DS144" s="330"/>
      <c r="DT144" s="321">
        <v>45910</v>
      </c>
      <c r="DU144" s="321">
        <v>45932</v>
      </c>
      <c r="DV144" s="321">
        <v>45994</v>
      </c>
      <c r="DW144" s="321">
        <v>46084</v>
      </c>
      <c r="DX144" s="321">
        <v>46177</v>
      </c>
      <c r="DY144" s="321"/>
      <c r="DZ144" s="321"/>
      <c r="EA144" s="321"/>
      <c r="EB144" s="321"/>
      <c r="EC144" s="321"/>
      <c r="ED144" s="25"/>
      <c r="EE144" s="25"/>
      <c r="EF144" s="339"/>
      <c r="EG144" s="338"/>
      <c r="EH144" s="338"/>
    </row>
    <row r="145" spans="2:138" s="119" customFormat="1" ht="31.15">
      <c r="B145" s="352" t="s">
        <v>307</v>
      </c>
      <c r="C145" s="340" t="s">
        <v>334</v>
      </c>
      <c r="D145" s="342" t="s">
        <v>330</v>
      </c>
      <c r="E145" s="342" t="s">
        <v>331</v>
      </c>
      <c r="F145" s="342" t="s">
        <v>174</v>
      </c>
      <c r="G145" s="342" t="s">
        <v>146</v>
      </c>
      <c r="H145" s="32" t="s">
        <v>147</v>
      </c>
      <c r="I145" s="241">
        <v>45596</v>
      </c>
      <c r="J145" s="85"/>
      <c r="K145" s="95">
        <v>45610</v>
      </c>
      <c r="L145" s="233" t="s">
        <v>148</v>
      </c>
      <c r="M145" s="96">
        <v>45617</v>
      </c>
      <c r="N145" s="33">
        <v>45624</v>
      </c>
      <c r="O145" s="33"/>
      <c r="P145" s="33"/>
      <c r="Q145" s="33"/>
      <c r="R145" s="33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>
        <f>BN145+7</f>
        <v>7</v>
      </c>
      <c r="BQ145" s="34">
        <f>BP145+7</f>
        <v>14</v>
      </c>
      <c r="BR145" s="34">
        <f>BQ145+7</f>
        <v>21</v>
      </c>
      <c r="BS145" s="34" t="s">
        <v>148</v>
      </c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>
        <v>45638</v>
      </c>
      <c r="DU145" s="34"/>
      <c r="DV145" s="32"/>
      <c r="DW145" s="32"/>
      <c r="DX145" s="32"/>
      <c r="DY145" s="32"/>
      <c r="DZ145" s="32"/>
      <c r="EA145" s="32"/>
      <c r="EB145" s="32"/>
      <c r="EC145" s="32"/>
      <c r="ED145" s="123"/>
      <c r="EE145" s="123"/>
      <c r="EF145" s="344"/>
      <c r="EG145" s="345"/>
      <c r="EH145" s="345"/>
    </row>
    <row r="146" spans="2:138" s="119" customFormat="1" ht="31.15">
      <c r="B146" s="353"/>
      <c r="C146" s="341"/>
      <c r="D146" s="343"/>
      <c r="E146" s="343"/>
      <c r="F146" s="343"/>
      <c r="G146" s="343"/>
      <c r="H146" s="327" t="s">
        <v>150</v>
      </c>
      <c r="I146" s="242">
        <v>45596</v>
      </c>
      <c r="J146" s="88"/>
      <c r="K146" s="98">
        <v>45610</v>
      </c>
      <c r="L146" s="275" t="s">
        <v>148</v>
      </c>
      <c r="M146" s="83">
        <v>45617</v>
      </c>
      <c r="N146" s="327">
        <v>45624</v>
      </c>
      <c r="O146" s="327">
        <v>45631</v>
      </c>
      <c r="P146" s="327"/>
      <c r="Q146" s="327"/>
      <c r="R146" s="325"/>
      <c r="S146" s="327"/>
      <c r="T146" s="327"/>
      <c r="U146" s="331"/>
      <c r="V146" s="327"/>
      <c r="W146" s="327"/>
      <c r="X146" s="65"/>
      <c r="Y146" s="325"/>
      <c r="Z146" s="327"/>
      <c r="AA146" s="327"/>
      <c r="AB146" s="327"/>
      <c r="AC146" s="327"/>
      <c r="AD146" s="58"/>
      <c r="AE146" s="327"/>
      <c r="AF146" s="327"/>
      <c r="AG146" s="327"/>
      <c r="AH146" s="58"/>
      <c r="AI146" s="327"/>
      <c r="AJ146" s="327"/>
      <c r="AK146" s="327"/>
      <c r="AL146" s="58"/>
      <c r="AM146" s="327"/>
      <c r="AN146" s="327"/>
      <c r="AO146" s="327"/>
      <c r="AP146" s="58"/>
      <c r="AQ146" s="327"/>
      <c r="AR146" s="327"/>
      <c r="AS146" s="327"/>
      <c r="AT146" s="58"/>
      <c r="AU146" s="327"/>
      <c r="AV146" s="327"/>
      <c r="AW146" s="327"/>
      <c r="AX146" s="58"/>
      <c r="AY146" s="327"/>
      <c r="AZ146" s="327"/>
      <c r="BA146" s="327"/>
      <c r="BB146" s="58"/>
      <c r="BC146" s="327"/>
      <c r="BD146" s="327"/>
      <c r="BE146" s="327"/>
      <c r="BF146" s="327"/>
      <c r="BG146" s="327"/>
      <c r="BH146" s="327"/>
      <c r="BI146" s="327"/>
      <c r="BJ146" s="327"/>
      <c r="BK146" s="327"/>
      <c r="BL146" s="327"/>
      <c r="BM146" s="327"/>
      <c r="BN146" s="327"/>
      <c r="BO146" s="327"/>
      <c r="BP146" s="327"/>
      <c r="BQ146" s="327"/>
      <c r="BR146" s="327"/>
      <c r="BS146" s="327"/>
      <c r="BT146" s="327"/>
      <c r="BU146" s="327"/>
      <c r="BV146" s="327"/>
      <c r="BW146" s="327"/>
      <c r="BX146" s="327"/>
      <c r="BY146" s="327"/>
      <c r="BZ146" s="327"/>
      <c r="CA146" s="327"/>
      <c r="CB146" s="327"/>
      <c r="CC146" s="327"/>
      <c r="CD146" s="327"/>
      <c r="CE146" s="327"/>
      <c r="CF146" s="327"/>
      <c r="CG146" s="327"/>
      <c r="CH146" s="327"/>
      <c r="CI146" s="327"/>
      <c r="CJ146" s="327"/>
      <c r="CK146" s="327"/>
      <c r="CL146" s="327"/>
      <c r="CM146" s="327"/>
      <c r="CN146" s="327"/>
      <c r="CO146" s="327"/>
      <c r="CP146" s="327"/>
      <c r="CQ146" s="327"/>
      <c r="CR146" s="327"/>
      <c r="CS146" s="327"/>
      <c r="CT146" s="327"/>
      <c r="CU146" s="327"/>
      <c r="CV146" s="327"/>
      <c r="CW146" s="327"/>
      <c r="CX146" s="327"/>
      <c r="CY146" s="327"/>
      <c r="CZ146" s="327"/>
      <c r="DA146" s="327"/>
      <c r="DB146" s="327"/>
      <c r="DC146" s="327"/>
      <c r="DD146" s="327"/>
      <c r="DE146" s="327"/>
      <c r="DF146" s="327"/>
      <c r="DG146" s="327"/>
      <c r="DH146" s="327"/>
      <c r="DI146" s="327"/>
      <c r="DJ146" s="327"/>
      <c r="DK146" s="327"/>
      <c r="DL146" s="327"/>
      <c r="DM146" s="327"/>
      <c r="DN146" s="327"/>
      <c r="DO146" s="327"/>
      <c r="DP146" s="327"/>
      <c r="DQ146" s="327"/>
      <c r="DR146" s="327"/>
      <c r="DS146" s="327"/>
      <c r="DT146" s="327">
        <v>45638</v>
      </c>
      <c r="DU146" s="327">
        <v>45646</v>
      </c>
      <c r="DV146" s="327">
        <v>45716</v>
      </c>
      <c r="DW146" s="327"/>
      <c r="DX146" s="327"/>
      <c r="DY146" s="327"/>
      <c r="DZ146" s="327"/>
      <c r="EA146" s="327"/>
      <c r="EB146" s="327"/>
      <c r="EC146" s="327"/>
      <c r="ED146" s="124"/>
      <c r="EE146" s="124"/>
      <c r="EF146" s="344"/>
      <c r="EG146" s="345"/>
      <c r="EH146" s="345"/>
    </row>
    <row r="147" spans="2:138" s="119" customFormat="1" ht="31.15">
      <c r="B147" s="352" t="s">
        <v>335</v>
      </c>
      <c r="C147" s="340" t="s">
        <v>336</v>
      </c>
      <c r="D147" s="342" t="s">
        <v>143</v>
      </c>
      <c r="E147" s="340" t="s">
        <v>337</v>
      </c>
      <c r="F147" s="340" t="s">
        <v>220</v>
      </c>
      <c r="G147" s="340" t="s">
        <v>168</v>
      </c>
      <c r="H147" s="32" t="s">
        <v>147</v>
      </c>
      <c r="I147" s="243">
        <v>45740</v>
      </c>
      <c r="J147" s="96"/>
      <c r="K147" s="243">
        <v>45747</v>
      </c>
      <c r="L147" s="233" t="s">
        <v>148</v>
      </c>
      <c r="M147" s="33">
        <f>K147+7</f>
        <v>45754</v>
      </c>
      <c r="N147" s="33">
        <f>M147+7</f>
        <v>45761</v>
      </c>
      <c r="O147" s="33" t="s">
        <v>149</v>
      </c>
      <c r="P147" s="33">
        <f>N147+7</f>
        <v>45768</v>
      </c>
      <c r="Q147" s="33">
        <f>P147+7</f>
        <v>45775</v>
      </c>
      <c r="R147" s="33">
        <f>Q147+7</f>
        <v>45782</v>
      </c>
      <c r="S147" s="34" t="s">
        <v>149</v>
      </c>
      <c r="T147" s="34">
        <f>R147+7</f>
        <v>45789</v>
      </c>
      <c r="U147" s="34">
        <f>T147+7</f>
        <v>45796</v>
      </c>
      <c r="V147" s="34">
        <f>U147+7</f>
        <v>45803</v>
      </c>
      <c r="W147" s="34" t="s">
        <v>149</v>
      </c>
      <c r="X147" s="34">
        <f>V147+7</f>
        <v>45810</v>
      </c>
      <c r="Y147" s="34">
        <f>X147+7</f>
        <v>45817</v>
      </c>
      <c r="Z147" s="34">
        <f>Y147+7</f>
        <v>45824</v>
      </c>
      <c r="AA147" s="34" t="s">
        <v>149</v>
      </c>
      <c r="AB147" s="34">
        <f>Z147+7</f>
        <v>45831</v>
      </c>
      <c r="AC147" s="34">
        <f>AB147+7</f>
        <v>45838</v>
      </c>
      <c r="AD147" s="34">
        <f>AC147+7</f>
        <v>45845</v>
      </c>
      <c r="AE147" s="34" t="s">
        <v>149</v>
      </c>
      <c r="AF147" s="34">
        <f>AD147+7</f>
        <v>45852</v>
      </c>
      <c r="AG147" s="34">
        <f>AF147+7</f>
        <v>45859</v>
      </c>
      <c r="AH147" s="34">
        <f>AG147+7</f>
        <v>45866</v>
      </c>
      <c r="AI147" s="34" t="s">
        <v>149</v>
      </c>
      <c r="AJ147" s="34">
        <f>AH147+7</f>
        <v>45873</v>
      </c>
      <c r="AK147" s="34">
        <f>AJ147+7</f>
        <v>45880</v>
      </c>
      <c r="AL147" s="34">
        <f>AK147+7</f>
        <v>45887</v>
      </c>
      <c r="AM147" s="34" t="s">
        <v>149</v>
      </c>
      <c r="AN147" s="34">
        <f>AL147+7</f>
        <v>45894</v>
      </c>
      <c r="AO147" s="34">
        <f>AN147+7</f>
        <v>45901</v>
      </c>
      <c r="AP147" s="34">
        <f>AO147+7</f>
        <v>45908</v>
      </c>
      <c r="AQ147" s="34" t="s">
        <v>149</v>
      </c>
      <c r="AR147" s="34">
        <f>AP147+7</f>
        <v>45915</v>
      </c>
      <c r="AS147" s="34">
        <f>AR147+7</f>
        <v>45922</v>
      </c>
      <c r="AT147" s="34">
        <f>AS147+7</f>
        <v>45929</v>
      </c>
      <c r="AU147" s="34" t="s">
        <v>149</v>
      </c>
      <c r="AV147" s="34">
        <f>AT147+7</f>
        <v>45936</v>
      </c>
      <c r="AW147" s="34">
        <f>AV147+7</f>
        <v>45943</v>
      </c>
      <c r="AX147" s="34">
        <f>AW147+7</f>
        <v>45950</v>
      </c>
      <c r="AY147" s="34" t="s">
        <v>149</v>
      </c>
      <c r="AZ147" s="34">
        <f>AX147+7</f>
        <v>45957</v>
      </c>
      <c r="BA147" s="34">
        <f>AZ147+7</f>
        <v>45964</v>
      </c>
      <c r="BB147" s="34">
        <f>BA147+7</f>
        <v>45971</v>
      </c>
      <c r="BC147" s="34" t="s">
        <v>149</v>
      </c>
      <c r="BD147" s="34">
        <f>BB147+7</f>
        <v>45978</v>
      </c>
      <c r="BE147" s="34">
        <f>BD147+7</f>
        <v>45985</v>
      </c>
      <c r="BF147" s="34">
        <f>BE147+7</f>
        <v>45992</v>
      </c>
      <c r="BG147" s="34" t="s">
        <v>148</v>
      </c>
      <c r="BH147" s="34">
        <f>BF147+7</f>
        <v>45999</v>
      </c>
      <c r="BI147" s="34">
        <f>BH147+7</f>
        <v>46006</v>
      </c>
      <c r="BJ147" s="34">
        <f>BI147+7</f>
        <v>46013</v>
      </c>
      <c r="BK147" s="34" t="s">
        <v>148</v>
      </c>
      <c r="BL147" s="34">
        <f>BJ147+7</f>
        <v>46020</v>
      </c>
      <c r="BM147" s="34">
        <f>BL147+7</f>
        <v>46027</v>
      </c>
      <c r="BN147" s="34">
        <f>BM147+7</f>
        <v>46034</v>
      </c>
      <c r="BO147" s="34" t="s">
        <v>149</v>
      </c>
      <c r="BP147" s="34">
        <f>BN147+7</f>
        <v>46041</v>
      </c>
      <c r="BQ147" s="34">
        <f>BP147+7</f>
        <v>46048</v>
      </c>
      <c r="BR147" s="34">
        <f>BQ147+7</f>
        <v>46055</v>
      </c>
      <c r="BS147" s="34" t="s">
        <v>148</v>
      </c>
      <c r="BT147" s="34">
        <f>BR147+7</f>
        <v>46062</v>
      </c>
      <c r="BU147" s="34">
        <f>BT147+7</f>
        <v>46069</v>
      </c>
      <c r="BV147" s="34">
        <f>BU147+7</f>
        <v>46076</v>
      </c>
      <c r="BW147" s="34" t="s">
        <v>149</v>
      </c>
      <c r="BX147" s="34">
        <f>BV147+7</f>
        <v>46083</v>
      </c>
      <c r="BY147" s="34">
        <f>BX147+7</f>
        <v>46090</v>
      </c>
      <c r="BZ147" s="34">
        <f>BY147+7</f>
        <v>46097</v>
      </c>
      <c r="CA147" s="34" t="s">
        <v>149</v>
      </c>
      <c r="CB147" s="34">
        <f>BZ147+7</f>
        <v>46104</v>
      </c>
      <c r="CC147" s="34">
        <f>CB147+7</f>
        <v>46111</v>
      </c>
      <c r="CD147" s="34">
        <f>CC147+7</f>
        <v>46118</v>
      </c>
      <c r="CE147" s="34" t="s">
        <v>148</v>
      </c>
      <c r="CF147" s="34">
        <f>CD147+7</f>
        <v>46125</v>
      </c>
      <c r="CG147" s="34"/>
      <c r="CH147" s="34"/>
      <c r="CI147" s="34" t="s">
        <v>148</v>
      </c>
      <c r="CJ147" s="34"/>
      <c r="CK147" s="34"/>
      <c r="CL147" s="34"/>
      <c r="CM147" s="34" t="s">
        <v>148</v>
      </c>
      <c r="CN147" s="34"/>
      <c r="CO147" s="34"/>
      <c r="CP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A147" s="34"/>
      <c r="DB147" s="34"/>
      <c r="DC147" s="34"/>
      <c r="DD147" s="34"/>
      <c r="DE147" s="34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  <c r="DS147" s="34"/>
      <c r="DT147" s="34">
        <v>45852</v>
      </c>
      <c r="DU147" s="34">
        <v>45866</v>
      </c>
      <c r="DV147" s="32"/>
      <c r="DW147" s="32"/>
      <c r="DX147" s="32"/>
      <c r="DY147" s="32"/>
      <c r="DZ147" s="32"/>
      <c r="EA147" s="32"/>
      <c r="EB147" s="32"/>
      <c r="EC147" s="32"/>
      <c r="ED147" s="123"/>
      <c r="EE147" s="54"/>
      <c r="EF147" s="344"/>
      <c r="EG147" s="345"/>
      <c r="EH147" s="344"/>
    </row>
    <row r="148" spans="2:138" s="119" customFormat="1" ht="31.15">
      <c r="B148" s="353"/>
      <c r="C148" s="341"/>
      <c r="D148" s="343"/>
      <c r="E148" s="341"/>
      <c r="F148" s="341"/>
      <c r="G148" s="341"/>
      <c r="H148" s="325" t="s">
        <v>150</v>
      </c>
      <c r="I148" s="237">
        <v>45740</v>
      </c>
      <c r="J148" s="111"/>
      <c r="K148" s="237">
        <v>45747</v>
      </c>
      <c r="L148" s="275" t="s">
        <v>148</v>
      </c>
      <c r="M148" s="237">
        <v>45754</v>
      </c>
      <c r="N148" s="237">
        <v>45768</v>
      </c>
      <c r="O148" s="325">
        <v>45775</v>
      </c>
      <c r="P148" s="237">
        <v>45796</v>
      </c>
      <c r="Q148" s="237">
        <v>45804</v>
      </c>
      <c r="R148" s="237">
        <v>45810</v>
      </c>
      <c r="S148" s="325">
        <v>45817</v>
      </c>
      <c r="T148" s="237">
        <v>45824</v>
      </c>
      <c r="U148" s="237">
        <v>45831</v>
      </c>
      <c r="V148" s="237">
        <v>45838</v>
      </c>
      <c r="W148" s="325">
        <v>45845</v>
      </c>
      <c r="X148" s="237"/>
      <c r="Y148" s="237"/>
      <c r="Z148" s="237"/>
      <c r="AA148" s="325"/>
      <c r="AB148" s="237"/>
      <c r="AC148" s="237"/>
      <c r="AD148" s="237"/>
      <c r="AE148" s="325"/>
      <c r="AF148" s="325"/>
      <c r="AG148" s="325"/>
      <c r="AH148" s="325"/>
      <c r="AI148" s="325"/>
      <c r="AJ148" s="325"/>
      <c r="AK148" s="325"/>
      <c r="AL148" s="325"/>
      <c r="AM148" s="325"/>
      <c r="AN148" s="325"/>
      <c r="AO148" s="325"/>
      <c r="AP148" s="325"/>
      <c r="AQ148" s="331"/>
      <c r="AR148" s="325"/>
      <c r="AS148" s="325"/>
      <c r="AT148" s="325"/>
      <c r="AU148" s="325"/>
      <c r="AV148" s="325"/>
      <c r="AW148" s="325"/>
      <c r="AX148" s="325"/>
      <c r="AY148" s="325"/>
      <c r="AZ148" s="325"/>
      <c r="BA148" s="325"/>
      <c r="BB148" s="325"/>
      <c r="BC148" s="325"/>
      <c r="BD148" s="325"/>
      <c r="BE148" s="325"/>
      <c r="BF148" s="325"/>
      <c r="BG148" s="325"/>
      <c r="BH148" s="325"/>
      <c r="BI148" s="325"/>
      <c r="BJ148" s="325"/>
      <c r="BK148" s="325"/>
      <c r="BL148" s="325"/>
      <c r="BM148" s="325"/>
      <c r="BN148" s="325"/>
      <c r="BO148" s="325"/>
      <c r="BP148" s="325"/>
      <c r="BQ148" s="325"/>
      <c r="BR148" s="325"/>
      <c r="BS148" s="325"/>
      <c r="BT148" s="325"/>
      <c r="BU148" s="325"/>
      <c r="BV148" s="325"/>
      <c r="BW148" s="325"/>
      <c r="BX148" s="325"/>
      <c r="BY148" s="325"/>
      <c r="BZ148" s="325"/>
      <c r="CA148" s="325"/>
      <c r="CB148" s="325"/>
      <c r="CC148" s="325"/>
      <c r="CD148" s="325"/>
      <c r="CE148" s="325"/>
      <c r="CF148" s="325"/>
      <c r="CG148" s="325"/>
      <c r="CH148" s="325"/>
      <c r="CI148" s="325"/>
      <c r="CJ148" s="325"/>
      <c r="CK148" s="325"/>
      <c r="CL148" s="325"/>
      <c r="CM148" s="325"/>
      <c r="CN148" s="325"/>
      <c r="CO148" s="325"/>
      <c r="CP148" s="325"/>
      <c r="CQ148" s="325"/>
      <c r="CR148" s="325"/>
      <c r="CS148" s="325"/>
      <c r="CT148" s="325"/>
      <c r="CU148" s="325"/>
      <c r="CV148" s="325"/>
      <c r="CW148" s="325"/>
      <c r="CX148" s="325"/>
      <c r="CY148" s="325"/>
      <c r="CZ148" s="325"/>
      <c r="DA148" s="325"/>
      <c r="DB148" s="325"/>
      <c r="DC148" s="325"/>
      <c r="DD148" s="325"/>
      <c r="DE148" s="325"/>
      <c r="DF148" s="325"/>
      <c r="DG148" s="325"/>
      <c r="DH148" s="325"/>
      <c r="DI148" s="325"/>
      <c r="DJ148" s="325"/>
      <c r="DK148" s="325"/>
      <c r="DL148" s="325"/>
      <c r="DM148" s="325"/>
      <c r="DN148" s="325"/>
      <c r="DO148" s="325"/>
      <c r="DP148" s="325"/>
      <c r="DQ148" s="325"/>
      <c r="DR148" s="325"/>
      <c r="DS148" s="325"/>
      <c r="DT148" s="325">
        <v>45852</v>
      </c>
      <c r="DU148" s="334">
        <v>45866</v>
      </c>
      <c r="DV148" s="244">
        <v>45903</v>
      </c>
      <c r="DW148" s="46"/>
      <c r="DX148" s="46"/>
      <c r="DY148" s="46"/>
      <c r="DZ148" s="46"/>
      <c r="EA148" s="46"/>
      <c r="EB148" s="46"/>
      <c r="EC148" s="46"/>
      <c r="ED148" s="142"/>
      <c r="EE148" s="142"/>
      <c r="EF148" s="344"/>
      <c r="EG148" s="345"/>
      <c r="EH148" s="345"/>
    </row>
    <row r="149" spans="2:138" ht="31.15">
      <c r="B149" s="356" t="s">
        <v>338</v>
      </c>
      <c r="C149" s="358" t="s">
        <v>339</v>
      </c>
      <c r="D149" s="360" t="s">
        <v>270</v>
      </c>
      <c r="E149" s="358" t="s">
        <v>340</v>
      </c>
      <c r="F149" s="358" t="s">
        <v>292</v>
      </c>
      <c r="G149" s="358" t="s">
        <v>253</v>
      </c>
      <c r="H149" s="181" t="s">
        <v>147</v>
      </c>
      <c r="I149" s="75">
        <v>45740</v>
      </c>
      <c r="J149" s="182"/>
      <c r="K149" s="249">
        <v>45757</v>
      </c>
      <c r="L149" s="249" t="s">
        <v>148</v>
      </c>
      <c r="M149" s="182">
        <f>K149+7</f>
        <v>45764</v>
      </c>
      <c r="N149" s="182">
        <f t="shared" ref="N149" si="1249">M149+7</f>
        <v>45771</v>
      </c>
      <c r="O149" s="182" t="s">
        <v>149</v>
      </c>
      <c r="P149" s="182">
        <f t="shared" ref="P149" si="1250">N149+7</f>
        <v>45778</v>
      </c>
      <c r="Q149" s="182">
        <f t="shared" ref="Q149" si="1251">P149+7</f>
        <v>45785</v>
      </c>
      <c r="R149" s="182">
        <f t="shared" ref="R149" si="1252">Q149+7</f>
        <v>45792</v>
      </c>
      <c r="S149" s="180" t="s">
        <v>149</v>
      </c>
      <c r="T149" s="180">
        <f t="shared" ref="T149" si="1253">R149+7</f>
        <v>45799</v>
      </c>
      <c r="U149" s="180">
        <f t="shared" ref="U149" si="1254">T149+7</f>
        <v>45806</v>
      </c>
      <c r="V149" s="180">
        <f t="shared" ref="V149" si="1255">U149+7</f>
        <v>45813</v>
      </c>
      <c r="W149" s="180" t="s">
        <v>149</v>
      </c>
      <c r="X149" s="180">
        <f t="shared" ref="X149" si="1256">V149+7</f>
        <v>45820</v>
      </c>
      <c r="Y149" s="180">
        <f t="shared" ref="Y149" si="1257">X149+7</f>
        <v>45827</v>
      </c>
      <c r="Z149" s="180">
        <f t="shared" ref="Z149" si="1258">Y149+7</f>
        <v>45834</v>
      </c>
      <c r="AA149" s="180" t="s">
        <v>149</v>
      </c>
      <c r="AB149" s="180">
        <f t="shared" ref="AB149" si="1259">Z149+7</f>
        <v>45841</v>
      </c>
      <c r="AC149" s="180">
        <f t="shared" ref="AC149" si="1260">AB149+7</f>
        <v>45848</v>
      </c>
      <c r="AD149" s="180">
        <f t="shared" ref="AD149" si="1261">AC149+7</f>
        <v>45855</v>
      </c>
      <c r="AE149" s="180" t="s">
        <v>149</v>
      </c>
      <c r="AF149" s="180">
        <f t="shared" ref="AF149" si="1262">AD149+7</f>
        <v>45862</v>
      </c>
      <c r="AG149" s="180">
        <f t="shared" ref="AG149" si="1263">AF149+7</f>
        <v>45869</v>
      </c>
      <c r="AH149" s="180">
        <f t="shared" ref="AH149" si="1264">AG149+7</f>
        <v>45876</v>
      </c>
      <c r="AI149" s="180" t="s">
        <v>149</v>
      </c>
      <c r="AJ149" s="180">
        <f t="shared" ref="AJ149" si="1265">AH149+7</f>
        <v>45883</v>
      </c>
      <c r="AK149" s="180">
        <f t="shared" ref="AK149" si="1266">AJ149+7</f>
        <v>45890</v>
      </c>
      <c r="AL149" s="180">
        <f t="shared" ref="AL149" si="1267">AK149+7</f>
        <v>45897</v>
      </c>
      <c r="AM149" s="180" t="s">
        <v>149</v>
      </c>
      <c r="AN149" s="180">
        <f t="shared" ref="AN149" si="1268">AL149+7</f>
        <v>45904</v>
      </c>
      <c r="AO149" s="180">
        <f t="shared" ref="AO149" si="1269">AN149+7</f>
        <v>45911</v>
      </c>
      <c r="AP149" s="180">
        <f t="shared" ref="AP149" si="1270">AO149+7</f>
        <v>45918</v>
      </c>
      <c r="AQ149" s="180" t="s">
        <v>149</v>
      </c>
      <c r="AR149" s="180">
        <f t="shared" ref="AR149" si="1271">AP149+7</f>
        <v>45925</v>
      </c>
      <c r="AS149" s="180">
        <f t="shared" ref="AS149" si="1272">AR149+7</f>
        <v>45932</v>
      </c>
      <c r="AT149" s="180">
        <f t="shared" ref="AT149" si="1273">AS149+7</f>
        <v>45939</v>
      </c>
      <c r="AU149" s="180" t="s">
        <v>149</v>
      </c>
      <c r="AV149" s="180">
        <f t="shared" ref="AV149" si="1274">AT149+7</f>
        <v>45946</v>
      </c>
      <c r="AW149" s="180">
        <f t="shared" ref="AW149" si="1275">AV149+7</f>
        <v>45953</v>
      </c>
      <c r="AX149" s="180">
        <f t="shared" ref="AX149" si="1276">AW149+7</f>
        <v>45960</v>
      </c>
      <c r="AY149" s="180" t="s">
        <v>149</v>
      </c>
      <c r="AZ149" s="180">
        <f t="shared" ref="AZ149" si="1277">AX149+7</f>
        <v>45967</v>
      </c>
      <c r="BA149" s="180">
        <f t="shared" ref="BA149" si="1278">AZ149+7</f>
        <v>45974</v>
      </c>
      <c r="BB149" s="180">
        <f t="shared" ref="BB149" si="1279">BA149+7</f>
        <v>45981</v>
      </c>
      <c r="BC149" s="180" t="s">
        <v>149</v>
      </c>
      <c r="BD149" s="180">
        <f t="shared" ref="BD149" si="1280">BB149+7</f>
        <v>45988</v>
      </c>
      <c r="BE149" s="180">
        <f t="shared" ref="BE149" si="1281">BD149+7</f>
        <v>45995</v>
      </c>
      <c r="BF149" s="180">
        <f t="shared" ref="BF149" si="1282">BE149+7</f>
        <v>46002</v>
      </c>
      <c r="BG149" s="180" t="s">
        <v>148</v>
      </c>
      <c r="BH149" s="180">
        <f t="shared" ref="BH149" si="1283">BF149+7</f>
        <v>46009</v>
      </c>
      <c r="BI149" s="180">
        <f t="shared" ref="BI149" si="1284">BH149+7</f>
        <v>46016</v>
      </c>
      <c r="BJ149" s="180">
        <f t="shared" ref="BJ149" si="1285">BI149+7</f>
        <v>46023</v>
      </c>
      <c r="BK149" s="180" t="s">
        <v>148</v>
      </c>
      <c r="BL149" s="180">
        <f t="shared" ref="BL149" si="1286">BJ149+7</f>
        <v>46030</v>
      </c>
      <c r="BM149" s="180">
        <f t="shared" ref="BM149" si="1287">BL149+7</f>
        <v>46037</v>
      </c>
      <c r="BN149" s="180">
        <f t="shared" ref="BN149" si="1288">BM149+7</f>
        <v>46044</v>
      </c>
      <c r="BO149" s="180" t="s">
        <v>149</v>
      </c>
      <c r="BP149" s="180">
        <f t="shared" ref="BP149" si="1289">BN149+7</f>
        <v>46051</v>
      </c>
      <c r="BQ149" s="180">
        <f t="shared" ref="BQ149" si="1290">BP149+7</f>
        <v>46058</v>
      </c>
      <c r="BR149" s="180">
        <f t="shared" ref="BR149" si="1291">BQ149+7</f>
        <v>46065</v>
      </c>
      <c r="BS149" s="180" t="s">
        <v>148</v>
      </c>
      <c r="BT149" s="180">
        <f t="shared" ref="BT149" si="1292">BR149+7</f>
        <v>46072</v>
      </c>
      <c r="BU149" s="180">
        <f t="shared" ref="BU149" si="1293">BT149+7</f>
        <v>46079</v>
      </c>
      <c r="BV149" s="180">
        <f t="shared" ref="BV149" si="1294">BU149+7</f>
        <v>46086</v>
      </c>
      <c r="BW149" s="180" t="s">
        <v>149</v>
      </c>
      <c r="BX149" s="180">
        <f t="shared" ref="BX149" si="1295">BV149+7</f>
        <v>46093</v>
      </c>
      <c r="BY149" s="180">
        <f t="shared" ref="BY149" si="1296">BX149+7</f>
        <v>46100</v>
      </c>
      <c r="BZ149" s="180">
        <f t="shared" ref="BZ149" si="1297">BY149+7</f>
        <v>46107</v>
      </c>
      <c r="CA149" s="180" t="s">
        <v>149</v>
      </c>
      <c r="CB149" s="180"/>
      <c r="CC149" s="180"/>
      <c r="CD149" s="180"/>
      <c r="CE149" s="180"/>
      <c r="CF149" s="180"/>
      <c r="CG149" s="180"/>
      <c r="CH149" s="180"/>
      <c r="CI149" s="180"/>
      <c r="CJ149" s="180"/>
      <c r="CK149" s="180"/>
      <c r="CL149" s="180"/>
      <c r="CM149" s="180"/>
      <c r="CN149" s="180"/>
      <c r="CO149" s="180"/>
      <c r="CP149" s="180"/>
      <c r="CQ149" s="180"/>
      <c r="CR149" s="180"/>
      <c r="CS149" s="180"/>
      <c r="CT149" s="180"/>
      <c r="CU149" s="180"/>
      <c r="CV149" s="180"/>
      <c r="CW149" s="180"/>
      <c r="CX149" s="180"/>
      <c r="CY149" s="180"/>
      <c r="CZ149" s="180"/>
      <c r="DA149" s="180"/>
      <c r="DB149" s="180"/>
      <c r="DC149" s="180"/>
      <c r="DD149" s="180"/>
      <c r="DE149" s="180"/>
      <c r="DF149" s="180"/>
      <c r="DG149" s="180"/>
      <c r="DH149" s="180"/>
      <c r="DI149" s="180"/>
      <c r="DJ149" s="180"/>
      <c r="DK149" s="180"/>
      <c r="DL149" s="180"/>
      <c r="DM149" s="180"/>
      <c r="DN149" s="180"/>
      <c r="DO149" s="180"/>
      <c r="DP149" s="180"/>
      <c r="DQ149" s="180"/>
      <c r="DR149" s="180"/>
      <c r="DS149" s="180"/>
      <c r="DT149" s="127">
        <v>46160</v>
      </c>
      <c r="DU149" s="127"/>
      <c r="DV149" s="125"/>
      <c r="DW149" s="125"/>
      <c r="DX149" s="125"/>
      <c r="DY149" s="125"/>
      <c r="DZ149" s="125"/>
      <c r="EA149" s="125"/>
      <c r="EB149" s="125"/>
      <c r="EC149" s="125"/>
      <c r="ED149" s="268"/>
      <c r="EE149" s="128"/>
      <c r="EF149" s="339"/>
      <c r="EG149" s="338"/>
      <c r="EH149" s="339"/>
    </row>
    <row r="150" spans="2:138" ht="31.15">
      <c r="B150" s="357"/>
      <c r="C150" s="359"/>
      <c r="D150" s="361"/>
      <c r="E150" s="359"/>
      <c r="F150" s="359"/>
      <c r="G150" s="359"/>
      <c r="H150" s="324" t="s">
        <v>150</v>
      </c>
      <c r="I150" s="169">
        <v>45740</v>
      </c>
      <c r="J150" s="324"/>
      <c r="K150" s="169">
        <v>45757</v>
      </c>
      <c r="L150" s="272" t="s">
        <v>148</v>
      </c>
      <c r="M150" s="202">
        <v>45763</v>
      </c>
      <c r="N150" s="169">
        <v>45771</v>
      </c>
      <c r="O150" s="324">
        <v>45777</v>
      </c>
      <c r="P150" s="169">
        <v>45792</v>
      </c>
      <c r="Q150" s="169">
        <v>45799</v>
      </c>
      <c r="R150" s="169">
        <v>45806</v>
      </c>
      <c r="S150" s="324">
        <v>45812</v>
      </c>
      <c r="T150" s="169">
        <v>45819</v>
      </c>
      <c r="U150" s="169">
        <v>45826</v>
      </c>
      <c r="V150" s="169">
        <v>45833</v>
      </c>
      <c r="W150" s="152" t="s">
        <v>149</v>
      </c>
      <c r="X150" s="169">
        <v>45847</v>
      </c>
      <c r="Y150" s="169">
        <v>45854</v>
      </c>
      <c r="Z150" s="169">
        <v>45861</v>
      </c>
      <c r="AA150" s="176">
        <v>45868</v>
      </c>
      <c r="AB150" s="169">
        <v>45875</v>
      </c>
      <c r="AC150" s="169">
        <v>45882</v>
      </c>
      <c r="AD150" s="169">
        <v>45889</v>
      </c>
      <c r="AE150" s="177">
        <v>45896</v>
      </c>
      <c r="AF150" s="177">
        <v>45903</v>
      </c>
      <c r="AG150" s="177">
        <v>45910</v>
      </c>
      <c r="AH150" s="177">
        <v>45917</v>
      </c>
      <c r="AI150" s="177">
        <v>45924</v>
      </c>
      <c r="AJ150" s="177">
        <v>45931</v>
      </c>
      <c r="AK150" s="177" t="s">
        <v>181</v>
      </c>
      <c r="AL150" s="177">
        <v>45945</v>
      </c>
      <c r="AM150" s="177">
        <v>45952</v>
      </c>
      <c r="AN150" s="177">
        <v>45957</v>
      </c>
      <c r="AO150" s="177">
        <v>45964</v>
      </c>
      <c r="AP150" s="177">
        <v>45971</v>
      </c>
      <c r="AQ150" s="178">
        <v>45978</v>
      </c>
      <c r="AR150" s="177">
        <v>45987</v>
      </c>
      <c r="AS150" s="177">
        <v>45994</v>
      </c>
      <c r="AT150" s="177">
        <v>46001</v>
      </c>
      <c r="AU150" s="177" t="s">
        <v>149</v>
      </c>
      <c r="AV150" s="177">
        <v>46015</v>
      </c>
      <c r="AW150" s="177" t="s">
        <v>272</v>
      </c>
      <c r="AX150" s="177">
        <v>46029</v>
      </c>
      <c r="AY150" s="177">
        <v>46039</v>
      </c>
      <c r="AZ150" s="292">
        <v>46043</v>
      </c>
      <c r="BA150" s="292">
        <v>46050</v>
      </c>
      <c r="BB150" s="292">
        <v>46057</v>
      </c>
      <c r="BC150" s="177">
        <v>46064</v>
      </c>
      <c r="BD150" s="177">
        <v>46077</v>
      </c>
      <c r="BE150" s="177">
        <v>46085</v>
      </c>
      <c r="BF150" s="177">
        <v>46092</v>
      </c>
      <c r="BG150" s="177" t="s">
        <v>148</v>
      </c>
      <c r="BH150" s="177">
        <v>46106</v>
      </c>
      <c r="BI150" s="177">
        <v>46113</v>
      </c>
      <c r="BJ150" s="177">
        <v>46120</v>
      </c>
      <c r="BK150" s="177">
        <v>46127</v>
      </c>
      <c r="BL150" s="177">
        <v>46134</v>
      </c>
      <c r="BM150" s="177">
        <v>46141</v>
      </c>
      <c r="BN150" s="177">
        <v>46149</v>
      </c>
      <c r="BO150" s="177">
        <v>46155</v>
      </c>
      <c r="BP150" s="177"/>
      <c r="BQ150" s="177"/>
      <c r="BR150" s="177"/>
      <c r="BS150" s="177"/>
      <c r="BT150" s="177"/>
      <c r="BU150" s="177"/>
      <c r="BV150" s="177"/>
      <c r="BW150" s="177"/>
      <c r="BX150" s="177"/>
      <c r="BY150" s="177"/>
      <c r="BZ150" s="177"/>
      <c r="CA150" s="177"/>
      <c r="CB150" s="177"/>
      <c r="CC150" s="177"/>
      <c r="CD150" s="177"/>
      <c r="CE150" s="177"/>
      <c r="CF150" s="177"/>
      <c r="CG150" s="177"/>
      <c r="CH150" s="177"/>
      <c r="CI150" s="177"/>
      <c r="CJ150" s="177"/>
      <c r="CK150" s="177"/>
      <c r="CL150" s="177"/>
      <c r="CM150" s="177"/>
      <c r="CN150" s="177"/>
      <c r="CO150" s="177"/>
      <c r="CP150" s="177"/>
      <c r="CQ150" s="177"/>
      <c r="CR150" s="177"/>
      <c r="CS150" s="177"/>
      <c r="CT150" s="177"/>
      <c r="CU150" s="177"/>
      <c r="CV150" s="177"/>
      <c r="CW150" s="177"/>
      <c r="CX150" s="177"/>
      <c r="CY150" s="177"/>
      <c r="CZ150" s="177"/>
      <c r="DA150" s="177"/>
      <c r="DB150" s="177"/>
      <c r="DC150" s="177"/>
      <c r="DD150" s="177"/>
      <c r="DE150" s="177"/>
      <c r="DF150" s="177"/>
      <c r="DG150" s="177"/>
      <c r="DH150" s="177"/>
      <c r="DI150" s="177"/>
      <c r="DJ150" s="177"/>
      <c r="DK150" s="177"/>
      <c r="DL150" s="177"/>
      <c r="DM150" s="177"/>
      <c r="DN150" s="177"/>
      <c r="DO150" s="177"/>
      <c r="DP150" s="177"/>
      <c r="DQ150" s="177"/>
      <c r="DR150" s="177"/>
      <c r="DS150" s="177"/>
      <c r="DT150" s="28">
        <v>46160</v>
      </c>
      <c r="DU150" s="132" t="s">
        <v>285</v>
      </c>
      <c r="DV150" s="69"/>
      <c r="DW150" s="69"/>
      <c r="DX150" s="69"/>
      <c r="DY150" s="69"/>
      <c r="DZ150" s="69"/>
      <c r="EA150" s="69"/>
      <c r="EB150" s="69"/>
      <c r="EC150" s="69"/>
      <c r="ED150" s="22"/>
      <c r="EE150" s="22"/>
      <c r="EF150" s="339"/>
      <c r="EG150" s="338"/>
      <c r="EH150" s="338"/>
    </row>
    <row r="151" spans="2:138" ht="31.15">
      <c r="B151" s="352" t="s">
        <v>341</v>
      </c>
      <c r="C151" s="340" t="s">
        <v>342</v>
      </c>
      <c r="D151" s="342" t="s">
        <v>212</v>
      </c>
      <c r="E151" s="342" t="s">
        <v>305</v>
      </c>
      <c r="F151" s="342" t="s">
        <v>210</v>
      </c>
      <c r="G151" s="342" t="s">
        <v>148</v>
      </c>
      <c r="H151" s="32" t="s">
        <v>147</v>
      </c>
      <c r="I151" s="241">
        <v>45460</v>
      </c>
      <c r="J151" s="85"/>
      <c r="K151" s="95">
        <v>45463</v>
      </c>
      <c r="L151" s="233" t="s">
        <v>148</v>
      </c>
      <c r="M151" s="96">
        <f>K152+7</f>
        <v>45470</v>
      </c>
      <c r="N151" s="33">
        <f t="shared" ref="N151" si="1298">M151+7</f>
        <v>45477</v>
      </c>
      <c r="O151" s="33" t="s">
        <v>149</v>
      </c>
      <c r="P151" s="33">
        <f t="shared" ref="P151" si="1299">N151+7</f>
        <v>45484</v>
      </c>
      <c r="Q151" s="33">
        <f t="shared" ref="Q151" si="1300">P151+7</f>
        <v>45491</v>
      </c>
      <c r="R151" s="33">
        <f t="shared" ref="R151" si="1301">Q151+7</f>
        <v>45498</v>
      </c>
      <c r="S151" s="34" t="s">
        <v>149</v>
      </c>
      <c r="T151" s="34">
        <f t="shared" ref="T151" si="1302">R151+7</f>
        <v>45505</v>
      </c>
      <c r="U151" s="34">
        <f t="shared" ref="U151" si="1303">T151+7</f>
        <v>45512</v>
      </c>
      <c r="V151" s="34">
        <f t="shared" ref="V151" si="1304">U151+7</f>
        <v>45519</v>
      </c>
      <c r="W151" s="34" t="s">
        <v>149</v>
      </c>
      <c r="X151" s="34">
        <f t="shared" ref="X151" si="1305">V151+7</f>
        <v>45526</v>
      </c>
      <c r="Y151" s="34">
        <f t="shared" ref="Y151" si="1306">X151+7</f>
        <v>45533</v>
      </c>
      <c r="Z151" s="34">
        <f t="shared" ref="Z151" si="1307">Y151+7</f>
        <v>45540</v>
      </c>
      <c r="AA151" s="34" t="s">
        <v>149</v>
      </c>
      <c r="AB151" s="34">
        <f t="shared" ref="AB151" si="1308">Z151+7</f>
        <v>45547</v>
      </c>
      <c r="AC151" s="34">
        <f t="shared" ref="AC151" si="1309">AB151+7</f>
        <v>45554</v>
      </c>
      <c r="AD151" s="34">
        <f t="shared" ref="AD151" si="1310">AC151+7</f>
        <v>45561</v>
      </c>
      <c r="AE151" s="34" t="s">
        <v>149</v>
      </c>
      <c r="AF151" s="34">
        <f t="shared" ref="AF151" si="1311">AD151+7</f>
        <v>45568</v>
      </c>
      <c r="AG151" s="34">
        <f t="shared" ref="AG151" si="1312">AF151+7</f>
        <v>45575</v>
      </c>
      <c r="AH151" s="34">
        <f t="shared" ref="AH151" si="1313">AG151+7</f>
        <v>45582</v>
      </c>
      <c r="AI151" s="34" t="s">
        <v>149</v>
      </c>
      <c r="AJ151" s="34">
        <f t="shared" ref="AJ151" si="1314">AH151+7</f>
        <v>45589</v>
      </c>
      <c r="AK151" s="34">
        <f t="shared" ref="AK151" si="1315">AJ151+7</f>
        <v>45596</v>
      </c>
      <c r="AL151" s="34">
        <f t="shared" ref="AL151" si="1316">AK151+7</f>
        <v>45603</v>
      </c>
      <c r="AM151" s="34" t="s">
        <v>149</v>
      </c>
      <c r="AN151" s="34">
        <f t="shared" ref="AN151" si="1317">AL151+7</f>
        <v>45610</v>
      </c>
      <c r="AO151" s="34">
        <f t="shared" ref="AO151" si="1318">AN151+7</f>
        <v>45617</v>
      </c>
      <c r="AP151" s="34">
        <f t="shared" ref="AP151" si="1319">AO151+7</f>
        <v>45624</v>
      </c>
      <c r="AQ151" s="34" t="s">
        <v>149</v>
      </c>
      <c r="AR151" s="34">
        <f t="shared" ref="AR151" si="1320">AP151+7</f>
        <v>45631</v>
      </c>
      <c r="AS151" s="34">
        <f t="shared" ref="AS151" si="1321">AR151+7</f>
        <v>45638</v>
      </c>
      <c r="AT151" s="34">
        <f t="shared" ref="AT151" si="1322">AS151+7</f>
        <v>45645</v>
      </c>
      <c r="AU151" s="34">
        <f t="shared" ref="AU151" si="1323">AT151+21</f>
        <v>45666</v>
      </c>
      <c r="AV151" s="34">
        <f t="shared" ref="AV151" si="1324">AT151+7</f>
        <v>45652</v>
      </c>
      <c r="AW151" s="34">
        <f t="shared" ref="AW151" si="1325">AV151+7</f>
        <v>45659</v>
      </c>
      <c r="AX151" s="34">
        <f t="shared" ref="AX151" si="1326">AW151+7</f>
        <v>45666</v>
      </c>
      <c r="AY151" s="34">
        <f t="shared" ref="AY151" si="1327">AX151+21</f>
        <v>45687</v>
      </c>
      <c r="AZ151" s="34">
        <f t="shared" ref="AZ151" si="1328">AX151+7</f>
        <v>45673</v>
      </c>
      <c r="BA151" s="34">
        <f t="shared" ref="BA151" si="1329">AZ151+7</f>
        <v>45680</v>
      </c>
      <c r="BB151" s="34">
        <f t="shared" ref="BB151" si="1330">BA151+7</f>
        <v>45687</v>
      </c>
      <c r="BC151" s="34" t="s">
        <v>148</v>
      </c>
      <c r="BD151" s="34">
        <f>BB151+7</f>
        <v>45694</v>
      </c>
      <c r="BE151" s="34">
        <f>BD151+7</f>
        <v>45701</v>
      </c>
      <c r="BF151" s="34">
        <f>BE151+7</f>
        <v>45708</v>
      </c>
      <c r="BG151" s="34" t="s">
        <v>148</v>
      </c>
      <c r="BH151" s="34">
        <f>BF151+7</f>
        <v>45715</v>
      </c>
      <c r="BI151" s="34">
        <f>BH151+7</f>
        <v>45722</v>
      </c>
      <c r="BJ151" s="34">
        <f>BI151+7</f>
        <v>45729</v>
      </c>
      <c r="BK151" s="34" t="s">
        <v>148</v>
      </c>
      <c r="BL151" s="34"/>
      <c r="BM151" s="34"/>
      <c r="BN151" s="34"/>
      <c r="BO151" s="34"/>
      <c r="BP151" s="34">
        <f>BN151+7</f>
        <v>7</v>
      </c>
      <c r="BQ151" s="34">
        <f>BP151+7</f>
        <v>14</v>
      </c>
      <c r="BR151" s="34">
        <f>BQ151+7</f>
        <v>21</v>
      </c>
      <c r="BS151" s="34" t="s">
        <v>148</v>
      </c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A151" s="34"/>
      <c r="DB151" s="34"/>
      <c r="DC151" s="34"/>
      <c r="DD151" s="34"/>
      <c r="DE151" s="34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  <c r="DS151" s="34"/>
      <c r="DT151" s="34">
        <v>45524</v>
      </c>
      <c r="DU151" s="34"/>
      <c r="DV151" s="32"/>
      <c r="DW151" s="32"/>
      <c r="DX151" s="32"/>
      <c r="DY151" s="32"/>
      <c r="DZ151" s="32"/>
      <c r="EA151" s="32"/>
      <c r="EB151" s="32"/>
      <c r="EC151" s="32"/>
      <c r="ED151" s="123"/>
      <c r="EE151" s="123"/>
      <c r="EF151" s="344"/>
      <c r="EG151" s="345"/>
      <c r="EH151" s="345"/>
    </row>
    <row r="152" spans="2:138" ht="31.15">
      <c r="B152" s="353"/>
      <c r="C152" s="341"/>
      <c r="D152" s="343"/>
      <c r="E152" s="343"/>
      <c r="F152" s="343"/>
      <c r="G152" s="343"/>
      <c r="H152" s="327" t="s">
        <v>150</v>
      </c>
      <c r="I152" s="242">
        <v>45460</v>
      </c>
      <c r="J152" s="88"/>
      <c r="K152" s="98">
        <v>45463</v>
      </c>
      <c r="L152" s="275" t="s">
        <v>148</v>
      </c>
      <c r="M152" s="83">
        <v>45470</v>
      </c>
      <c r="N152" s="327">
        <v>45477</v>
      </c>
      <c r="O152" s="327" t="s">
        <v>149</v>
      </c>
      <c r="P152" s="327">
        <v>45488</v>
      </c>
      <c r="Q152" s="327" t="s">
        <v>272</v>
      </c>
      <c r="R152" s="327" t="s">
        <v>272</v>
      </c>
      <c r="S152" s="327" t="s">
        <v>149</v>
      </c>
      <c r="T152" s="327">
        <v>45510</v>
      </c>
      <c r="U152" s="331">
        <v>45517</v>
      </c>
      <c r="V152" s="327"/>
      <c r="W152" s="327"/>
      <c r="X152" s="65"/>
      <c r="Y152" s="325"/>
      <c r="Z152" s="327"/>
      <c r="AA152" s="327"/>
      <c r="AB152" s="327"/>
      <c r="AC152" s="327"/>
      <c r="AD152" s="58"/>
      <c r="AE152" s="327"/>
      <c r="AF152" s="327"/>
      <c r="AG152" s="327"/>
      <c r="AH152" s="58"/>
      <c r="AI152" s="327"/>
      <c r="AJ152" s="327"/>
      <c r="AK152" s="327"/>
      <c r="AL152" s="58"/>
      <c r="AM152" s="327"/>
      <c r="AN152" s="327"/>
      <c r="AO152" s="327"/>
      <c r="AP152" s="58"/>
      <c r="AQ152" s="327"/>
      <c r="AR152" s="327"/>
      <c r="AS152" s="327"/>
      <c r="AT152" s="58"/>
      <c r="AU152" s="327"/>
      <c r="AV152" s="327"/>
      <c r="AW152" s="327"/>
      <c r="AX152" s="58"/>
      <c r="AY152" s="327"/>
      <c r="AZ152" s="327"/>
      <c r="BA152" s="327"/>
      <c r="BB152" s="58"/>
      <c r="BC152" s="327"/>
      <c r="BD152" s="327"/>
      <c r="BE152" s="327"/>
      <c r="BF152" s="327"/>
      <c r="BG152" s="327"/>
      <c r="BH152" s="327"/>
      <c r="BI152" s="327"/>
      <c r="BJ152" s="327"/>
      <c r="BK152" s="327"/>
      <c r="BL152" s="327"/>
      <c r="BM152" s="327"/>
      <c r="BN152" s="327"/>
      <c r="BO152" s="327"/>
      <c r="BP152" s="327"/>
      <c r="BQ152" s="327"/>
      <c r="BR152" s="327"/>
      <c r="BS152" s="327"/>
      <c r="BT152" s="327"/>
      <c r="BU152" s="327"/>
      <c r="BV152" s="327"/>
      <c r="BW152" s="327"/>
      <c r="BX152" s="327"/>
      <c r="BY152" s="327"/>
      <c r="BZ152" s="327"/>
      <c r="CA152" s="327"/>
      <c r="CB152" s="327"/>
      <c r="CC152" s="327"/>
      <c r="CD152" s="327"/>
      <c r="CE152" s="327"/>
      <c r="CF152" s="327"/>
      <c r="CG152" s="327"/>
      <c r="CH152" s="327"/>
      <c r="CI152" s="327"/>
      <c r="CJ152" s="327"/>
      <c r="CK152" s="327"/>
      <c r="CL152" s="327"/>
      <c r="CM152" s="327"/>
      <c r="CN152" s="327"/>
      <c r="CO152" s="327"/>
      <c r="CP152" s="327"/>
      <c r="CQ152" s="327"/>
      <c r="CR152" s="327"/>
      <c r="CS152" s="327"/>
      <c r="CT152" s="327"/>
      <c r="CU152" s="327"/>
      <c r="CV152" s="327"/>
      <c r="CW152" s="327"/>
      <c r="CX152" s="327"/>
      <c r="CY152" s="327"/>
      <c r="CZ152" s="327"/>
      <c r="DA152" s="327"/>
      <c r="DB152" s="327"/>
      <c r="DC152" s="327"/>
      <c r="DD152" s="327"/>
      <c r="DE152" s="327"/>
      <c r="DF152" s="327"/>
      <c r="DG152" s="327"/>
      <c r="DH152" s="327"/>
      <c r="DI152" s="327"/>
      <c r="DJ152" s="327"/>
      <c r="DK152" s="327"/>
      <c r="DL152" s="327"/>
      <c r="DM152" s="327"/>
      <c r="DN152" s="327"/>
      <c r="DO152" s="327"/>
      <c r="DP152" s="327"/>
      <c r="DQ152" s="327"/>
      <c r="DR152" s="327"/>
      <c r="DS152" s="327"/>
      <c r="DT152" s="327">
        <v>45524</v>
      </c>
      <c r="DU152" s="327" t="s">
        <v>272</v>
      </c>
      <c r="DV152" s="327">
        <v>45616</v>
      </c>
      <c r="DW152" s="327"/>
      <c r="DX152" s="327"/>
      <c r="DY152" s="327"/>
      <c r="DZ152" s="327"/>
      <c r="EA152" s="327"/>
      <c r="EB152" s="327"/>
      <c r="EC152" s="327"/>
      <c r="ED152" s="124"/>
      <c r="EE152" s="124"/>
      <c r="EF152" s="344"/>
      <c r="EG152" s="345"/>
      <c r="EH152" s="345"/>
    </row>
    <row r="153" spans="2:138" ht="31.15">
      <c r="B153" s="352" t="s">
        <v>341</v>
      </c>
      <c r="C153" s="340" t="s">
        <v>343</v>
      </c>
      <c r="D153" s="342" t="s">
        <v>242</v>
      </c>
      <c r="E153" s="340" t="s">
        <v>344</v>
      </c>
      <c r="F153" s="340" t="s">
        <v>250</v>
      </c>
      <c r="G153" s="340" t="s">
        <v>148</v>
      </c>
      <c r="H153" s="40" t="s">
        <v>147</v>
      </c>
      <c r="I153" s="31">
        <v>45442</v>
      </c>
      <c r="J153" s="94"/>
      <c r="K153" s="31">
        <v>45456</v>
      </c>
      <c r="L153" s="233" t="s">
        <v>148</v>
      </c>
      <c r="M153" s="94">
        <f t="shared" ref="M153" si="1331">K153+7</f>
        <v>45463</v>
      </c>
      <c r="N153" s="94">
        <f t="shared" ref="N153" si="1332">M153+7</f>
        <v>45470</v>
      </c>
      <c r="O153" s="94" t="s">
        <v>149</v>
      </c>
      <c r="P153" s="94">
        <f t="shared" ref="P153" si="1333">N153+7</f>
        <v>45477</v>
      </c>
      <c r="Q153" s="94">
        <f t="shared" ref="Q153" si="1334">P153+7</f>
        <v>45484</v>
      </c>
      <c r="R153" s="94">
        <f t="shared" ref="R153" si="1335">Q153+7</f>
        <v>45491</v>
      </c>
      <c r="S153" s="141" t="s">
        <v>149</v>
      </c>
      <c r="T153" s="141">
        <f t="shared" ref="T153" si="1336">R153+7</f>
        <v>45498</v>
      </c>
      <c r="U153" s="141">
        <f t="shared" ref="U153" si="1337">T153+7</f>
        <v>45505</v>
      </c>
      <c r="V153" s="141">
        <f t="shared" ref="V153" si="1338">U153+7</f>
        <v>45512</v>
      </c>
      <c r="W153" s="141" t="s">
        <v>149</v>
      </c>
      <c r="X153" s="141">
        <f t="shared" ref="X153" si="1339">V153+7</f>
        <v>45519</v>
      </c>
      <c r="Y153" s="141">
        <f t="shared" ref="Y153" si="1340">X153+7</f>
        <v>45526</v>
      </c>
      <c r="Z153" s="141">
        <f t="shared" ref="Z153" si="1341">Y153+7</f>
        <v>45533</v>
      </c>
      <c r="AA153" s="141" t="s">
        <v>149</v>
      </c>
      <c r="AB153" s="141">
        <f t="shared" ref="AB153" si="1342">Z153+7</f>
        <v>45540</v>
      </c>
      <c r="AC153" s="141">
        <f t="shared" ref="AC153" si="1343">AB153+7</f>
        <v>45547</v>
      </c>
      <c r="AD153" s="141">
        <f t="shared" ref="AD153" si="1344">AC153+7</f>
        <v>45554</v>
      </c>
      <c r="AE153" s="141" t="s">
        <v>149</v>
      </c>
      <c r="AF153" s="141">
        <f t="shared" ref="AF153" si="1345">AD153+7</f>
        <v>45561</v>
      </c>
      <c r="AG153" s="141">
        <f t="shared" ref="AG153" si="1346">AF153+7</f>
        <v>45568</v>
      </c>
      <c r="AH153" s="141">
        <f t="shared" ref="AH153" si="1347">AG153+7</f>
        <v>45575</v>
      </c>
      <c r="AI153" s="141" t="s">
        <v>149</v>
      </c>
      <c r="AJ153" s="141">
        <f t="shared" ref="AJ153" si="1348">AH153+7</f>
        <v>45582</v>
      </c>
      <c r="AK153" s="141">
        <f t="shared" ref="AK153" si="1349">AJ153+7</f>
        <v>45589</v>
      </c>
      <c r="AL153" s="141">
        <f t="shared" ref="AL153" si="1350">AK153+7</f>
        <v>45596</v>
      </c>
      <c r="AM153" s="141" t="s">
        <v>149</v>
      </c>
      <c r="AN153" s="141">
        <f t="shared" ref="AN153" si="1351">AL153+7</f>
        <v>45603</v>
      </c>
      <c r="AO153" s="141">
        <f t="shared" ref="AO153" si="1352">AN153+7</f>
        <v>45610</v>
      </c>
      <c r="AP153" s="141">
        <f t="shared" ref="AP153" si="1353">AO153+7</f>
        <v>45617</v>
      </c>
      <c r="AQ153" s="141" t="s">
        <v>149</v>
      </c>
      <c r="AR153" s="141">
        <f t="shared" ref="AR153" si="1354">AP153+7</f>
        <v>45624</v>
      </c>
      <c r="AS153" s="141">
        <f t="shared" ref="AS153" si="1355">AR153+7</f>
        <v>45631</v>
      </c>
      <c r="AT153" s="141">
        <f t="shared" ref="AT153" si="1356">AS153+7</f>
        <v>45638</v>
      </c>
      <c r="AU153" s="141" t="s">
        <v>149</v>
      </c>
      <c r="AV153" s="141">
        <f t="shared" ref="AV153" si="1357">AT153+7</f>
        <v>45645</v>
      </c>
      <c r="AW153" s="141">
        <f t="shared" ref="AW153" si="1358">AV153+7</f>
        <v>45652</v>
      </c>
      <c r="AX153" s="141">
        <f t="shared" ref="AX153" si="1359">AW153+7</f>
        <v>45659</v>
      </c>
      <c r="AY153" s="141" t="s">
        <v>149</v>
      </c>
      <c r="AZ153" s="141">
        <f t="shared" ref="AZ153" si="1360">AX153+7</f>
        <v>45666</v>
      </c>
      <c r="BA153" s="141">
        <f t="shared" ref="BA153" si="1361">AZ153+7</f>
        <v>45673</v>
      </c>
      <c r="BB153" s="141">
        <f t="shared" ref="BB153" si="1362">BA153+7</f>
        <v>45680</v>
      </c>
      <c r="BC153" s="141" t="s">
        <v>149</v>
      </c>
      <c r="BD153" s="141">
        <f t="shared" ref="BD153" si="1363">BB153+7</f>
        <v>45687</v>
      </c>
      <c r="BE153" s="141">
        <f t="shared" ref="BE153" si="1364">BD153+7</f>
        <v>45694</v>
      </c>
      <c r="BF153" s="141">
        <f t="shared" ref="BF153" si="1365">BE153+7</f>
        <v>45701</v>
      </c>
      <c r="BG153" s="141" t="s">
        <v>148</v>
      </c>
      <c r="BH153" s="141">
        <f t="shared" ref="BH153" si="1366">BF153+7</f>
        <v>45708</v>
      </c>
      <c r="BI153" s="141">
        <f t="shared" ref="BI153" si="1367">BH153+7</f>
        <v>45715</v>
      </c>
      <c r="BJ153" s="141">
        <f t="shared" ref="BJ153" si="1368">BI153+7</f>
        <v>45722</v>
      </c>
      <c r="BK153" s="141" t="s">
        <v>148</v>
      </c>
      <c r="BL153" s="141">
        <f t="shared" ref="BL153" si="1369">BJ153+7</f>
        <v>45729</v>
      </c>
      <c r="BM153" s="141">
        <f t="shared" ref="BM153" si="1370">BL153+7</f>
        <v>45736</v>
      </c>
      <c r="BN153" s="141">
        <f t="shared" ref="BN153" si="1371">BM153+7</f>
        <v>45743</v>
      </c>
      <c r="BO153" s="141" t="s">
        <v>149</v>
      </c>
      <c r="BP153" s="141">
        <f t="shared" ref="BP153" si="1372">BN153+7</f>
        <v>45750</v>
      </c>
      <c r="BQ153" s="141">
        <f t="shared" ref="BQ153" si="1373">BP153+7</f>
        <v>45757</v>
      </c>
      <c r="BR153" s="141">
        <f t="shared" ref="BR153" si="1374">BQ153+7</f>
        <v>45764</v>
      </c>
      <c r="BS153" s="141" t="s">
        <v>148</v>
      </c>
      <c r="BT153" s="141">
        <f t="shared" ref="BT153" si="1375">BR153+7</f>
        <v>45771</v>
      </c>
      <c r="BU153" s="141">
        <f t="shared" ref="BU153" si="1376">BT153+7</f>
        <v>45778</v>
      </c>
      <c r="BV153" s="141">
        <f t="shared" ref="BV153" si="1377">BU153+7</f>
        <v>45785</v>
      </c>
      <c r="BW153" s="141" t="s">
        <v>149</v>
      </c>
      <c r="BX153" s="141">
        <f t="shared" ref="BX153" si="1378">BV153+7</f>
        <v>45792</v>
      </c>
      <c r="BY153" s="141">
        <f t="shared" ref="BY153" si="1379">BX153+7</f>
        <v>45799</v>
      </c>
      <c r="BZ153" s="141">
        <f t="shared" ref="BZ153" si="1380">BY153+7</f>
        <v>45806</v>
      </c>
      <c r="CA153" s="141" t="s">
        <v>149</v>
      </c>
      <c r="CB153" s="141"/>
      <c r="CC153" s="141"/>
      <c r="CD153" s="141"/>
      <c r="CE153" s="141"/>
      <c r="CF153" s="141"/>
      <c r="CG153" s="141"/>
      <c r="CH153" s="141"/>
      <c r="CI153" s="141"/>
      <c r="CJ153" s="141"/>
      <c r="CK153" s="141"/>
      <c r="CL153" s="141"/>
      <c r="CM153" s="141"/>
      <c r="CN153" s="141"/>
      <c r="CO153" s="141"/>
      <c r="CP153" s="141"/>
      <c r="CQ153" s="141"/>
      <c r="CR153" s="141"/>
      <c r="CS153" s="141"/>
      <c r="CT153" s="141"/>
      <c r="CU153" s="141"/>
      <c r="CV153" s="141"/>
      <c r="CW153" s="141"/>
      <c r="CX153" s="141"/>
      <c r="CY153" s="141"/>
      <c r="CZ153" s="141"/>
      <c r="DA153" s="141"/>
      <c r="DB153" s="141"/>
      <c r="DC153" s="141"/>
      <c r="DD153" s="141"/>
      <c r="DE153" s="141"/>
      <c r="DF153" s="141"/>
      <c r="DG153" s="141"/>
      <c r="DH153" s="141"/>
      <c r="DI153" s="141"/>
      <c r="DJ153" s="141"/>
      <c r="DK153" s="141"/>
      <c r="DL153" s="141"/>
      <c r="DM153" s="141"/>
      <c r="DN153" s="141"/>
      <c r="DO153" s="141"/>
      <c r="DP153" s="141"/>
      <c r="DQ153" s="141"/>
      <c r="DR153" s="141"/>
      <c r="DS153" s="141"/>
      <c r="DT153" s="141">
        <v>45470</v>
      </c>
      <c r="DU153" s="141"/>
      <c r="DV153" s="40"/>
      <c r="DW153" s="40"/>
      <c r="DX153" s="40"/>
      <c r="DY153" s="40"/>
      <c r="DZ153" s="40"/>
      <c r="EA153" s="40"/>
      <c r="EB153" s="40"/>
      <c r="EC153" s="40"/>
      <c r="ED153" s="267"/>
      <c r="EE153" s="35"/>
      <c r="EF153" s="344"/>
      <c r="EG153" s="345"/>
      <c r="EH153" s="344"/>
    </row>
    <row r="154" spans="2:138" ht="31.15">
      <c r="B154" s="353"/>
      <c r="C154" s="341"/>
      <c r="D154" s="343"/>
      <c r="E154" s="341"/>
      <c r="F154" s="341"/>
      <c r="G154" s="341"/>
      <c r="H154" s="325" t="s">
        <v>150</v>
      </c>
      <c r="I154" s="112">
        <v>45442</v>
      </c>
      <c r="J154" s="325"/>
      <c r="K154" s="112">
        <v>45456</v>
      </c>
      <c r="L154" s="275" t="s">
        <v>148</v>
      </c>
      <c r="M154" s="195"/>
      <c r="N154" s="112"/>
      <c r="O154" s="325"/>
      <c r="P154" s="112"/>
      <c r="Q154" s="112"/>
      <c r="R154" s="112"/>
      <c r="S154" s="325"/>
      <c r="T154" s="112"/>
      <c r="U154" s="112"/>
      <c r="V154" s="112"/>
      <c r="W154" s="46"/>
      <c r="X154" s="112"/>
      <c r="Y154" s="112"/>
      <c r="Z154" s="112"/>
      <c r="AA154" s="142"/>
      <c r="AB154" s="112"/>
      <c r="AC154" s="112"/>
      <c r="AD154" s="112"/>
      <c r="AE154" s="333"/>
      <c r="AF154" s="333"/>
      <c r="AG154" s="333"/>
      <c r="AH154" s="333"/>
      <c r="AI154" s="333"/>
      <c r="AJ154" s="333"/>
      <c r="AK154" s="333"/>
      <c r="AL154" s="333"/>
      <c r="AM154" s="333"/>
      <c r="AN154" s="333"/>
      <c r="AO154" s="333"/>
      <c r="AP154" s="333"/>
      <c r="AQ154" s="329"/>
      <c r="AR154" s="333"/>
      <c r="AS154" s="333"/>
      <c r="AT154" s="333"/>
      <c r="AU154" s="333"/>
      <c r="AV154" s="333"/>
      <c r="AW154" s="333"/>
      <c r="AX154" s="333"/>
      <c r="AY154" s="333"/>
      <c r="AZ154" s="143"/>
      <c r="BA154" s="143"/>
      <c r="BB154" s="143"/>
      <c r="BC154" s="333"/>
      <c r="BD154" s="333"/>
      <c r="BE154" s="333"/>
      <c r="BF154" s="333"/>
      <c r="BG154" s="333"/>
      <c r="BH154" s="333"/>
      <c r="BI154" s="333"/>
      <c r="BJ154" s="333"/>
      <c r="BK154" s="333"/>
      <c r="BL154" s="333"/>
      <c r="BM154" s="333"/>
      <c r="BN154" s="333"/>
      <c r="BO154" s="333"/>
      <c r="BP154" s="333"/>
      <c r="BQ154" s="333"/>
      <c r="BR154" s="333"/>
      <c r="BS154" s="333"/>
      <c r="BT154" s="333"/>
      <c r="BU154" s="333"/>
      <c r="BV154" s="333"/>
      <c r="BW154" s="333"/>
      <c r="BX154" s="333"/>
      <c r="BY154" s="333"/>
      <c r="BZ154" s="333"/>
      <c r="CA154" s="333"/>
      <c r="CB154" s="333"/>
      <c r="CC154" s="333"/>
      <c r="CD154" s="333"/>
      <c r="CE154" s="333"/>
      <c r="CF154" s="333"/>
      <c r="CG154" s="333"/>
      <c r="CH154" s="333"/>
      <c r="CI154" s="333"/>
      <c r="CJ154" s="333"/>
      <c r="CK154" s="333"/>
      <c r="CL154" s="333"/>
      <c r="CM154" s="333"/>
      <c r="CN154" s="333"/>
      <c r="CO154" s="333"/>
      <c r="CP154" s="333"/>
      <c r="CQ154" s="333"/>
      <c r="CR154" s="333"/>
      <c r="CS154" s="333"/>
      <c r="CT154" s="333"/>
      <c r="CU154" s="333"/>
      <c r="CV154" s="333"/>
      <c r="CW154" s="333"/>
      <c r="CX154" s="333"/>
      <c r="CY154" s="333"/>
      <c r="CZ154" s="333"/>
      <c r="DA154" s="333"/>
      <c r="DB154" s="333"/>
      <c r="DC154" s="333"/>
      <c r="DD154" s="333"/>
      <c r="DE154" s="333"/>
      <c r="DF154" s="333"/>
      <c r="DG154" s="333"/>
      <c r="DH154" s="333"/>
      <c r="DI154" s="333"/>
      <c r="DJ154" s="333"/>
      <c r="DK154" s="333"/>
      <c r="DL154" s="333"/>
      <c r="DM154" s="333"/>
      <c r="DN154" s="333"/>
      <c r="DO154" s="333"/>
      <c r="DP154" s="333"/>
      <c r="DQ154" s="333"/>
      <c r="DR154" s="333"/>
      <c r="DS154" s="333"/>
      <c r="DT154" s="333">
        <v>45470</v>
      </c>
      <c r="DU154" s="334" t="s">
        <v>272</v>
      </c>
      <c r="DV154" s="46">
        <v>45546</v>
      </c>
      <c r="DW154" s="46"/>
      <c r="DX154" s="46"/>
      <c r="DY154" s="46"/>
      <c r="DZ154" s="46"/>
      <c r="EA154" s="46"/>
      <c r="EB154" s="46"/>
      <c r="EC154" s="46"/>
      <c r="ED154" s="142"/>
      <c r="EE154" s="142"/>
      <c r="EF154" s="344"/>
      <c r="EG154" s="345"/>
      <c r="EH154" s="345"/>
    </row>
    <row r="155" spans="2:138" s="119" customFormat="1" ht="31.15">
      <c r="B155" s="352" t="s">
        <v>335</v>
      </c>
      <c r="C155" s="340" t="s">
        <v>345</v>
      </c>
      <c r="D155" s="340" t="s">
        <v>157</v>
      </c>
      <c r="E155" s="340" t="s">
        <v>305</v>
      </c>
      <c r="F155" s="340" t="s">
        <v>250</v>
      </c>
      <c r="G155" s="340" t="s">
        <v>146</v>
      </c>
      <c r="H155" s="106" t="s">
        <v>147</v>
      </c>
      <c r="I155" s="107">
        <v>45761</v>
      </c>
      <c r="J155" s="108"/>
      <c r="K155" s="219">
        <v>45572</v>
      </c>
      <c r="L155" s="233" t="s">
        <v>148</v>
      </c>
      <c r="M155" s="220">
        <f>K155+7</f>
        <v>45579</v>
      </c>
      <c r="N155" s="220">
        <f>M155+7</f>
        <v>45586</v>
      </c>
      <c r="O155" s="220" t="s">
        <v>149</v>
      </c>
      <c r="P155" s="220">
        <f>N155+7</f>
        <v>45593</v>
      </c>
      <c r="Q155" s="220">
        <f>P155+7</f>
        <v>45600</v>
      </c>
      <c r="R155" s="220">
        <f>Q155+7</f>
        <v>45607</v>
      </c>
      <c r="S155" s="221" t="s">
        <v>149</v>
      </c>
      <c r="T155" s="221">
        <f>R155+7</f>
        <v>45614</v>
      </c>
      <c r="U155" s="221">
        <f>T155+7</f>
        <v>45621</v>
      </c>
      <c r="V155" s="221">
        <f>U155+7</f>
        <v>45628</v>
      </c>
      <c r="W155" s="221" t="s">
        <v>149</v>
      </c>
      <c r="X155" s="221">
        <f>V155+7</f>
        <v>45635</v>
      </c>
      <c r="Y155" s="221">
        <f>X155+7</f>
        <v>45642</v>
      </c>
      <c r="Z155" s="221">
        <f>Y155+7</f>
        <v>45649</v>
      </c>
      <c r="AA155" s="221" t="s">
        <v>149</v>
      </c>
      <c r="AB155" s="221">
        <f>Z155+7</f>
        <v>45656</v>
      </c>
      <c r="AC155" s="221">
        <f>AB155+7</f>
        <v>45663</v>
      </c>
      <c r="AD155" s="221">
        <f>AC155+7</f>
        <v>45670</v>
      </c>
      <c r="AE155" s="221" t="s">
        <v>149</v>
      </c>
      <c r="AF155" s="221">
        <f>AD155+7</f>
        <v>45677</v>
      </c>
      <c r="AG155" s="221">
        <f>AF155+7</f>
        <v>45684</v>
      </c>
      <c r="AH155" s="221">
        <f>AG155+7</f>
        <v>45691</v>
      </c>
      <c r="AI155" s="221" t="s">
        <v>149</v>
      </c>
      <c r="AJ155" s="221">
        <f>AH155+7</f>
        <v>45698</v>
      </c>
      <c r="AK155" s="221">
        <f>AJ155+7</f>
        <v>45705</v>
      </c>
      <c r="AL155" s="221">
        <f>AK155+7</f>
        <v>45712</v>
      </c>
      <c r="AM155" s="221" t="s">
        <v>149</v>
      </c>
      <c r="AN155" s="221">
        <f>AL155+7</f>
        <v>45719</v>
      </c>
      <c r="AO155" s="221">
        <f>AN155+7</f>
        <v>45726</v>
      </c>
      <c r="AP155" s="221">
        <f>AO155+7</f>
        <v>45733</v>
      </c>
      <c r="AQ155" s="221" t="s">
        <v>149</v>
      </c>
      <c r="AR155" s="221">
        <f>AP155+7</f>
        <v>45740</v>
      </c>
      <c r="AS155" s="221">
        <f>AR155+7</f>
        <v>45747</v>
      </c>
      <c r="AT155" s="221">
        <f>AS155+7</f>
        <v>45754</v>
      </c>
      <c r="AU155" s="222" t="s">
        <v>149</v>
      </c>
      <c r="AV155" s="221">
        <f>AT155+7</f>
        <v>45761</v>
      </c>
      <c r="AW155" s="221">
        <f>AV155+7</f>
        <v>45768</v>
      </c>
      <c r="AX155" s="221">
        <f>AW155+7</f>
        <v>45775</v>
      </c>
      <c r="AY155" s="222" t="s">
        <v>149</v>
      </c>
      <c r="AZ155" s="221">
        <f>AX155+7</f>
        <v>45782</v>
      </c>
      <c r="BA155" s="221">
        <f>AZ155+7</f>
        <v>45789</v>
      </c>
      <c r="BB155" s="221">
        <f>BA155+7</f>
        <v>45796</v>
      </c>
      <c r="BC155" s="222" t="s">
        <v>149</v>
      </c>
      <c r="BD155" s="222"/>
      <c r="BE155" s="222"/>
      <c r="BF155" s="222"/>
      <c r="BG155" s="222"/>
      <c r="BH155" s="222"/>
      <c r="BI155" s="222"/>
      <c r="BJ155" s="222"/>
      <c r="BK155" s="222"/>
      <c r="BL155" s="222"/>
      <c r="BM155" s="222"/>
      <c r="BN155" s="222"/>
      <c r="BO155" s="222"/>
      <c r="BP155" s="222"/>
      <c r="BQ155" s="222"/>
      <c r="BR155" s="222"/>
      <c r="BS155" s="222"/>
      <c r="BT155" s="222"/>
      <c r="BU155" s="222"/>
      <c r="BV155" s="222"/>
      <c r="BW155" s="222"/>
      <c r="BX155" s="222"/>
      <c r="BY155" s="222"/>
      <c r="BZ155" s="332"/>
      <c r="CA155" s="332"/>
      <c r="CB155" s="332"/>
      <c r="CC155" s="332"/>
      <c r="CD155" s="332"/>
      <c r="CE155" s="332"/>
      <c r="CF155" s="332"/>
      <c r="CG155" s="332"/>
      <c r="CH155" s="332"/>
      <c r="CI155" s="332"/>
      <c r="CJ155" s="332"/>
      <c r="CK155" s="332"/>
      <c r="CL155" s="332"/>
      <c r="CM155" s="332"/>
      <c r="CN155" s="332"/>
      <c r="CO155" s="332"/>
      <c r="CP155" s="332"/>
      <c r="CQ155" s="332"/>
      <c r="CR155" s="332"/>
      <c r="CS155" s="332"/>
      <c r="CT155" s="332"/>
      <c r="CU155" s="332"/>
      <c r="CV155" s="332"/>
      <c r="CW155" s="332"/>
      <c r="CX155" s="332"/>
      <c r="CY155" s="332"/>
      <c r="CZ155" s="332"/>
      <c r="DA155" s="332"/>
      <c r="DB155" s="332"/>
      <c r="DC155" s="332"/>
      <c r="DD155" s="299"/>
      <c r="DE155" s="299"/>
      <c r="DF155" s="299"/>
      <c r="DG155" s="299"/>
      <c r="DH155" s="299"/>
      <c r="DI155" s="299"/>
      <c r="DJ155" s="299"/>
      <c r="DK155" s="299"/>
      <c r="DL155" s="299"/>
      <c r="DM155" s="299"/>
      <c r="DN155" s="299"/>
      <c r="DO155" s="299"/>
      <c r="DP155" s="299"/>
      <c r="DQ155" s="299"/>
      <c r="DR155" s="299"/>
      <c r="DS155" s="299"/>
      <c r="DT155" s="134">
        <v>45840</v>
      </c>
      <c r="DU155" s="53">
        <v>45854</v>
      </c>
      <c r="DV155" s="106">
        <v>45908</v>
      </c>
      <c r="DW155" s="106">
        <v>45996</v>
      </c>
      <c r="DX155" s="106"/>
      <c r="DY155" s="106"/>
      <c r="DZ155" s="106"/>
      <c r="EA155" s="106"/>
      <c r="EB155" s="106"/>
      <c r="EC155" s="106"/>
      <c r="ED155" s="54"/>
      <c r="EE155" s="54"/>
      <c r="EF155" s="344"/>
      <c r="EG155" s="345"/>
      <c r="EH155" s="344"/>
    </row>
    <row r="156" spans="2:138" s="119" customFormat="1" ht="31.15">
      <c r="B156" s="353"/>
      <c r="C156" s="341"/>
      <c r="D156" s="341"/>
      <c r="E156" s="341"/>
      <c r="F156" s="341"/>
      <c r="G156" s="341"/>
      <c r="H156" s="325" t="s">
        <v>150</v>
      </c>
      <c r="I156" s="110">
        <v>45761</v>
      </c>
      <c r="J156" s="111"/>
      <c r="K156" s="112">
        <v>45775</v>
      </c>
      <c r="L156" s="275" t="s">
        <v>148</v>
      </c>
      <c r="M156" s="112">
        <v>45782</v>
      </c>
      <c r="N156" s="112">
        <v>45789</v>
      </c>
      <c r="O156" s="325">
        <v>45796</v>
      </c>
      <c r="P156" s="112">
        <v>45810</v>
      </c>
      <c r="Q156" s="112">
        <v>45817</v>
      </c>
      <c r="R156" s="112">
        <v>45824</v>
      </c>
      <c r="S156" s="325"/>
      <c r="T156" s="112"/>
      <c r="U156" s="112"/>
      <c r="V156" s="112"/>
      <c r="W156" s="325"/>
      <c r="X156" s="112"/>
      <c r="Y156" s="112"/>
      <c r="Z156" s="112"/>
      <c r="AA156" s="325"/>
      <c r="AB156" s="112"/>
      <c r="AC156" s="112"/>
      <c r="AD156" s="112"/>
      <c r="AE156" s="325"/>
      <c r="AF156" s="112"/>
      <c r="AG156" s="112"/>
      <c r="AH156" s="112"/>
      <c r="AI156" s="325"/>
      <c r="AJ156" s="112"/>
      <c r="AK156" s="112"/>
      <c r="AL156" s="112"/>
      <c r="AM156" s="325"/>
      <c r="AN156" s="112"/>
      <c r="AO156" s="112"/>
      <c r="AP156" s="112"/>
      <c r="AQ156" s="325"/>
      <c r="AR156" s="112"/>
      <c r="AS156" s="112"/>
      <c r="AT156" s="112"/>
      <c r="AU156" s="328"/>
      <c r="AV156" s="112"/>
      <c r="AW156" s="112"/>
      <c r="AX156" s="112"/>
      <c r="AY156" s="328"/>
      <c r="AZ156" s="112"/>
      <c r="BA156" s="112"/>
      <c r="BB156" s="112"/>
      <c r="BC156" s="328"/>
      <c r="BD156" s="121"/>
      <c r="BE156" s="121"/>
      <c r="BF156" s="121"/>
      <c r="BG156" s="121"/>
      <c r="BH156" s="121"/>
      <c r="BI156" s="121"/>
      <c r="BJ156" s="121"/>
      <c r="BK156" s="121"/>
      <c r="BL156" s="121"/>
      <c r="BM156" s="121"/>
      <c r="BN156" s="121"/>
      <c r="BO156" s="121"/>
      <c r="BP156" s="121"/>
      <c r="BQ156" s="121"/>
      <c r="BR156" s="121"/>
      <c r="BS156" s="121"/>
      <c r="BT156" s="121"/>
      <c r="BU156" s="121"/>
      <c r="BV156" s="121"/>
      <c r="BW156" s="121"/>
      <c r="BX156" s="121"/>
      <c r="BY156" s="121"/>
      <c r="BZ156" s="121"/>
      <c r="CA156" s="121"/>
      <c r="CB156" s="121"/>
      <c r="CC156" s="121"/>
      <c r="CD156" s="121"/>
      <c r="CE156" s="121"/>
      <c r="CF156" s="121"/>
      <c r="CG156" s="121"/>
      <c r="CH156" s="121"/>
      <c r="CI156" s="121"/>
      <c r="CJ156" s="121"/>
      <c r="CK156" s="121"/>
      <c r="CL156" s="121"/>
      <c r="CM156" s="121"/>
      <c r="CN156" s="121"/>
      <c r="CO156" s="121"/>
      <c r="CP156" s="121"/>
      <c r="CQ156" s="121"/>
      <c r="CR156" s="121"/>
      <c r="CS156" s="121"/>
      <c r="CT156" s="121"/>
      <c r="CU156" s="121"/>
      <c r="CV156" s="121"/>
      <c r="CW156" s="121"/>
      <c r="CX156" s="121"/>
      <c r="CY156" s="121"/>
      <c r="CZ156" s="121"/>
      <c r="DA156" s="121"/>
      <c r="DB156" s="121"/>
      <c r="DC156" s="121"/>
      <c r="DD156" s="121"/>
      <c r="DE156" s="121"/>
      <c r="DF156" s="121"/>
      <c r="DG156" s="121"/>
      <c r="DH156" s="121"/>
      <c r="DI156" s="121"/>
      <c r="DJ156" s="121"/>
      <c r="DK156" s="121"/>
      <c r="DL156" s="121"/>
      <c r="DM156" s="121"/>
      <c r="DN156" s="121"/>
      <c r="DO156" s="121"/>
      <c r="DP156" s="121"/>
      <c r="DQ156" s="121"/>
      <c r="DR156" s="121"/>
      <c r="DS156" s="121"/>
      <c r="DT156" s="112">
        <v>45840</v>
      </c>
      <c r="DU156" s="83">
        <v>45854</v>
      </c>
      <c r="DV156" s="325">
        <v>45908</v>
      </c>
      <c r="DW156" s="325">
        <v>45996</v>
      </c>
      <c r="DX156" s="325">
        <v>46135</v>
      </c>
      <c r="DY156" s="325"/>
      <c r="DZ156" s="325"/>
      <c r="EA156" s="325"/>
      <c r="EB156" s="325"/>
      <c r="EC156" s="325"/>
      <c r="ED156" s="61"/>
      <c r="EE156" s="61"/>
      <c r="EF156" s="344"/>
      <c r="EG156" s="345"/>
      <c r="EH156" s="345"/>
    </row>
    <row r="157" spans="2:138" ht="31.15">
      <c r="B157" s="356" t="s">
        <v>221</v>
      </c>
      <c r="C157" s="358" t="s">
        <v>346</v>
      </c>
      <c r="D157" s="360" t="s">
        <v>270</v>
      </c>
      <c r="E157" s="358" t="s">
        <v>347</v>
      </c>
      <c r="F157" s="358" t="s">
        <v>250</v>
      </c>
      <c r="G157" s="358" t="s">
        <v>146</v>
      </c>
      <c r="H157" s="181" t="s">
        <v>147</v>
      </c>
      <c r="I157" s="75">
        <v>45754</v>
      </c>
      <c r="J157" s="182"/>
      <c r="K157" s="249">
        <v>45764</v>
      </c>
      <c r="L157" s="249" t="s">
        <v>148</v>
      </c>
      <c r="M157" s="182">
        <f>K157+7</f>
        <v>45771</v>
      </c>
      <c r="N157" s="182">
        <f>M157+7</f>
        <v>45778</v>
      </c>
      <c r="O157" s="182" t="s">
        <v>149</v>
      </c>
      <c r="P157" s="182">
        <f t="shared" ref="P157" si="1381">N157+7</f>
        <v>45785</v>
      </c>
      <c r="Q157" s="182">
        <f t="shared" ref="Q157" si="1382">P157+7</f>
        <v>45792</v>
      </c>
      <c r="R157" s="182">
        <f t="shared" ref="R157" si="1383">Q157+7</f>
        <v>45799</v>
      </c>
      <c r="S157" s="180" t="s">
        <v>149</v>
      </c>
      <c r="T157" s="180">
        <f t="shared" ref="T157" si="1384">R157+7</f>
        <v>45806</v>
      </c>
      <c r="U157" s="180">
        <f t="shared" ref="U157" si="1385">T157+7</f>
        <v>45813</v>
      </c>
      <c r="V157" s="180">
        <f t="shared" ref="V157" si="1386">U157+7</f>
        <v>45820</v>
      </c>
      <c r="W157" s="180" t="s">
        <v>149</v>
      </c>
      <c r="X157" s="180">
        <f t="shared" ref="X157" si="1387">V157+7</f>
        <v>45827</v>
      </c>
      <c r="Y157" s="180">
        <f t="shared" ref="Y157" si="1388">X157+7</f>
        <v>45834</v>
      </c>
      <c r="Z157" s="180">
        <f t="shared" ref="Z157" si="1389">Y157+7</f>
        <v>45841</v>
      </c>
      <c r="AA157" s="180" t="s">
        <v>149</v>
      </c>
      <c r="AB157" s="180">
        <f t="shared" ref="AB157" si="1390">Z157+7</f>
        <v>45848</v>
      </c>
      <c r="AC157" s="180">
        <f t="shared" ref="AC157" si="1391">AB157+7</f>
        <v>45855</v>
      </c>
      <c r="AD157" s="180">
        <f t="shared" ref="AD157" si="1392">AC157+7</f>
        <v>45862</v>
      </c>
      <c r="AE157" s="180" t="s">
        <v>149</v>
      </c>
      <c r="AF157" s="180">
        <f t="shared" ref="AF157" si="1393">AD157+7</f>
        <v>45869</v>
      </c>
      <c r="AG157" s="180">
        <f t="shared" ref="AG157" si="1394">AF157+7</f>
        <v>45876</v>
      </c>
      <c r="AH157" s="180">
        <f t="shared" ref="AH157" si="1395">AG157+7</f>
        <v>45883</v>
      </c>
      <c r="AI157" s="180" t="s">
        <v>149</v>
      </c>
      <c r="AJ157" s="180">
        <f t="shared" ref="AJ157" si="1396">AH157+7</f>
        <v>45890</v>
      </c>
      <c r="AK157" s="180">
        <f t="shared" ref="AK157" si="1397">AJ157+7</f>
        <v>45897</v>
      </c>
      <c r="AL157" s="180">
        <f t="shared" ref="AL157" si="1398">AK157+7</f>
        <v>45904</v>
      </c>
      <c r="AM157" s="180" t="s">
        <v>149</v>
      </c>
      <c r="AN157" s="180">
        <f t="shared" ref="AN157" si="1399">AL157+7</f>
        <v>45911</v>
      </c>
      <c r="AO157" s="180">
        <f t="shared" ref="AO157" si="1400">AN157+7</f>
        <v>45918</v>
      </c>
      <c r="AP157" s="180">
        <f t="shared" ref="AP157" si="1401">AO157+7</f>
        <v>45925</v>
      </c>
      <c r="AQ157" s="180" t="s">
        <v>149</v>
      </c>
      <c r="AR157" s="180">
        <f t="shared" ref="AR157" si="1402">AP157+7</f>
        <v>45932</v>
      </c>
      <c r="AS157" s="180">
        <f t="shared" ref="AS157" si="1403">AR157+7</f>
        <v>45939</v>
      </c>
      <c r="AT157" s="180">
        <f t="shared" ref="AT157" si="1404">AS157+7</f>
        <v>45946</v>
      </c>
      <c r="AU157" s="180" t="s">
        <v>149</v>
      </c>
      <c r="AV157" s="180">
        <f t="shared" ref="AV157" si="1405">AT157+7</f>
        <v>45953</v>
      </c>
      <c r="AW157" s="180">
        <f t="shared" ref="AW157" si="1406">AV157+7</f>
        <v>45960</v>
      </c>
      <c r="AX157" s="180">
        <f t="shared" ref="AX157" si="1407">AW157+7</f>
        <v>45967</v>
      </c>
      <c r="AY157" s="180" t="s">
        <v>149</v>
      </c>
      <c r="AZ157" s="180">
        <f t="shared" ref="AZ157" si="1408">AX157+7</f>
        <v>45974</v>
      </c>
      <c r="BA157" s="180">
        <f t="shared" ref="BA157" si="1409">AZ157+7</f>
        <v>45981</v>
      </c>
      <c r="BB157" s="180">
        <f t="shared" ref="BB157" si="1410">BA157+7</f>
        <v>45988</v>
      </c>
      <c r="BC157" s="180" t="s">
        <v>149</v>
      </c>
      <c r="BD157" s="180">
        <f t="shared" ref="BD157" si="1411">BB157+7</f>
        <v>45995</v>
      </c>
      <c r="BE157" s="180">
        <f t="shared" ref="BE157" si="1412">BD157+7</f>
        <v>46002</v>
      </c>
      <c r="BF157" s="180">
        <f t="shared" ref="BF157" si="1413">BE157+7</f>
        <v>46009</v>
      </c>
      <c r="BG157" s="180" t="s">
        <v>148</v>
      </c>
      <c r="BH157" s="180">
        <f t="shared" ref="BH157" si="1414">BF157+7</f>
        <v>46016</v>
      </c>
      <c r="BI157" s="180">
        <f t="shared" ref="BI157" si="1415">BH157+7</f>
        <v>46023</v>
      </c>
      <c r="BJ157" s="180">
        <f t="shared" ref="BJ157" si="1416">BI157+7</f>
        <v>46030</v>
      </c>
      <c r="BK157" s="180" t="s">
        <v>148</v>
      </c>
      <c r="BL157" s="180">
        <f t="shared" ref="BL157" si="1417">BJ157+7</f>
        <v>46037</v>
      </c>
      <c r="BM157" s="180">
        <f t="shared" ref="BM157" si="1418">BL157+7</f>
        <v>46044</v>
      </c>
      <c r="BN157" s="180">
        <f t="shared" ref="BN157" si="1419">BM157+7</f>
        <v>46051</v>
      </c>
      <c r="BO157" s="180" t="s">
        <v>149</v>
      </c>
      <c r="BP157" s="180">
        <f t="shared" ref="BP157" si="1420">BN157+7</f>
        <v>46058</v>
      </c>
      <c r="BQ157" s="180">
        <f t="shared" ref="BQ157" si="1421">BP157+7</f>
        <v>46065</v>
      </c>
      <c r="BR157" s="180">
        <f t="shared" ref="BR157" si="1422">BQ157+7</f>
        <v>46072</v>
      </c>
      <c r="BS157" s="180" t="s">
        <v>148</v>
      </c>
      <c r="BT157" s="180">
        <f t="shared" ref="BT157" si="1423">BR157+7</f>
        <v>46079</v>
      </c>
      <c r="BU157" s="180">
        <f t="shared" ref="BU157" si="1424">BT157+7</f>
        <v>46086</v>
      </c>
      <c r="BV157" s="180">
        <f t="shared" ref="BV157" si="1425">BU157+7</f>
        <v>46093</v>
      </c>
      <c r="BW157" s="180" t="s">
        <v>149</v>
      </c>
      <c r="BX157" s="180">
        <f t="shared" ref="BX157" si="1426">BV157+7</f>
        <v>46100</v>
      </c>
      <c r="BY157" s="180">
        <f t="shared" ref="BY157" si="1427">BX157+7</f>
        <v>46107</v>
      </c>
      <c r="BZ157" s="180">
        <f t="shared" ref="BZ157" si="1428">BY157+7</f>
        <v>46114</v>
      </c>
      <c r="CA157" s="180" t="s">
        <v>149</v>
      </c>
      <c r="CB157" s="180"/>
      <c r="CC157" s="180"/>
      <c r="CD157" s="180"/>
      <c r="CE157" s="180"/>
      <c r="CF157" s="180"/>
      <c r="CG157" s="180"/>
      <c r="CH157" s="180"/>
      <c r="CI157" s="180"/>
      <c r="CJ157" s="180"/>
      <c r="CK157" s="180"/>
      <c r="CL157" s="180"/>
      <c r="CM157" s="180"/>
      <c r="CN157" s="180"/>
      <c r="CO157" s="180"/>
      <c r="CP157" s="180"/>
      <c r="CQ157" s="180"/>
      <c r="CR157" s="180"/>
      <c r="CS157" s="180"/>
      <c r="CT157" s="180"/>
      <c r="CU157" s="180"/>
      <c r="CV157" s="180"/>
      <c r="CW157" s="180"/>
      <c r="CX157" s="180"/>
      <c r="CY157" s="180"/>
      <c r="CZ157" s="180"/>
      <c r="DA157" s="180"/>
      <c r="DB157" s="180"/>
      <c r="DC157" s="180"/>
      <c r="DD157" s="180"/>
      <c r="DE157" s="180"/>
      <c r="DF157" s="180"/>
      <c r="DG157" s="180"/>
      <c r="DH157" s="180"/>
      <c r="DI157" s="180"/>
      <c r="DJ157" s="180"/>
      <c r="DK157" s="180"/>
      <c r="DL157" s="180"/>
      <c r="DM157" s="180"/>
      <c r="DN157" s="180"/>
      <c r="DO157" s="180"/>
      <c r="DP157" s="180"/>
      <c r="DQ157" s="180"/>
      <c r="DR157" s="180"/>
      <c r="DS157" s="180"/>
      <c r="DT157" s="127">
        <v>45960</v>
      </c>
      <c r="DU157" s="127"/>
      <c r="DV157" s="125"/>
      <c r="DW157" s="125"/>
      <c r="DX157" s="125"/>
      <c r="DY157" s="125"/>
      <c r="DZ157" s="125"/>
      <c r="EA157" s="125"/>
      <c r="EB157" s="125"/>
      <c r="EC157" s="125"/>
      <c r="ED157" s="268"/>
      <c r="EE157" s="128"/>
      <c r="EF157" s="339"/>
      <c r="EG157" s="338"/>
      <c r="EH157" s="339"/>
    </row>
    <row r="158" spans="2:138" ht="31.15">
      <c r="B158" s="357"/>
      <c r="C158" s="359"/>
      <c r="D158" s="361"/>
      <c r="E158" s="359"/>
      <c r="F158" s="359"/>
      <c r="G158" s="359"/>
      <c r="H158" s="324" t="s">
        <v>150</v>
      </c>
      <c r="I158" s="169">
        <v>45754</v>
      </c>
      <c r="J158" s="324"/>
      <c r="K158" s="169">
        <v>45764</v>
      </c>
      <c r="L158" s="272" t="s">
        <v>148</v>
      </c>
      <c r="M158" s="202">
        <v>45771</v>
      </c>
      <c r="N158" s="169" t="s">
        <v>272</v>
      </c>
      <c r="O158" s="324" t="s">
        <v>149</v>
      </c>
      <c r="P158" s="169">
        <v>45785</v>
      </c>
      <c r="Q158" s="169">
        <v>45792</v>
      </c>
      <c r="R158" s="169">
        <v>45799</v>
      </c>
      <c r="S158" s="324" t="s">
        <v>149</v>
      </c>
      <c r="T158" s="169">
        <v>45806</v>
      </c>
      <c r="U158" s="169">
        <v>45813</v>
      </c>
      <c r="V158" s="169">
        <v>45820</v>
      </c>
      <c r="W158" s="152" t="s">
        <v>149</v>
      </c>
      <c r="X158" s="169">
        <v>45827</v>
      </c>
      <c r="Y158" s="169">
        <v>45834</v>
      </c>
      <c r="Z158" s="169">
        <v>45841</v>
      </c>
      <c r="AA158" s="176" t="s">
        <v>149</v>
      </c>
      <c r="AB158" s="169">
        <v>45848</v>
      </c>
      <c r="AC158" s="169">
        <v>45855</v>
      </c>
      <c r="AD158" s="169">
        <v>45862</v>
      </c>
      <c r="AE158" s="177" t="s">
        <v>148</v>
      </c>
      <c r="AF158" s="177">
        <v>45866</v>
      </c>
      <c r="AG158" s="177">
        <v>45876</v>
      </c>
      <c r="AH158" s="177">
        <v>45883</v>
      </c>
      <c r="AI158" s="177" t="s">
        <v>148</v>
      </c>
      <c r="AJ158" s="177">
        <v>45890</v>
      </c>
      <c r="AK158" s="177">
        <v>45897</v>
      </c>
      <c r="AL158" s="177">
        <v>45904</v>
      </c>
      <c r="AM158" s="177" t="s">
        <v>148</v>
      </c>
      <c r="AN158" s="177">
        <v>45911</v>
      </c>
      <c r="AO158" s="177">
        <v>45918</v>
      </c>
      <c r="AP158" s="177">
        <v>45925</v>
      </c>
      <c r="AQ158" s="178" t="s">
        <v>148</v>
      </c>
      <c r="AR158" s="177">
        <v>45932</v>
      </c>
      <c r="AS158" s="177">
        <v>45940</v>
      </c>
      <c r="AT158" s="177">
        <v>45946</v>
      </c>
      <c r="AU158" s="177" t="s">
        <v>148</v>
      </c>
      <c r="AV158" s="177">
        <v>45953</v>
      </c>
      <c r="AW158" s="177"/>
      <c r="AX158" s="177"/>
      <c r="AY158" s="177"/>
      <c r="AZ158" s="179"/>
      <c r="BA158" s="179"/>
      <c r="BB158" s="179"/>
      <c r="BC158" s="177"/>
      <c r="BD158" s="177"/>
      <c r="BE158" s="177"/>
      <c r="BF158" s="177"/>
      <c r="BG158" s="177"/>
      <c r="BH158" s="177"/>
      <c r="BI158" s="177"/>
      <c r="BJ158" s="177"/>
      <c r="BK158" s="177"/>
      <c r="BL158" s="177"/>
      <c r="BM158" s="177"/>
      <c r="BN158" s="177"/>
      <c r="BO158" s="177"/>
      <c r="BP158" s="177"/>
      <c r="BQ158" s="177"/>
      <c r="BR158" s="177"/>
      <c r="BS158" s="177"/>
      <c r="BT158" s="177"/>
      <c r="BU158" s="177"/>
      <c r="BV158" s="177"/>
      <c r="BW158" s="177"/>
      <c r="BX158" s="177"/>
      <c r="BY158" s="177"/>
      <c r="BZ158" s="177"/>
      <c r="CA158" s="177"/>
      <c r="CB158" s="177"/>
      <c r="CC158" s="177"/>
      <c r="CD158" s="177"/>
      <c r="CE158" s="177"/>
      <c r="CF158" s="177"/>
      <c r="CG158" s="177"/>
      <c r="CH158" s="177"/>
      <c r="CI158" s="177"/>
      <c r="CJ158" s="177"/>
      <c r="CK158" s="177"/>
      <c r="CL158" s="177"/>
      <c r="CM158" s="177"/>
      <c r="CN158" s="177"/>
      <c r="CO158" s="177"/>
      <c r="CP158" s="177"/>
      <c r="CQ158" s="177"/>
      <c r="CR158" s="177"/>
      <c r="CS158" s="177"/>
      <c r="CT158" s="177"/>
      <c r="CU158" s="177"/>
      <c r="CV158" s="177"/>
      <c r="CW158" s="177"/>
      <c r="CX158" s="177"/>
      <c r="CY158" s="177"/>
      <c r="CZ158" s="177"/>
      <c r="DA158" s="177"/>
      <c r="DB158" s="177"/>
      <c r="DC158" s="177"/>
      <c r="DD158" s="177"/>
      <c r="DE158" s="177"/>
      <c r="DF158" s="177"/>
      <c r="DG158" s="177"/>
      <c r="DH158" s="177"/>
      <c r="DI158" s="177"/>
      <c r="DJ158" s="177"/>
      <c r="DK158" s="177"/>
      <c r="DL158" s="177"/>
      <c r="DM158" s="177"/>
      <c r="DN158" s="177"/>
      <c r="DO158" s="177"/>
      <c r="DP158" s="177"/>
      <c r="DQ158" s="177"/>
      <c r="DR158" s="177"/>
      <c r="DS158" s="177"/>
      <c r="DT158" s="28">
        <v>45960</v>
      </c>
      <c r="DU158" s="132" t="s">
        <v>285</v>
      </c>
      <c r="DV158" s="69">
        <v>46051</v>
      </c>
      <c r="DW158" s="69">
        <v>46126</v>
      </c>
      <c r="DX158" s="69"/>
      <c r="DY158" s="69"/>
      <c r="DZ158" s="69"/>
      <c r="EA158" s="69"/>
      <c r="EB158" s="69"/>
      <c r="EC158" s="69"/>
      <c r="ED158" s="22"/>
      <c r="EE158" s="22"/>
      <c r="EF158" s="339"/>
      <c r="EG158" s="338"/>
      <c r="EH158" s="338"/>
    </row>
    <row r="159" spans="2:138" s="119" customFormat="1" ht="31.15">
      <c r="B159" s="352" t="s">
        <v>348</v>
      </c>
      <c r="C159" s="340" t="s">
        <v>349</v>
      </c>
      <c r="D159" s="340" t="s">
        <v>157</v>
      </c>
      <c r="E159" s="340" t="s">
        <v>305</v>
      </c>
      <c r="F159" s="340" t="s">
        <v>250</v>
      </c>
      <c r="G159" s="340" t="s">
        <v>146</v>
      </c>
      <c r="H159" s="106" t="s">
        <v>147</v>
      </c>
      <c r="I159" s="107">
        <v>45819</v>
      </c>
      <c r="J159" s="108"/>
      <c r="K159" s="219">
        <v>45824</v>
      </c>
      <c r="L159" s="233" t="s">
        <v>148</v>
      </c>
      <c r="M159" s="220">
        <f>K159+7</f>
        <v>45831</v>
      </c>
      <c r="N159" s="220">
        <f>M159+7</f>
        <v>45838</v>
      </c>
      <c r="O159" s="220" t="s">
        <v>149</v>
      </c>
      <c r="P159" s="220">
        <f>N159+7</f>
        <v>45845</v>
      </c>
      <c r="Q159" s="220">
        <f>P159+7</f>
        <v>45852</v>
      </c>
      <c r="R159" s="220">
        <f>Q159+7</f>
        <v>45859</v>
      </c>
      <c r="S159" s="221" t="s">
        <v>149</v>
      </c>
      <c r="T159" s="221">
        <f>R159+7</f>
        <v>45866</v>
      </c>
      <c r="U159" s="221">
        <f>T159+7</f>
        <v>45873</v>
      </c>
      <c r="V159" s="221">
        <f>U159+7</f>
        <v>45880</v>
      </c>
      <c r="W159" s="221" t="s">
        <v>149</v>
      </c>
      <c r="X159" s="221">
        <f>V159+7</f>
        <v>45887</v>
      </c>
      <c r="Y159" s="221">
        <f>X159+7</f>
        <v>45894</v>
      </c>
      <c r="Z159" s="221">
        <f>Y159+7</f>
        <v>45901</v>
      </c>
      <c r="AA159" s="221" t="s">
        <v>149</v>
      </c>
      <c r="AB159" s="221">
        <f>Z159+7</f>
        <v>45908</v>
      </c>
      <c r="AC159" s="221">
        <f>AB159+7</f>
        <v>45915</v>
      </c>
      <c r="AD159" s="221">
        <f>AC159+7</f>
        <v>45922</v>
      </c>
      <c r="AE159" s="221" t="s">
        <v>149</v>
      </c>
      <c r="AF159" s="221">
        <f>AD159+7</f>
        <v>45929</v>
      </c>
      <c r="AG159" s="221">
        <f>AF159+7</f>
        <v>45936</v>
      </c>
      <c r="AH159" s="221">
        <f>AG159+7</f>
        <v>45943</v>
      </c>
      <c r="AI159" s="221" t="s">
        <v>149</v>
      </c>
      <c r="AJ159" s="221">
        <f>AH159+7</f>
        <v>45950</v>
      </c>
      <c r="AK159" s="221">
        <f>AJ159+7</f>
        <v>45957</v>
      </c>
      <c r="AL159" s="221">
        <f>AK159+7</f>
        <v>45964</v>
      </c>
      <c r="AM159" s="221" t="s">
        <v>149</v>
      </c>
      <c r="AN159" s="221">
        <f>AL159+7</f>
        <v>45971</v>
      </c>
      <c r="AO159" s="221">
        <f>AN159+7</f>
        <v>45978</v>
      </c>
      <c r="AP159" s="221">
        <f>AO159+7</f>
        <v>45985</v>
      </c>
      <c r="AQ159" s="221" t="s">
        <v>149</v>
      </c>
      <c r="AR159" s="221">
        <f>AP159+7</f>
        <v>45992</v>
      </c>
      <c r="AS159" s="221">
        <f>AR159+7</f>
        <v>45999</v>
      </c>
      <c r="AT159" s="221">
        <f>AS159+7</f>
        <v>46006</v>
      </c>
      <c r="AU159" s="222" t="s">
        <v>149</v>
      </c>
      <c r="AV159" s="221">
        <f>AT159+7</f>
        <v>46013</v>
      </c>
      <c r="AW159" s="221">
        <f>AV159+7</f>
        <v>46020</v>
      </c>
      <c r="AX159" s="221">
        <f>AW159+7</f>
        <v>46027</v>
      </c>
      <c r="AY159" s="222" t="s">
        <v>149</v>
      </c>
      <c r="AZ159" s="221">
        <f>AX159+7</f>
        <v>46034</v>
      </c>
      <c r="BA159" s="221">
        <f>AZ159+7</f>
        <v>46041</v>
      </c>
      <c r="BB159" s="221">
        <f>BA159+7</f>
        <v>46048</v>
      </c>
      <c r="BC159" s="222" t="s">
        <v>149</v>
      </c>
      <c r="BD159" s="222"/>
      <c r="BE159" s="222"/>
      <c r="BF159" s="222"/>
      <c r="BG159" s="222"/>
      <c r="BH159" s="222"/>
      <c r="BI159" s="222"/>
      <c r="BJ159" s="222"/>
      <c r="BK159" s="222"/>
      <c r="BL159" s="222"/>
      <c r="BM159" s="222"/>
      <c r="BN159" s="222"/>
      <c r="BO159" s="222"/>
      <c r="BP159" s="222"/>
      <c r="BQ159" s="222"/>
      <c r="BR159" s="222"/>
      <c r="BS159" s="222"/>
      <c r="BT159" s="222"/>
      <c r="BU159" s="222"/>
      <c r="BV159" s="222"/>
      <c r="BW159" s="222"/>
      <c r="BX159" s="222"/>
      <c r="BY159" s="222"/>
      <c r="BZ159" s="332"/>
      <c r="CA159" s="332"/>
      <c r="CB159" s="332"/>
      <c r="CC159" s="332"/>
      <c r="CD159" s="332"/>
      <c r="CE159" s="332"/>
      <c r="CF159" s="332"/>
      <c r="CG159" s="332"/>
      <c r="CH159" s="332"/>
      <c r="CI159" s="332"/>
      <c r="CJ159" s="332"/>
      <c r="CK159" s="332"/>
      <c r="CL159" s="332"/>
      <c r="CM159" s="332"/>
      <c r="CN159" s="332"/>
      <c r="CO159" s="332"/>
      <c r="CP159" s="332"/>
      <c r="CQ159" s="332"/>
      <c r="CR159" s="332"/>
      <c r="CS159" s="332"/>
      <c r="CT159" s="332"/>
      <c r="CU159" s="332"/>
      <c r="CV159" s="332"/>
      <c r="CW159" s="332"/>
      <c r="CX159" s="332"/>
      <c r="CY159" s="332"/>
      <c r="CZ159" s="332"/>
      <c r="DA159" s="332"/>
      <c r="DB159" s="332"/>
      <c r="DC159" s="332"/>
      <c r="DD159" s="332"/>
      <c r="DE159" s="332"/>
      <c r="DF159" s="332"/>
      <c r="DG159" s="332"/>
      <c r="DH159" s="332"/>
      <c r="DI159" s="332"/>
      <c r="DJ159" s="332"/>
      <c r="DK159" s="332"/>
      <c r="DL159" s="332"/>
      <c r="DM159" s="332"/>
      <c r="DN159" s="332"/>
      <c r="DO159" s="332"/>
      <c r="DP159" s="332"/>
      <c r="DQ159" s="332"/>
      <c r="DR159" s="332"/>
      <c r="DS159" s="332"/>
      <c r="DT159" s="53">
        <v>45855</v>
      </c>
      <c r="DU159" s="53" t="s">
        <v>285</v>
      </c>
      <c r="DV159" s="106">
        <v>45892</v>
      </c>
      <c r="DW159" s="106"/>
      <c r="DX159" s="106"/>
      <c r="DY159" s="106"/>
      <c r="DZ159" s="106"/>
      <c r="EA159" s="106"/>
      <c r="EB159" s="106"/>
      <c r="EC159" s="106"/>
      <c r="ED159" s="54"/>
      <c r="EE159" s="54"/>
      <c r="EF159" s="344"/>
      <c r="EG159" s="345"/>
      <c r="EH159" s="344"/>
    </row>
    <row r="160" spans="2:138" s="119" customFormat="1" ht="31.15">
      <c r="B160" s="353"/>
      <c r="C160" s="341"/>
      <c r="D160" s="341"/>
      <c r="E160" s="341"/>
      <c r="F160" s="341"/>
      <c r="G160" s="341"/>
      <c r="H160" s="325" t="s">
        <v>150</v>
      </c>
      <c r="I160" s="110">
        <v>45819</v>
      </c>
      <c r="J160" s="111"/>
      <c r="K160" s="112">
        <v>45824</v>
      </c>
      <c r="L160" s="275" t="s">
        <v>148</v>
      </c>
      <c r="M160" s="112">
        <v>45831</v>
      </c>
      <c r="N160" s="112">
        <v>45838</v>
      </c>
      <c r="O160" s="325">
        <v>45845</v>
      </c>
      <c r="P160" s="112"/>
      <c r="Q160" s="112"/>
      <c r="R160" s="112"/>
      <c r="S160" s="325"/>
      <c r="T160" s="112"/>
      <c r="U160" s="112"/>
      <c r="V160" s="112"/>
      <c r="W160" s="325"/>
      <c r="X160" s="112"/>
      <c r="Y160" s="112"/>
      <c r="Z160" s="112"/>
      <c r="AA160" s="325"/>
      <c r="AB160" s="112"/>
      <c r="AC160" s="112"/>
      <c r="AD160" s="112"/>
      <c r="AE160" s="325"/>
      <c r="AF160" s="112"/>
      <c r="AG160" s="112"/>
      <c r="AH160" s="112"/>
      <c r="AI160" s="325"/>
      <c r="AJ160" s="112"/>
      <c r="AK160" s="112"/>
      <c r="AL160" s="112"/>
      <c r="AM160" s="325"/>
      <c r="AN160" s="112"/>
      <c r="AO160" s="112"/>
      <c r="AP160" s="112"/>
      <c r="AQ160" s="325"/>
      <c r="AR160" s="112"/>
      <c r="AS160" s="112"/>
      <c r="AT160" s="112"/>
      <c r="AU160" s="328"/>
      <c r="AV160" s="112"/>
      <c r="AW160" s="112"/>
      <c r="AX160" s="112"/>
      <c r="AY160" s="328"/>
      <c r="AZ160" s="112"/>
      <c r="BA160" s="112"/>
      <c r="BB160" s="112"/>
      <c r="BC160" s="328"/>
      <c r="BD160" s="121"/>
      <c r="BE160" s="121"/>
      <c r="BF160" s="121"/>
      <c r="BG160" s="121"/>
      <c r="BH160" s="121"/>
      <c r="BI160" s="121"/>
      <c r="BJ160" s="121"/>
      <c r="BK160" s="121"/>
      <c r="BL160" s="121"/>
      <c r="BM160" s="121"/>
      <c r="BN160" s="121"/>
      <c r="BO160" s="121"/>
      <c r="BP160" s="121"/>
      <c r="BQ160" s="121"/>
      <c r="BR160" s="121"/>
      <c r="BS160" s="121"/>
      <c r="BT160" s="121"/>
      <c r="BU160" s="121"/>
      <c r="BV160" s="121"/>
      <c r="BW160" s="121"/>
      <c r="BX160" s="121"/>
      <c r="BY160" s="121"/>
      <c r="BZ160" s="121"/>
      <c r="CA160" s="121"/>
      <c r="CB160" s="121"/>
      <c r="CC160" s="121"/>
      <c r="CD160" s="121"/>
      <c r="CE160" s="121"/>
      <c r="CF160" s="121"/>
      <c r="CG160" s="121"/>
      <c r="CH160" s="121"/>
      <c r="CI160" s="121"/>
      <c r="CJ160" s="121"/>
      <c r="CK160" s="121"/>
      <c r="CL160" s="121"/>
      <c r="CM160" s="121"/>
      <c r="CN160" s="121"/>
      <c r="CO160" s="121"/>
      <c r="CP160" s="121"/>
      <c r="CQ160" s="121"/>
      <c r="CR160" s="121"/>
      <c r="CS160" s="121"/>
      <c r="CT160" s="121"/>
      <c r="CU160" s="121"/>
      <c r="CV160" s="121"/>
      <c r="CW160" s="121"/>
      <c r="CX160" s="121"/>
      <c r="CY160" s="121"/>
      <c r="CZ160" s="121"/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  <c r="DK160" s="121"/>
      <c r="DL160" s="121"/>
      <c r="DM160" s="121"/>
      <c r="DN160" s="121"/>
      <c r="DO160" s="121"/>
      <c r="DP160" s="121"/>
      <c r="DQ160" s="121"/>
      <c r="DR160" s="121"/>
      <c r="DS160" s="121"/>
      <c r="DT160" s="112">
        <v>45855</v>
      </c>
      <c r="DU160" s="134" t="s">
        <v>285</v>
      </c>
      <c r="DV160" s="325">
        <v>45892</v>
      </c>
      <c r="DW160" s="325"/>
      <c r="DX160" s="325"/>
      <c r="DY160" s="325"/>
      <c r="DZ160" s="325"/>
      <c r="EA160" s="325"/>
      <c r="EB160" s="325"/>
      <c r="EC160" s="325"/>
      <c r="ED160" s="61"/>
      <c r="EE160" s="61"/>
      <c r="EF160" s="344"/>
      <c r="EG160" s="345"/>
      <c r="EH160" s="345"/>
    </row>
    <row r="161" spans="2:138" s="119" customFormat="1" ht="31.15">
      <c r="B161" s="352" t="s">
        <v>221</v>
      </c>
      <c r="C161" s="340" t="s">
        <v>350</v>
      </c>
      <c r="D161" s="342" t="s">
        <v>270</v>
      </c>
      <c r="E161" s="340" t="s">
        <v>305</v>
      </c>
      <c r="F161" s="340" t="s">
        <v>174</v>
      </c>
      <c r="G161" s="340" t="s">
        <v>148</v>
      </c>
      <c r="H161" s="40" t="s">
        <v>147</v>
      </c>
      <c r="I161" s="31">
        <v>45821</v>
      </c>
      <c r="J161" s="94"/>
      <c r="K161" s="233">
        <v>45764</v>
      </c>
      <c r="L161" s="233" t="s">
        <v>148</v>
      </c>
      <c r="M161" s="94">
        <f>K161+7</f>
        <v>45771</v>
      </c>
      <c r="N161" s="94">
        <f>M161+7</f>
        <v>45778</v>
      </c>
      <c r="O161" s="94" t="s">
        <v>149</v>
      </c>
      <c r="P161" s="94">
        <f t="shared" ref="P161" si="1429">N161+7</f>
        <v>45785</v>
      </c>
      <c r="Q161" s="94">
        <f t="shared" ref="Q161" si="1430">P161+7</f>
        <v>45792</v>
      </c>
      <c r="R161" s="94">
        <f t="shared" ref="R161" si="1431">Q161+7</f>
        <v>45799</v>
      </c>
      <c r="S161" s="141" t="s">
        <v>149</v>
      </c>
      <c r="T161" s="141">
        <f t="shared" ref="T161" si="1432">R161+7</f>
        <v>45806</v>
      </c>
      <c r="U161" s="141">
        <f t="shared" ref="U161" si="1433">T161+7</f>
        <v>45813</v>
      </c>
      <c r="V161" s="141">
        <f t="shared" ref="V161" si="1434">U161+7</f>
        <v>45820</v>
      </c>
      <c r="W161" s="141" t="s">
        <v>149</v>
      </c>
      <c r="X161" s="141">
        <f t="shared" ref="X161" si="1435">V161+7</f>
        <v>45827</v>
      </c>
      <c r="Y161" s="141">
        <f t="shared" ref="Y161" si="1436">X161+7</f>
        <v>45834</v>
      </c>
      <c r="Z161" s="141">
        <f t="shared" ref="Z161" si="1437">Y161+7</f>
        <v>45841</v>
      </c>
      <c r="AA161" s="141" t="s">
        <v>149</v>
      </c>
      <c r="AB161" s="141">
        <f t="shared" ref="AB161" si="1438">Z161+7</f>
        <v>45848</v>
      </c>
      <c r="AC161" s="141">
        <f t="shared" ref="AC161" si="1439">AB161+7</f>
        <v>45855</v>
      </c>
      <c r="AD161" s="141">
        <f t="shared" ref="AD161" si="1440">AC161+7</f>
        <v>45862</v>
      </c>
      <c r="AE161" s="141" t="s">
        <v>149</v>
      </c>
      <c r="AF161" s="141">
        <f t="shared" ref="AF161" si="1441">AD161+7</f>
        <v>45869</v>
      </c>
      <c r="AG161" s="141">
        <f t="shared" ref="AG161" si="1442">AF161+7</f>
        <v>45876</v>
      </c>
      <c r="AH161" s="141">
        <f t="shared" ref="AH161" si="1443">AG161+7</f>
        <v>45883</v>
      </c>
      <c r="AI161" s="141" t="s">
        <v>149</v>
      </c>
      <c r="AJ161" s="141">
        <f t="shared" ref="AJ161" si="1444">AH161+7</f>
        <v>45890</v>
      </c>
      <c r="AK161" s="141">
        <f t="shared" ref="AK161" si="1445">AJ161+7</f>
        <v>45897</v>
      </c>
      <c r="AL161" s="141">
        <f t="shared" ref="AL161" si="1446">AK161+7</f>
        <v>45904</v>
      </c>
      <c r="AM161" s="141" t="s">
        <v>149</v>
      </c>
      <c r="AN161" s="141">
        <f t="shared" ref="AN161" si="1447">AL161+7</f>
        <v>45911</v>
      </c>
      <c r="AO161" s="141">
        <f t="shared" ref="AO161" si="1448">AN161+7</f>
        <v>45918</v>
      </c>
      <c r="AP161" s="141">
        <f t="shared" ref="AP161" si="1449">AO161+7</f>
        <v>45925</v>
      </c>
      <c r="AQ161" s="141" t="s">
        <v>149</v>
      </c>
      <c r="AR161" s="141">
        <f t="shared" ref="AR161" si="1450">AP161+7</f>
        <v>45932</v>
      </c>
      <c r="AS161" s="141">
        <f t="shared" ref="AS161" si="1451">AR161+7</f>
        <v>45939</v>
      </c>
      <c r="AT161" s="141">
        <f t="shared" ref="AT161" si="1452">AS161+7</f>
        <v>45946</v>
      </c>
      <c r="AU161" s="141" t="s">
        <v>149</v>
      </c>
      <c r="AV161" s="141">
        <f t="shared" ref="AV161" si="1453">AT161+7</f>
        <v>45953</v>
      </c>
      <c r="AW161" s="141">
        <f t="shared" ref="AW161" si="1454">AV161+7</f>
        <v>45960</v>
      </c>
      <c r="AX161" s="141">
        <f t="shared" ref="AX161" si="1455">AW161+7</f>
        <v>45967</v>
      </c>
      <c r="AY161" s="141" t="s">
        <v>149</v>
      </c>
      <c r="AZ161" s="141">
        <f t="shared" ref="AZ161" si="1456">AX161+7</f>
        <v>45974</v>
      </c>
      <c r="BA161" s="141">
        <f t="shared" ref="BA161" si="1457">AZ161+7</f>
        <v>45981</v>
      </c>
      <c r="BB161" s="141">
        <f t="shared" ref="BB161" si="1458">BA161+7</f>
        <v>45988</v>
      </c>
      <c r="BC161" s="141" t="s">
        <v>149</v>
      </c>
      <c r="BD161" s="141">
        <f t="shared" ref="BD161" si="1459">BB161+7</f>
        <v>45995</v>
      </c>
      <c r="BE161" s="141">
        <f t="shared" ref="BE161" si="1460">BD161+7</f>
        <v>46002</v>
      </c>
      <c r="BF161" s="141">
        <f t="shared" ref="BF161" si="1461">BE161+7</f>
        <v>46009</v>
      </c>
      <c r="BG161" s="141" t="s">
        <v>148</v>
      </c>
      <c r="BH161" s="141">
        <f t="shared" ref="BH161" si="1462">BF161+7</f>
        <v>46016</v>
      </c>
      <c r="BI161" s="141">
        <f t="shared" ref="BI161" si="1463">BH161+7</f>
        <v>46023</v>
      </c>
      <c r="BJ161" s="141">
        <f t="shared" ref="BJ161" si="1464">BI161+7</f>
        <v>46030</v>
      </c>
      <c r="BK161" s="141" t="s">
        <v>148</v>
      </c>
      <c r="BL161" s="141">
        <f t="shared" ref="BL161" si="1465">BJ161+7</f>
        <v>46037</v>
      </c>
      <c r="BM161" s="141">
        <f t="shared" ref="BM161" si="1466">BL161+7</f>
        <v>46044</v>
      </c>
      <c r="BN161" s="141">
        <f t="shared" ref="BN161" si="1467">BM161+7</f>
        <v>46051</v>
      </c>
      <c r="BO161" s="141" t="s">
        <v>149</v>
      </c>
      <c r="BP161" s="141">
        <f t="shared" ref="BP161" si="1468">BN161+7</f>
        <v>46058</v>
      </c>
      <c r="BQ161" s="141">
        <f t="shared" ref="BQ161" si="1469">BP161+7</f>
        <v>46065</v>
      </c>
      <c r="BR161" s="141">
        <f t="shared" ref="BR161" si="1470">BQ161+7</f>
        <v>46072</v>
      </c>
      <c r="BS161" s="141" t="s">
        <v>148</v>
      </c>
      <c r="BT161" s="141">
        <f t="shared" ref="BT161" si="1471">BR161+7</f>
        <v>46079</v>
      </c>
      <c r="BU161" s="141">
        <f t="shared" ref="BU161" si="1472">BT161+7</f>
        <v>46086</v>
      </c>
      <c r="BV161" s="141">
        <f t="shared" ref="BV161" si="1473">BU161+7</f>
        <v>46093</v>
      </c>
      <c r="BW161" s="141" t="s">
        <v>149</v>
      </c>
      <c r="BX161" s="141">
        <f t="shared" ref="BX161" si="1474">BV161+7</f>
        <v>46100</v>
      </c>
      <c r="BY161" s="141">
        <f t="shared" ref="BY161" si="1475">BX161+7</f>
        <v>46107</v>
      </c>
      <c r="BZ161" s="141">
        <f t="shared" ref="BZ161" si="1476">BY161+7</f>
        <v>46114</v>
      </c>
      <c r="CA161" s="141" t="s">
        <v>149</v>
      </c>
      <c r="CB161" s="141"/>
      <c r="CC161" s="141"/>
      <c r="CD161" s="141"/>
      <c r="CE161" s="141"/>
      <c r="CF161" s="141"/>
      <c r="CG161" s="141"/>
      <c r="CH161" s="141"/>
      <c r="CI161" s="141"/>
      <c r="CJ161" s="141"/>
      <c r="CK161" s="141"/>
      <c r="CL161" s="141"/>
      <c r="CM161" s="141"/>
      <c r="CN161" s="141"/>
      <c r="CO161" s="141"/>
      <c r="CP161" s="141"/>
      <c r="CQ161" s="141"/>
      <c r="CR161" s="141"/>
      <c r="CS161" s="141"/>
      <c r="CT161" s="141"/>
      <c r="CU161" s="141"/>
      <c r="CV161" s="141"/>
      <c r="CW161" s="141"/>
      <c r="CX161" s="141"/>
      <c r="CY161" s="141"/>
      <c r="CZ161" s="141"/>
      <c r="DA161" s="141"/>
      <c r="DB161" s="141"/>
      <c r="DC161" s="141"/>
      <c r="DD161" s="141"/>
      <c r="DE161" s="141"/>
      <c r="DF161" s="141"/>
      <c r="DG161" s="141"/>
      <c r="DH161" s="141"/>
      <c r="DI161" s="141"/>
      <c r="DJ161" s="141"/>
      <c r="DK161" s="141"/>
      <c r="DL161" s="141"/>
      <c r="DM161" s="141"/>
      <c r="DN161" s="141"/>
      <c r="DO161" s="141"/>
      <c r="DP161" s="141"/>
      <c r="DQ161" s="141"/>
      <c r="DR161" s="141"/>
      <c r="DS161" s="141"/>
      <c r="DT161" s="141">
        <v>45882</v>
      </c>
      <c r="DU161" s="141">
        <v>45903</v>
      </c>
      <c r="DV161" s="40"/>
      <c r="DW161" s="40"/>
      <c r="DX161" s="40"/>
      <c r="DY161" s="40"/>
      <c r="DZ161" s="40"/>
      <c r="EA161" s="40"/>
      <c r="EB161" s="40"/>
      <c r="EC161" s="40"/>
      <c r="ED161" s="267"/>
      <c r="EE161" s="35"/>
      <c r="EF161" s="344"/>
      <c r="EG161" s="345"/>
      <c r="EH161" s="344"/>
    </row>
    <row r="162" spans="2:138" s="119" customFormat="1" ht="31.15">
      <c r="B162" s="353"/>
      <c r="C162" s="341"/>
      <c r="D162" s="343"/>
      <c r="E162" s="341"/>
      <c r="F162" s="341"/>
      <c r="G162" s="341"/>
      <c r="H162" s="325" t="s">
        <v>150</v>
      </c>
      <c r="I162" s="112">
        <v>45821</v>
      </c>
      <c r="J162" s="325"/>
      <c r="K162" s="112">
        <v>45828</v>
      </c>
      <c r="L162" s="275" t="s">
        <v>148</v>
      </c>
      <c r="M162" s="195">
        <v>45835</v>
      </c>
      <c r="N162" s="112">
        <v>45842</v>
      </c>
      <c r="O162" s="325" t="s">
        <v>149</v>
      </c>
      <c r="P162" s="112">
        <v>45856</v>
      </c>
      <c r="Q162" s="112">
        <v>45863</v>
      </c>
      <c r="R162" s="112">
        <v>45870</v>
      </c>
      <c r="S162" s="325" t="s">
        <v>148</v>
      </c>
      <c r="T162" s="112">
        <v>45875</v>
      </c>
      <c r="U162" s="112"/>
      <c r="V162" s="112"/>
      <c r="W162" s="46"/>
      <c r="X162" s="112"/>
      <c r="Y162" s="112"/>
      <c r="Z162" s="112"/>
      <c r="AA162" s="142"/>
      <c r="AB162" s="112"/>
      <c r="AC162" s="112"/>
      <c r="AD162" s="112"/>
      <c r="AE162" s="333"/>
      <c r="AF162" s="333"/>
      <c r="AG162" s="333"/>
      <c r="AH162" s="333"/>
      <c r="AI162" s="333"/>
      <c r="AJ162" s="333"/>
      <c r="AK162" s="333"/>
      <c r="AL162" s="333"/>
      <c r="AM162" s="333"/>
      <c r="AN162" s="333"/>
      <c r="AO162" s="333"/>
      <c r="AP162" s="333"/>
      <c r="AQ162" s="329"/>
      <c r="AR162" s="333"/>
      <c r="AS162" s="333"/>
      <c r="AT162" s="333"/>
      <c r="AU162" s="333"/>
      <c r="AV162" s="333"/>
      <c r="AW162" s="333"/>
      <c r="AX162" s="333"/>
      <c r="AY162" s="333"/>
      <c r="AZ162" s="143"/>
      <c r="BA162" s="143"/>
      <c r="BB162" s="143"/>
      <c r="BC162" s="333"/>
      <c r="BD162" s="333"/>
      <c r="BE162" s="333"/>
      <c r="BF162" s="333"/>
      <c r="BG162" s="333"/>
      <c r="BH162" s="333"/>
      <c r="BI162" s="333"/>
      <c r="BJ162" s="333"/>
      <c r="BK162" s="333"/>
      <c r="BL162" s="333"/>
      <c r="BM162" s="333"/>
      <c r="BN162" s="333"/>
      <c r="BO162" s="333"/>
      <c r="BP162" s="333"/>
      <c r="BQ162" s="333"/>
      <c r="BR162" s="333"/>
      <c r="BS162" s="333"/>
      <c r="BT162" s="333"/>
      <c r="BU162" s="333"/>
      <c r="BV162" s="333"/>
      <c r="BW162" s="333"/>
      <c r="BX162" s="333"/>
      <c r="BY162" s="333"/>
      <c r="BZ162" s="333"/>
      <c r="CA162" s="333"/>
      <c r="CB162" s="333"/>
      <c r="CC162" s="333"/>
      <c r="CD162" s="333"/>
      <c r="CE162" s="333"/>
      <c r="CF162" s="333"/>
      <c r="CG162" s="333"/>
      <c r="CH162" s="333"/>
      <c r="CI162" s="333"/>
      <c r="CJ162" s="333"/>
      <c r="CK162" s="333"/>
      <c r="CL162" s="333"/>
      <c r="CM162" s="333"/>
      <c r="CN162" s="333"/>
      <c r="CO162" s="333"/>
      <c r="CP162" s="333"/>
      <c r="CQ162" s="333"/>
      <c r="CR162" s="333"/>
      <c r="CS162" s="333"/>
      <c r="CT162" s="333"/>
      <c r="CU162" s="333"/>
      <c r="CV162" s="333"/>
      <c r="CW162" s="333"/>
      <c r="CX162" s="333"/>
      <c r="CY162" s="333"/>
      <c r="CZ162" s="333"/>
      <c r="DA162" s="333"/>
      <c r="DB162" s="333"/>
      <c r="DC162" s="333"/>
      <c r="DD162" s="333"/>
      <c r="DE162" s="333"/>
      <c r="DF162" s="333"/>
      <c r="DG162" s="333"/>
      <c r="DH162" s="333"/>
      <c r="DI162" s="333"/>
      <c r="DJ162" s="333"/>
      <c r="DK162" s="333"/>
      <c r="DL162" s="333"/>
      <c r="DM162" s="333"/>
      <c r="DN162" s="333"/>
      <c r="DO162" s="333"/>
      <c r="DP162" s="333"/>
      <c r="DQ162" s="333"/>
      <c r="DR162" s="333"/>
      <c r="DS162" s="333"/>
      <c r="DT162" s="333">
        <v>45882</v>
      </c>
      <c r="DU162" s="334">
        <v>45903</v>
      </c>
      <c r="DV162" s="46">
        <v>45964</v>
      </c>
      <c r="DW162" s="46">
        <v>46051</v>
      </c>
      <c r="DX162" s="46"/>
      <c r="DY162" s="46"/>
      <c r="DZ162" s="46"/>
      <c r="EA162" s="46"/>
      <c r="EB162" s="46"/>
      <c r="EC162" s="46"/>
      <c r="ED162" s="142"/>
      <c r="EE162" s="142"/>
      <c r="EF162" s="344"/>
      <c r="EG162" s="345"/>
      <c r="EH162" s="345"/>
    </row>
    <row r="163" spans="2:138" ht="31.15">
      <c r="B163" s="356" t="s">
        <v>351</v>
      </c>
      <c r="C163" s="358" t="s">
        <v>352</v>
      </c>
      <c r="D163" s="358" t="s">
        <v>157</v>
      </c>
      <c r="E163" s="358" t="s">
        <v>353</v>
      </c>
      <c r="F163" s="358" t="s">
        <v>250</v>
      </c>
      <c r="G163" s="358" t="s">
        <v>206</v>
      </c>
      <c r="H163" s="164" t="s">
        <v>147</v>
      </c>
      <c r="I163" s="171">
        <v>45819</v>
      </c>
      <c r="J163" s="172"/>
      <c r="K163" s="228">
        <v>45824</v>
      </c>
      <c r="L163" s="249" t="s">
        <v>148</v>
      </c>
      <c r="M163" s="229">
        <f>K163+7</f>
        <v>45831</v>
      </c>
      <c r="N163" s="229">
        <f>M163+7</f>
        <v>45838</v>
      </c>
      <c r="O163" s="229" t="s">
        <v>149</v>
      </c>
      <c r="P163" s="229">
        <f>N163+7</f>
        <v>45845</v>
      </c>
      <c r="Q163" s="229">
        <f>P163+7</f>
        <v>45852</v>
      </c>
      <c r="R163" s="229">
        <f>Q163+7</f>
        <v>45859</v>
      </c>
      <c r="S163" s="230" t="s">
        <v>149</v>
      </c>
      <c r="T163" s="230">
        <f>R163+7</f>
        <v>45866</v>
      </c>
      <c r="U163" s="230">
        <f>T163+7</f>
        <v>45873</v>
      </c>
      <c r="V163" s="230">
        <f>U163+7</f>
        <v>45880</v>
      </c>
      <c r="W163" s="230" t="s">
        <v>149</v>
      </c>
      <c r="X163" s="230">
        <f>V163+7</f>
        <v>45887</v>
      </c>
      <c r="Y163" s="230">
        <f>X163+7</f>
        <v>45894</v>
      </c>
      <c r="Z163" s="230">
        <f>Y163+7</f>
        <v>45901</v>
      </c>
      <c r="AA163" s="230" t="s">
        <v>149</v>
      </c>
      <c r="AB163" s="230">
        <f>Z163+7</f>
        <v>45908</v>
      </c>
      <c r="AC163" s="230">
        <f>AB163+7</f>
        <v>45915</v>
      </c>
      <c r="AD163" s="230">
        <f>AC163+7</f>
        <v>45922</v>
      </c>
      <c r="AE163" s="230" t="s">
        <v>149</v>
      </c>
      <c r="AF163" s="230">
        <f>AD163+7</f>
        <v>45929</v>
      </c>
      <c r="AG163" s="230">
        <f>AF163+7</f>
        <v>45936</v>
      </c>
      <c r="AH163" s="230">
        <f>AG163+7</f>
        <v>45943</v>
      </c>
      <c r="AI163" s="230" t="s">
        <v>149</v>
      </c>
      <c r="AJ163" s="230">
        <f>AH163+7</f>
        <v>45950</v>
      </c>
      <c r="AK163" s="230">
        <f>AJ163+7</f>
        <v>45957</v>
      </c>
      <c r="AL163" s="230">
        <f>AK163+7</f>
        <v>45964</v>
      </c>
      <c r="AM163" s="230" t="s">
        <v>149</v>
      </c>
      <c r="AN163" s="230">
        <f>AL163+7</f>
        <v>45971</v>
      </c>
      <c r="AO163" s="230">
        <f>AN163+7</f>
        <v>45978</v>
      </c>
      <c r="AP163" s="230">
        <f>AO163+7</f>
        <v>45985</v>
      </c>
      <c r="AQ163" s="230" t="s">
        <v>149</v>
      </c>
      <c r="AR163" s="230">
        <f>AP163+7</f>
        <v>45992</v>
      </c>
      <c r="AS163" s="230">
        <f>AR163+7</f>
        <v>45999</v>
      </c>
      <c r="AT163" s="230">
        <f>AS163+7</f>
        <v>46006</v>
      </c>
      <c r="AU163" s="231" t="s">
        <v>149</v>
      </c>
      <c r="AV163" s="230">
        <f>AT163+7</f>
        <v>46013</v>
      </c>
      <c r="AW163" s="230">
        <f>AV163+7</f>
        <v>46020</v>
      </c>
      <c r="AX163" s="230">
        <f>AW163+7</f>
        <v>46027</v>
      </c>
      <c r="AY163" s="231" t="s">
        <v>149</v>
      </c>
      <c r="AZ163" s="230">
        <f>AX163+7</f>
        <v>46034</v>
      </c>
      <c r="BA163" s="230">
        <f>AZ163+7</f>
        <v>46041</v>
      </c>
      <c r="BB163" s="230">
        <f>BA163+7</f>
        <v>46048</v>
      </c>
      <c r="BC163" s="231" t="s">
        <v>149</v>
      </c>
      <c r="BD163" s="231"/>
      <c r="BE163" s="231"/>
      <c r="BF163" s="231"/>
      <c r="BG163" s="231"/>
      <c r="BH163" s="231"/>
      <c r="BI163" s="231"/>
      <c r="BJ163" s="231"/>
      <c r="BK163" s="231"/>
      <c r="BL163" s="231"/>
      <c r="BM163" s="231"/>
      <c r="BN163" s="231"/>
      <c r="BO163" s="231"/>
      <c r="BP163" s="231"/>
      <c r="BQ163" s="231"/>
      <c r="BR163" s="231"/>
      <c r="BS163" s="231"/>
      <c r="BT163" s="231"/>
      <c r="BU163" s="231"/>
      <c r="BV163" s="231"/>
      <c r="BW163" s="231"/>
      <c r="BX163" s="231"/>
      <c r="BY163" s="231"/>
      <c r="BZ163" s="168"/>
      <c r="CA163" s="168"/>
      <c r="CB163" s="168"/>
      <c r="CC163" s="168"/>
      <c r="CD163" s="168"/>
      <c r="CE163" s="168"/>
      <c r="CF163" s="168"/>
      <c r="CG163" s="168"/>
      <c r="CH163" s="168"/>
      <c r="CI163" s="168"/>
      <c r="CJ163" s="168"/>
      <c r="CK163" s="168"/>
      <c r="CL163" s="168"/>
      <c r="CM163" s="168"/>
      <c r="CN163" s="168"/>
      <c r="CO163" s="168"/>
      <c r="CP163" s="168"/>
      <c r="CQ163" s="168"/>
      <c r="CR163" s="168"/>
      <c r="CS163" s="168"/>
      <c r="CT163" s="168"/>
      <c r="CU163" s="168"/>
      <c r="CV163" s="168"/>
      <c r="CW163" s="168"/>
      <c r="CX163" s="168"/>
      <c r="CY163" s="168"/>
      <c r="CZ163" s="168"/>
      <c r="DA163" s="168"/>
      <c r="DB163" s="168"/>
      <c r="DC163" s="168"/>
      <c r="DD163" s="168"/>
      <c r="DE163" s="168"/>
      <c r="DF163" s="168"/>
      <c r="DG163" s="168"/>
      <c r="DH163" s="168"/>
      <c r="DI163" s="168"/>
      <c r="DJ163" s="168"/>
      <c r="DK163" s="168"/>
      <c r="DL163" s="168"/>
      <c r="DM163" s="168"/>
      <c r="DN163" s="168"/>
      <c r="DO163" s="168"/>
      <c r="DP163" s="168"/>
      <c r="DQ163" s="168"/>
      <c r="DR163" s="168"/>
      <c r="DS163" s="168"/>
      <c r="DT163" s="211">
        <v>45861</v>
      </c>
      <c r="DU163" s="211"/>
      <c r="DV163" s="209"/>
      <c r="DW163" s="209"/>
      <c r="DX163" s="209"/>
      <c r="DY163" s="209"/>
      <c r="DZ163" s="209"/>
      <c r="EA163" s="209"/>
      <c r="EB163" s="209"/>
      <c r="EC163" s="209"/>
      <c r="ED163" s="21"/>
      <c r="EE163" s="21"/>
      <c r="EF163" s="339"/>
      <c r="EG163" s="338"/>
      <c r="EH163" s="339"/>
    </row>
    <row r="164" spans="2:138" ht="31.15">
      <c r="B164" s="357"/>
      <c r="C164" s="359"/>
      <c r="D164" s="359"/>
      <c r="E164" s="359"/>
      <c r="F164" s="359"/>
      <c r="G164" s="359"/>
      <c r="H164" s="324" t="s">
        <v>150</v>
      </c>
      <c r="I164" s="174">
        <v>45819</v>
      </c>
      <c r="J164" s="175"/>
      <c r="K164" s="169">
        <v>45831</v>
      </c>
      <c r="L164" s="272" t="s">
        <v>148</v>
      </c>
      <c r="M164" s="169">
        <v>45845</v>
      </c>
      <c r="N164" s="169">
        <v>45852</v>
      </c>
      <c r="O164" s="324">
        <v>45859</v>
      </c>
      <c r="P164" s="169"/>
      <c r="Q164" s="169"/>
      <c r="R164" s="169"/>
      <c r="S164" s="324"/>
      <c r="T164" s="169"/>
      <c r="U164" s="169"/>
      <c r="V164" s="169"/>
      <c r="W164" s="324"/>
      <c r="X164" s="169"/>
      <c r="Y164" s="169"/>
      <c r="Z164" s="169"/>
      <c r="AA164" s="324"/>
      <c r="AB164" s="169"/>
      <c r="AC164" s="169"/>
      <c r="AD164" s="169"/>
      <c r="AE164" s="324"/>
      <c r="AF164" s="169"/>
      <c r="AG164" s="169"/>
      <c r="AH164" s="169"/>
      <c r="AI164" s="324"/>
      <c r="AJ164" s="169"/>
      <c r="AK164" s="169"/>
      <c r="AL164" s="169"/>
      <c r="AM164" s="324"/>
      <c r="AN164" s="169"/>
      <c r="AO164" s="169"/>
      <c r="AP164" s="169"/>
      <c r="AQ164" s="324"/>
      <c r="AR164" s="169"/>
      <c r="AS164" s="169"/>
      <c r="AT164" s="169"/>
      <c r="AU164" s="80"/>
      <c r="AV164" s="169"/>
      <c r="AW164" s="169"/>
      <c r="AX164" s="169"/>
      <c r="AY164" s="80"/>
      <c r="AZ164" s="169"/>
      <c r="BA164" s="169"/>
      <c r="BB164" s="169"/>
      <c r="BC164" s="80"/>
      <c r="BD164" s="170"/>
      <c r="BE164" s="170"/>
      <c r="BF164" s="170"/>
      <c r="BG164" s="170"/>
      <c r="BH164" s="170"/>
      <c r="BI164" s="170"/>
      <c r="BJ164" s="170"/>
      <c r="BK164" s="170"/>
      <c r="BL164" s="170"/>
      <c r="BM164" s="170"/>
      <c r="BN164" s="170"/>
      <c r="BO164" s="170"/>
      <c r="BP164" s="170"/>
      <c r="BQ164" s="170"/>
      <c r="BR164" s="170"/>
      <c r="BS164" s="170"/>
      <c r="BT164" s="170"/>
      <c r="BU164" s="170"/>
      <c r="BV164" s="170"/>
      <c r="BW164" s="170"/>
      <c r="BX164" s="170"/>
      <c r="BY164" s="170"/>
      <c r="BZ164" s="170"/>
      <c r="CA164" s="170"/>
      <c r="CB164" s="170"/>
      <c r="CC164" s="170"/>
      <c r="CD164" s="170"/>
      <c r="CE164" s="170"/>
      <c r="CF164" s="170"/>
      <c r="CG164" s="170"/>
      <c r="CH164" s="170"/>
      <c r="CI164" s="170"/>
      <c r="CJ164" s="170"/>
      <c r="CK164" s="170"/>
      <c r="CL164" s="170"/>
      <c r="CM164" s="170"/>
      <c r="CN164" s="170"/>
      <c r="CO164" s="170"/>
      <c r="CP164" s="170"/>
      <c r="CQ164" s="170"/>
      <c r="CR164" s="170"/>
      <c r="CS164" s="170"/>
      <c r="CT164" s="170"/>
      <c r="CU164" s="170"/>
      <c r="CV164" s="170"/>
      <c r="CW164" s="170"/>
      <c r="CX164" s="170"/>
      <c r="CY164" s="170"/>
      <c r="CZ164" s="170"/>
      <c r="DA164" s="170"/>
      <c r="DB164" s="170"/>
      <c r="DC164" s="170"/>
      <c r="DD164" s="170"/>
      <c r="DE164" s="170"/>
      <c r="DF164" s="170"/>
      <c r="DG164" s="170"/>
      <c r="DH164" s="170"/>
      <c r="DI164" s="170"/>
      <c r="DJ164" s="170"/>
      <c r="DK164" s="170"/>
      <c r="DL164" s="170"/>
      <c r="DM164" s="170"/>
      <c r="DN164" s="170"/>
      <c r="DO164" s="170"/>
      <c r="DP164" s="170"/>
      <c r="DQ164" s="170"/>
      <c r="DR164" s="170"/>
      <c r="DS164" s="170"/>
      <c r="DT164" s="113">
        <v>45861</v>
      </c>
      <c r="DU164" s="140" t="s">
        <v>285</v>
      </c>
      <c r="DV164" s="140" t="s">
        <v>285</v>
      </c>
      <c r="DW164" s="320"/>
      <c r="DX164" s="320"/>
      <c r="DY164" s="320"/>
      <c r="DZ164" s="320"/>
      <c r="EA164" s="320"/>
      <c r="EB164" s="320"/>
      <c r="EC164" s="320"/>
      <c r="ED164" s="214"/>
      <c r="EE164" s="214"/>
      <c r="EF164" s="339"/>
      <c r="EG164" s="338"/>
      <c r="EH164" s="338"/>
    </row>
    <row r="165" spans="2:138" ht="31.15">
      <c r="B165" s="356" t="s">
        <v>351</v>
      </c>
      <c r="C165" s="358" t="s">
        <v>354</v>
      </c>
      <c r="D165" s="360" t="s">
        <v>309</v>
      </c>
      <c r="E165" s="358" t="s">
        <v>355</v>
      </c>
      <c r="F165" s="358" t="s">
        <v>210</v>
      </c>
      <c r="G165" s="358" t="s">
        <v>206</v>
      </c>
      <c r="H165" s="181" t="s">
        <v>147</v>
      </c>
      <c r="I165" s="75">
        <v>45825</v>
      </c>
      <c r="J165" s="182"/>
      <c r="K165" s="249">
        <v>45839</v>
      </c>
      <c r="L165" s="249" t="s">
        <v>148</v>
      </c>
      <c r="M165" s="182">
        <v>45848</v>
      </c>
      <c r="N165" s="182">
        <f t="shared" ref="N165" si="1477">M165+7</f>
        <v>45855</v>
      </c>
      <c r="O165" s="182" t="s">
        <v>149</v>
      </c>
      <c r="P165" s="182">
        <f t="shared" ref="P165" si="1478">N165+7</f>
        <v>45862</v>
      </c>
      <c r="Q165" s="182">
        <f t="shared" ref="Q165" si="1479">P165+7</f>
        <v>45869</v>
      </c>
      <c r="R165" s="182">
        <f t="shared" ref="R165" si="1480">Q165+7</f>
        <v>45876</v>
      </c>
      <c r="S165" s="180" t="s">
        <v>149</v>
      </c>
      <c r="T165" s="180">
        <f t="shared" ref="T165" si="1481">R165+7</f>
        <v>45883</v>
      </c>
      <c r="U165" s="180">
        <f t="shared" ref="U165" si="1482">T165+7</f>
        <v>45890</v>
      </c>
      <c r="V165" s="180">
        <f t="shared" ref="V165" si="1483">U165+7</f>
        <v>45897</v>
      </c>
      <c r="W165" s="180" t="s">
        <v>149</v>
      </c>
      <c r="X165" s="180">
        <f t="shared" ref="X165" si="1484">V165+7</f>
        <v>45904</v>
      </c>
      <c r="Y165" s="180">
        <f t="shared" ref="Y165" si="1485">X165+7</f>
        <v>45911</v>
      </c>
      <c r="Z165" s="180">
        <f t="shared" ref="Z165" si="1486">Y165+7</f>
        <v>45918</v>
      </c>
      <c r="AA165" s="180" t="s">
        <v>149</v>
      </c>
      <c r="AB165" s="180">
        <f t="shared" ref="AB165" si="1487">Z165+7</f>
        <v>45925</v>
      </c>
      <c r="AC165" s="180">
        <f t="shared" ref="AC165" si="1488">AB165+7</f>
        <v>45932</v>
      </c>
      <c r="AD165" s="180">
        <f t="shared" ref="AD165" si="1489">AC165+7</f>
        <v>45939</v>
      </c>
      <c r="AE165" s="180" t="s">
        <v>149</v>
      </c>
      <c r="AF165" s="180">
        <f t="shared" ref="AF165" si="1490">AD165+7</f>
        <v>45946</v>
      </c>
      <c r="AG165" s="180">
        <f t="shared" ref="AG165" si="1491">AF165+7</f>
        <v>45953</v>
      </c>
      <c r="AH165" s="180">
        <f t="shared" ref="AH165" si="1492">AG165+7</f>
        <v>45960</v>
      </c>
      <c r="AI165" s="180" t="s">
        <v>149</v>
      </c>
      <c r="AJ165" s="180">
        <f t="shared" ref="AJ165" si="1493">AH165+7</f>
        <v>45967</v>
      </c>
      <c r="AK165" s="180">
        <f t="shared" ref="AK165" si="1494">AJ165+7</f>
        <v>45974</v>
      </c>
      <c r="AL165" s="180">
        <f t="shared" ref="AL165" si="1495">AK165+7</f>
        <v>45981</v>
      </c>
      <c r="AM165" s="180" t="s">
        <v>149</v>
      </c>
      <c r="AN165" s="180">
        <f t="shared" ref="AN165" si="1496">AL165+7</f>
        <v>45988</v>
      </c>
      <c r="AO165" s="180">
        <f t="shared" ref="AO165" si="1497">AN165+7</f>
        <v>45995</v>
      </c>
      <c r="AP165" s="180">
        <f t="shared" ref="AP165" si="1498">AO165+7</f>
        <v>46002</v>
      </c>
      <c r="AQ165" s="180" t="s">
        <v>149</v>
      </c>
      <c r="AR165" s="180">
        <f t="shared" ref="AR165" si="1499">AP165+7</f>
        <v>46009</v>
      </c>
      <c r="AS165" s="180">
        <f t="shared" ref="AS165" si="1500">AR165+7</f>
        <v>46016</v>
      </c>
      <c r="AT165" s="180">
        <f t="shared" ref="AT165" si="1501">AS165+7</f>
        <v>46023</v>
      </c>
      <c r="AU165" s="180" t="s">
        <v>149</v>
      </c>
      <c r="AV165" s="180">
        <f t="shared" ref="AV165" si="1502">AT165+7</f>
        <v>46030</v>
      </c>
      <c r="AW165" s="180">
        <f t="shared" ref="AW165" si="1503">AV165+7</f>
        <v>46037</v>
      </c>
      <c r="AX165" s="180">
        <f t="shared" ref="AX165" si="1504">AW165+7</f>
        <v>46044</v>
      </c>
      <c r="AY165" s="180" t="s">
        <v>149</v>
      </c>
      <c r="AZ165" s="180">
        <f t="shared" ref="AZ165" si="1505">AX165+7</f>
        <v>46051</v>
      </c>
      <c r="BA165" s="180">
        <f t="shared" ref="BA165" si="1506">AZ165+7</f>
        <v>46058</v>
      </c>
      <c r="BB165" s="180">
        <f t="shared" ref="BB165" si="1507">BA165+7</f>
        <v>46065</v>
      </c>
      <c r="BC165" s="180" t="s">
        <v>149</v>
      </c>
      <c r="BD165" s="180">
        <f t="shared" ref="BD165" si="1508">BB165+7</f>
        <v>46072</v>
      </c>
      <c r="BE165" s="180">
        <f t="shared" ref="BE165" si="1509">BD165+7</f>
        <v>46079</v>
      </c>
      <c r="BF165" s="180">
        <f t="shared" ref="BF165" si="1510">BE165+7</f>
        <v>46086</v>
      </c>
      <c r="BG165" s="180" t="s">
        <v>148</v>
      </c>
      <c r="BH165" s="180">
        <f t="shared" ref="BH165" si="1511">BF165+7</f>
        <v>46093</v>
      </c>
      <c r="BI165" s="180">
        <f t="shared" ref="BI165" si="1512">BH165+7</f>
        <v>46100</v>
      </c>
      <c r="BJ165" s="180">
        <f t="shared" ref="BJ165" si="1513">BI165+7</f>
        <v>46107</v>
      </c>
      <c r="BK165" s="180" t="s">
        <v>148</v>
      </c>
      <c r="BL165" s="180">
        <f t="shared" ref="BL165" si="1514">BJ165+7</f>
        <v>46114</v>
      </c>
      <c r="BM165" s="180">
        <f t="shared" ref="BM165" si="1515">BL165+7</f>
        <v>46121</v>
      </c>
      <c r="BN165" s="180">
        <f t="shared" ref="BN165" si="1516">BM165+7</f>
        <v>46128</v>
      </c>
      <c r="BO165" s="180" t="s">
        <v>149</v>
      </c>
      <c r="BP165" s="180">
        <f t="shared" ref="BP165" si="1517">BN165+7</f>
        <v>46135</v>
      </c>
      <c r="BQ165" s="180">
        <f t="shared" ref="BQ165" si="1518">BP165+7</f>
        <v>46142</v>
      </c>
      <c r="BR165" s="180">
        <f t="shared" ref="BR165" si="1519">BQ165+7</f>
        <v>46149</v>
      </c>
      <c r="BS165" s="180" t="s">
        <v>148</v>
      </c>
      <c r="BT165" s="180">
        <f t="shared" ref="BT165" si="1520">BR165+7</f>
        <v>46156</v>
      </c>
      <c r="BU165" s="180">
        <f t="shared" ref="BU165" si="1521">BT165+7</f>
        <v>46163</v>
      </c>
      <c r="BV165" s="180">
        <f t="shared" ref="BV165" si="1522">BU165+7</f>
        <v>46170</v>
      </c>
      <c r="BW165" s="180" t="s">
        <v>149</v>
      </c>
      <c r="BX165" s="180">
        <f t="shared" ref="BX165" si="1523">BV165+7</f>
        <v>46177</v>
      </c>
      <c r="BY165" s="180">
        <f t="shared" ref="BY165" si="1524">BX165+7</f>
        <v>46184</v>
      </c>
      <c r="BZ165" s="180">
        <f t="shared" ref="BZ165" si="1525">BY165+7</f>
        <v>46191</v>
      </c>
      <c r="CA165" s="180" t="s">
        <v>149</v>
      </c>
      <c r="CB165" s="180"/>
      <c r="CC165" s="180"/>
      <c r="CD165" s="180"/>
      <c r="CE165" s="180"/>
      <c r="CF165" s="180"/>
      <c r="CG165" s="180"/>
      <c r="CH165" s="180"/>
      <c r="CI165" s="180"/>
      <c r="CJ165" s="180"/>
      <c r="CK165" s="180"/>
      <c r="CL165" s="180"/>
      <c r="CM165" s="180"/>
      <c r="CN165" s="180"/>
      <c r="CO165" s="180"/>
      <c r="CP165" s="180"/>
      <c r="CQ165" s="180"/>
      <c r="CR165" s="180"/>
      <c r="CS165" s="180"/>
      <c r="CT165" s="180"/>
      <c r="CU165" s="180"/>
      <c r="CV165" s="180"/>
      <c r="CW165" s="180"/>
      <c r="CX165" s="180"/>
      <c r="CY165" s="180"/>
      <c r="CZ165" s="180"/>
      <c r="DA165" s="180"/>
      <c r="DB165" s="180"/>
      <c r="DC165" s="180"/>
      <c r="DD165" s="180"/>
      <c r="DE165" s="180"/>
      <c r="DF165" s="180"/>
      <c r="DG165" s="180"/>
      <c r="DH165" s="180"/>
      <c r="DI165" s="180"/>
      <c r="DJ165" s="180"/>
      <c r="DK165" s="180"/>
      <c r="DL165" s="180"/>
      <c r="DM165" s="180"/>
      <c r="DN165" s="180"/>
      <c r="DO165" s="180"/>
      <c r="DP165" s="180"/>
      <c r="DQ165" s="180"/>
      <c r="DR165" s="180"/>
      <c r="DS165" s="180"/>
      <c r="DT165" s="127">
        <v>45986</v>
      </c>
      <c r="DU165" s="127"/>
      <c r="DV165" s="125"/>
      <c r="DW165" s="125"/>
      <c r="DX165" s="125"/>
      <c r="DY165" s="125"/>
      <c r="DZ165" s="125"/>
      <c r="EA165" s="125"/>
      <c r="EB165" s="125"/>
      <c r="EC165" s="125"/>
      <c r="ED165" s="268"/>
      <c r="EE165" s="128"/>
      <c r="EF165" s="339"/>
      <c r="EG165" s="338"/>
      <c r="EH165" s="339"/>
    </row>
    <row r="166" spans="2:138" ht="31.15">
      <c r="B166" s="357"/>
      <c r="C166" s="359"/>
      <c r="D166" s="361"/>
      <c r="E166" s="359"/>
      <c r="F166" s="359"/>
      <c r="G166" s="359"/>
      <c r="H166" s="324" t="s">
        <v>150</v>
      </c>
      <c r="I166" s="169">
        <v>45825</v>
      </c>
      <c r="J166" s="324"/>
      <c r="K166" s="169">
        <v>45839</v>
      </c>
      <c r="L166" s="272" t="s">
        <v>148</v>
      </c>
      <c r="M166" s="202">
        <v>45848</v>
      </c>
      <c r="N166" s="169">
        <v>45855</v>
      </c>
      <c r="O166" s="324">
        <v>45862</v>
      </c>
      <c r="P166" s="169">
        <v>45867</v>
      </c>
      <c r="Q166" s="169">
        <v>45874</v>
      </c>
      <c r="R166" s="169">
        <v>45881</v>
      </c>
      <c r="S166" s="324">
        <v>45888</v>
      </c>
      <c r="T166" s="169">
        <v>45895</v>
      </c>
      <c r="U166" s="169">
        <v>45902</v>
      </c>
      <c r="V166" s="169">
        <v>45909</v>
      </c>
      <c r="W166" s="152">
        <v>45916</v>
      </c>
      <c r="X166" s="169">
        <v>45923</v>
      </c>
      <c r="Y166" s="169">
        <v>45930</v>
      </c>
      <c r="Z166" s="169">
        <v>45940</v>
      </c>
      <c r="AA166" s="176">
        <v>45946</v>
      </c>
      <c r="AB166" s="169">
        <v>45960</v>
      </c>
      <c r="AC166" s="169">
        <v>45967</v>
      </c>
      <c r="AD166" s="169">
        <v>45974</v>
      </c>
      <c r="AE166" s="177">
        <v>45981</v>
      </c>
      <c r="AF166" s="177"/>
      <c r="AG166" s="177"/>
      <c r="AH166" s="177"/>
      <c r="AI166" s="177"/>
      <c r="AJ166" s="177"/>
      <c r="AK166" s="177"/>
      <c r="AL166" s="177"/>
      <c r="AM166" s="177"/>
      <c r="AN166" s="177"/>
      <c r="AO166" s="177"/>
      <c r="AP166" s="177"/>
      <c r="AQ166" s="178"/>
      <c r="AR166" s="177"/>
      <c r="AS166" s="177"/>
      <c r="AT166" s="177"/>
      <c r="AU166" s="177"/>
      <c r="AV166" s="177"/>
      <c r="AW166" s="177"/>
      <c r="AX166" s="177"/>
      <c r="AY166" s="177"/>
      <c r="AZ166" s="179"/>
      <c r="BA166" s="179"/>
      <c r="BB166" s="179"/>
      <c r="BC166" s="177"/>
      <c r="BD166" s="177"/>
      <c r="BE166" s="177"/>
      <c r="BF166" s="177"/>
      <c r="BG166" s="177"/>
      <c r="BH166" s="177"/>
      <c r="BI166" s="177"/>
      <c r="BJ166" s="177"/>
      <c r="BK166" s="177"/>
      <c r="BL166" s="177"/>
      <c r="BM166" s="177"/>
      <c r="BN166" s="177"/>
      <c r="BO166" s="177"/>
      <c r="BP166" s="177"/>
      <c r="BQ166" s="177"/>
      <c r="BR166" s="177"/>
      <c r="BS166" s="177"/>
      <c r="BT166" s="177"/>
      <c r="BU166" s="177"/>
      <c r="BV166" s="177"/>
      <c r="BW166" s="177"/>
      <c r="BX166" s="177"/>
      <c r="BY166" s="177"/>
      <c r="BZ166" s="177"/>
      <c r="CA166" s="177"/>
      <c r="CB166" s="177"/>
      <c r="CC166" s="177"/>
      <c r="CD166" s="177"/>
      <c r="CE166" s="177"/>
      <c r="CF166" s="177"/>
      <c r="CG166" s="177"/>
      <c r="CH166" s="177"/>
      <c r="CI166" s="177"/>
      <c r="CJ166" s="177"/>
      <c r="CK166" s="177"/>
      <c r="CL166" s="177"/>
      <c r="CM166" s="177"/>
      <c r="CN166" s="177"/>
      <c r="CO166" s="177"/>
      <c r="CP166" s="177"/>
      <c r="CQ166" s="177"/>
      <c r="CR166" s="177"/>
      <c r="CS166" s="177"/>
      <c r="CT166" s="177"/>
      <c r="CU166" s="177"/>
      <c r="CV166" s="177"/>
      <c r="CW166" s="177"/>
      <c r="CX166" s="177"/>
      <c r="CY166" s="177"/>
      <c r="CZ166" s="177"/>
      <c r="DA166" s="177"/>
      <c r="DB166" s="177"/>
      <c r="DC166" s="177"/>
      <c r="DD166" s="177"/>
      <c r="DE166" s="177"/>
      <c r="DF166" s="177"/>
      <c r="DG166" s="177"/>
      <c r="DH166" s="177"/>
      <c r="DI166" s="177"/>
      <c r="DJ166" s="177"/>
      <c r="DK166" s="177"/>
      <c r="DL166" s="177"/>
      <c r="DM166" s="177"/>
      <c r="DN166" s="177"/>
      <c r="DO166" s="177"/>
      <c r="DP166" s="177"/>
      <c r="DQ166" s="177"/>
      <c r="DR166" s="177"/>
      <c r="DS166" s="177"/>
      <c r="DT166" s="28">
        <v>45986</v>
      </c>
      <c r="DU166" s="132" t="s">
        <v>272</v>
      </c>
      <c r="DV166" s="69">
        <v>46044</v>
      </c>
      <c r="DW166" s="69"/>
      <c r="DX166" s="69"/>
      <c r="DY166" s="69"/>
      <c r="DZ166" s="69"/>
      <c r="EA166" s="69"/>
      <c r="EB166" s="69"/>
      <c r="EC166" s="69"/>
      <c r="ED166" s="22"/>
      <c r="EE166" s="22"/>
      <c r="EF166" s="339"/>
      <c r="EG166" s="338"/>
      <c r="EH166" s="338"/>
    </row>
    <row r="167" spans="2:138" ht="31.15">
      <c r="B167" s="346" t="s">
        <v>356</v>
      </c>
      <c r="C167" s="348" t="s">
        <v>357</v>
      </c>
      <c r="D167" s="350" t="s">
        <v>208</v>
      </c>
      <c r="E167" s="350" t="s">
        <v>305</v>
      </c>
      <c r="F167" s="350" t="s">
        <v>292</v>
      </c>
      <c r="G167" s="350" t="s">
        <v>206</v>
      </c>
      <c r="H167" s="13" t="s">
        <v>147</v>
      </c>
      <c r="I167" s="145">
        <v>45845</v>
      </c>
      <c r="J167" s="126"/>
      <c r="K167" s="240">
        <v>45849</v>
      </c>
      <c r="L167" s="269" t="s">
        <v>148</v>
      </c>
      <c r="M167" s="146">
        <f>K168+7</f>
        <v>45856</v>
      </c>
      <c r="N167" s="16">
        <f t="shared" ref="N167" si="1526">M167+7</f>
        <v>45863</v>
      </c>
      <c r="O167" s="16" t="s">
        <v>149</v>
      </c>
      <c r="P167" s="16">
        <v>45526</v>
      </c>
      <c r="Q167" s="16">
        <f t="shared" ref="Q167" si="1527">P167+7</f>
        <v>45533</v>
      </c>
      <c r="R167" s="16">
        <f t="shared" ref="R167" si="1528">Q167+7</f>
        <v>45540</v>
      </c>
      <c r="S167" s="17" t="s">
        <v>149</v>
      </c>
      <c r="T167" s="17">
        <f t="shared" ref="T167" si="1529">R167+7</f>
        <v>45547</v>
      </c>
      <c r="U167" s="17">
        <f t="shared" ref="U167" si="1530">T167+7</f>
        <v>45554</v>
      </c>
      <c r="V167" s="17">
        <f t="shared" ref="V167" si="1531">U167+7</f>
        <v>45561</v>
      </c>
      <c r="W167" s="17" t="s">
        <v>149</v>
      </c>
      <c r="X167" s="17">
        <f t="shared" ref="X167" si="1532">V167+7</f>
        <v>45568</v>
      </c>
      <c r="Y167" s="17">
        <f t="shared" ref="Y167" si="1533">X167+7</f>
        <v>45575</v>
      </c>
      <c r="Z167" s="17">
        <f t="shared" ref="Z167" si="1534">Y167+7</f>
        <v>45582</v>
      </c>
      <c r="AA167" s="17" t="s">
        <v>149</v>
      </c>
      <c r="AB167" s="17">
        <f t="shared" ref="AB167" si="1535">Z167+7</f>
        <v>45589</v>
      </c>
      <c r="AC167" s="17">
        <f t="shared" ref="AC167" si="1536">AB167+7</f>
        <v>45596</v>
      </c>
      <c r="AD167" s="17">
        <f t="shared" ref="AD167" si="1537">AC167+7</f>
        <v>45603</v>
      </c>
      <c r="AE167" s="17" t="s">
        <v>149</v>
      </c>
      <c r="AF167" s="17">
        <f t="shared" ref="AF167" si="1538">AD167+7</f>
        <v>45610</v>
      </c>
      <c r="AG167" s="17">
        <f t="shared" ref="AG167" si="1539">AF167+7</f>
        <v>45617</v>
      </c>
      <c r="AH167" s="17">
        <f t="shared" ref="AH167" si="1540">AG167+7</f>
        <v>45624</v>
      </c>
      <c r="AI167" s="17" t="s">
        <v>149</v>
      </c>
      <c r="AJ167" s="17">
        <f t="shared" ref="AJ167" si="1541">AH167+7</f>
        <v>45631</v>
      </c>
      <c r="AK167" s="17">
        <f t="shared" ref="AK167" si="1542">AJ167+7</f>
        <v>45638</v>
      </c>
      <c r="AL167" s="17">
        <f t="shared" ref="AL167" si="1543">AK167+7</f>
        <v>45645</v>
      </c>
      <c r="AM167" s="17" t="s">
        <v>149</v>
      </c>
      <c r="AN167" s="17">
        <f t="shared" ref="AN167" si="1544">AL167+7</f>
        <v>45652</v>
      </c>
      <c r="AO167" s="17">
        <f t="shared" ref="AO167" si="1545">AN167+7</f>
        <v>45659</v>
      </c>
      <c r="AP167" s="17">
        <f t="shared" ref="AP167" si="1546">AO167+7</f>
        <v>45666</v>
      </c>
      <c r="AQ167" s="17" t="s">
        <v>149</v>
      </c>
      <c r="AR167" s="17">
        <f t="shared" ref="AR167" si="1547">AP167+7</f>
        <v>45673</v>
      </c>
      <c r="AS167" s="17">
        <f t="shared" ref="AS167" si="1548">AR167+7</f>
        <v>45680</v>
      </c>
      <c r="AT167" s="17">
        <f t="shared" ref="AT167" si="1549">AS167+7</f>
        <v>45687</v>
      </c>
      <c r="AU167" s="17">
        <f t="shared" ref="AU167" si="1550">AT167+21</f>
        <v>45708</v>
      </c>
      <c r="AV167" s="17">
        <f t="shared" ref="AV167" si="1551">AT167+7</f>
        <v>45694</v>
      </c>
      <c r="AW167" s="17">
        <f t="shared" ref="AW167" si="1552">AV167+7</f>
        <v>45701</v>
      </c>
      <c r="AX167" s="17">
        <f t="shared" ref="AX167" si="1553">AW167+7</f>
        <v>45708</v>
      </c>
      <c r="AY167" s="17">
        <f t="shared" ref="AY167" si="1554">AX167+21</f>
        <v>45729</v>
      </c>
      <c r="AZ167" s="17">
        <f t="shared" ref="AZ167" si="1555">AX167+7</f>
        <v>45715</v>
      </c>
      <c r="BA167" s="17">
        <f t="shared" ref="BA167" si="1556">AZ167+7</f>
        <v>45722</v>
      </c>
      <c r="BB167" s="17">
        <f t="shared" ref="BB167" si="1557">BA167+7</f>
        <v>45729</v>
      </c>
      <c r="BC167" s="17" t="s">
        <v>148</v>
      </c>
      <c r="BD167" s="17">
        <f>BB167+7</f>
        <v>45736</v>
      </c>
      <c r="BE167" s="17">
        <f>BD167+7</f>
        <v>45743</v>
      </c>
      <c r="BF167" s="17">
        <f>BE167+7</f>
        <v>45750</v>
      </c>
      <c r="BG167" s="17" t="s">
        <v>148</v>
      </c>
      <c r="BH167" s="17">
        <f>BF167+7</f>
        <v>45757</v>
      </c>
      <c r="BI167" s="17">
        <f>BH167+7</f>
        <v>45764</v>
      </c>
      <c r="BJ167" s="17">
        <f>BI167+7</f>
        <v>45771</v>
      </c>
      <c r="BK167" s="17" t="s">
        <v>148</v>
      </c>
      <c r="BL167" s="17">
        <f>BJ167+7</f>
        <v>45778</v>
      </c>
      <c r="BM167" s="17">
        <f>BL167+7</f>
        <v>45785</v>
      </c>
      <c r="BN167" s="17">
        <f>BM167+7</f>
        <v>45792</v>
      </c>
      <c r="BO167" s="17" t="s">
        <v>149</v>
      </c>
      <c r="BP167" s="17">
        <f>BN167+7</f>
        <v>45799</v>
      </c>
      <c r="BQ167" s="17">
        <f>BP167+7</f>
        <v>45806</v>
      </c>
      <c r="BR167" s="17">
        <f>BQ167+7</f>
        <v>45813</v>
      </c>
      <c r="BS167" s="17" t="s">
        <v>148</v>
      </c>
      <c r="BT167" s="17">
        <f>BR167+7</f>
        <v>45820</v>
      </c>
      <c r="BU167" s="17">
        <f>BT167+7</f>
        <v>45827</v>
      </c>
      <c r="BV167" s="17">
        <f>BU167+7</f>
        <v>45834</v>
      </c>
      <c r="BW167" s="17" t="s">
        <v>149</v>
      </c>
      <c r="BX167" s="17">
        <f>BV167+7</f>
        <v>45841</v>
      </c>
      <c r="BY167" s="17">
        <f>BX167+7</f>
        <v>45848</v>
      </c>
      <c r="BZ167" s="17">
        <f>BY167+7</f>
        <v>45855</v>
      </c>
      <c r="CA167" s="17" t="s">
        <v>149</v>
      </c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3"/>
      <c r="DW167" s="13"/>
      <c r="DX167" s="13"/>
      <c r="DY167" s="13"/>
      <c r="DZ167" s="13"/>
      <c r="EA167" s="13"/>
      <c r="EB167" s="13"/>
      <c r="EC167" s="13"/>
      <c r="ED167" s="24"/>
      <c r="EE167" s="24"/>
      <c r="EF167" s="339"/>
      <c r="EG167" s="338"/>
      <c r="EH167" s="338"/>
    </row>
    <row r="168" spans="2:138" ht="27.75">
      <c r="B168" s="347"/>
      <c r="C168" s="349"/>
      <c r="D168" s="351"/>
      <c r="E168" s="351"/>
      <c r="F168" s="351"/>
      <c r="G168" s="351"/>
      <c r="H168" s="321" t="s">
        <v>150</v>
      </c>
      <c r="I168" s="183">
        <v>45845</v>
      </c>
      <c r="J168" s="184"/>
      <c r="K168" s="185">
        <v>45849</v>
      </c>
      <c r="L168" s="271" t="s">
        <v>148</v>
      </c>
      <c r="M168" s="147">
        <v>45856</v>
      </c>
      <c r="N168" s="321">
        <v>45863</v>
      </c>
      <c r="O168" s="321">
        <v>45870</v>
      </c>
      <c r="P168" s="321">
        <v>45884</v>
      </c>
      <c r="Q168" s="321">
        <v>45890</v>
      </c>
      <c r="R168" s="320">
        <v>45898</v>
      </c>
      <c r="S168" s="321" t="s">
        <v>148</v>
      </c>
      <c r="T168" s="321">
        <v>45912</v>
      </c>
      <c r="U168" s="149">
        <v>45919</v>
      </c>
      <c r="V168" s="321">
        <v>45926</v>
      </c>
      <c r="W168" s="321">
        <v>45933</v>
      </c>
      <c r="X168" s="70">
        <v>45940</v>
      </c>
      <c r="Y168" s="320">
        <v>45947</v>
      </c>
      <c r="Z168" s="321">
        <v>45954</v>
      </c>
      <c r="AA168" s="321">
        <v>45961</v>
      </c>
      <c r="AB168" s="321">
        <v>45968</v>
      </c>
      <c r="AC168" s="321">
        <v>45975</v>
      </c>
      <c r="AD168" s="320">
        <v>45982</v>
      </c>
      <c r="AE168" s="321">
        <v>45989</v>
      </c>
      <c r="AF168" s="321">
        <v>45996</v>
      </c>
      <c r="AG168" s="321">
        <v>46003</v>
      </c>
      <c r="AH168" s="258">
        <v>46010</v>
      </c>
      <c r="AI168" s="321">
        <v>46017</v>
      </c>
      <c r="AJ168" s="321">
        <v>46024</v>
      </c>
      <c r="AK168" s="321">
        <v>46031</v>
      </c>
      <c r="AL168" s="258">
        <v>46038</v>
      </c>
      <c r="AM168" s="321">
        <v>46045</v>
      </c>
      <c r="AN168" s="321">
        <v>46052</v>
      </c>
      <c r="AO168" s="321">
        <v>46059</v>
      </c>
      <c r="AP168" s="320">
        <v>46069</v>
      </c>
      <c r="AQ168" s="321">
        <v>46073</v>
      </c>
      <c r="AR168" s="321">
        <v>46080</v>
      </c>
      <c r="AS168" s="321">
        <v>46087</v>
      </c>
      <c r="AT168" s="320">
        <v>46094</v>
      </c>
      <c r="AU168" s="321">
        <v>46101</v>
      </c>
      <c r="AV168" s="321">
        <v>46108</v>
      </c>
      <c r="AW168" s="321">
        <v>46115</v>
      </c>
      <c r="AX168" s="320">
        <v>46122</v>
      </c>
      <c r="AY168" s="321">
        <v>46129</v>
      </c>
      <c r="AZ168" s="321">
        <v>46136</v>
      </c>
      <c r="BA168" s="321">
        <v>46143</v>
      </c>
      <c r="BB168" s="320">
        <v>46150</v>
      </c>
      <c r="BC168" s="321">
        <v>46157</v>
      </c>
      <c r="BD168" s="321">
        <v>46164</v>
      </c>
      <c r="BE168" s="321">
        <v>46171</v>
      </c>
      <c r="BF168" s="321">
        <v>46178</v>
      </c>
      <c r="BG168" s="302">
        <v>46185</v>
      </c>
      <c r="BH168" s="321">
        <v>46192</v>
      </c>
      <c r="BI168" s="321">
        <v>46199</v>
      </c>
      <c r="BJ168" s="321">
        <v>46205</v>
      </c>
      <c r="BK168" s="321"/>
      <c r="BL168" s="321"/>
      <c r="BM168" s="321"/>
      <c r="BN168" s="321"/>
      <c r="BO168" s="321"/>
      <c r="BP168" s="321"/>
      <c r="BQ168" s="321"/>
      <c r="BR168" s="321"/>
      <c r="BS168" s="321"/>
      <c r="BT168" s="321"/>
      <c r="BU168" s="321"/>
      <c r="BV168" s="321"/>
      <c r="BW168" s="321"/>
      <c r="BX168" s="321"/>
      <c r="BY168" s="321"/>
      <c r="BZ168" s="321"/>
      <c r="CA168" s="321"/>
      <c r="CB168" s="321"/>
      <c r="CC168" s="321"/>
      <c r="CD168" s="321"/>
      <c r="CE168" s="321"/>
      <c r="CF168" s="321"/>
      <c r="CG168" s="321"/>
      <c r="CH168" s="321"/>
      <c r="CI168" s="321"/>
      <c r="CJ168" s="321"/>
      <c r="CK168" s="321"/>
      <c r="CL168" s="321"/>
      <c r="CM168" s="321"/>
      <c r="CN168" s="321"/>
      <c r="CO168" s="321"/>
      <c r="CP168" s="321"/>
      <c r="CQ168" s="321"/>
      <c r="CR168" s="321"/>
      <c r="CS168" s="321"/>
      <c r="CT168" s="321"/>
      <c r="CU168" s="321"/>
      <c r="CV168" s="321"/>
      <c r="CW168" s="321"/>
      <c r="CX168" s="321"/>
      <c r="CY168" s="321"/>
      <c r="CZ168" s="321"/>
      <c r="DA168" s="321"/>
      <c r="DB168" s="321"/>
      <c r="DC168" s="321"/>
      <c r="DD168" s="321"/>
      <c r="DE168" s="321"/>
      <c r="DF168" s="321"/>
      <c r="DG168" s="321"/>
      <c r="DH168" s="321"/>
      <c r="DI168" s="321"/>
      <c r="DJ168" s="321"/>
      <c r="DK168" s="321"/>
      <c r="DL168" s="321"/>
      <c r="DM168" s="321"/>
      <c r="DN168" s="321"/>
      <c r="DO168" s="321"/>
      <c r="DP168" s="321"/>
      <c r="DQ168" s="321"/>
      <c r="DR168" s="321"/>
      <c r="DS168" s="321"/>
      <c r="DT168" s="321"/>
      <c r="DU168" s="148"/>
      <c r="DV168" s="321"/>
      <c r="DW168" s="321"/>
      <c r="DX168" s="321"/>
      <c r="DY168" s="321"/>
      <c r="DZ168" s="321"/>
      <c r="EA168" s="321"/>
      <c r="EB168" s="321"/>
      <c r="EC168" s="321"/>
      <c r="ED168" s="25"/>
      <c r="EE168" s="25"/>
      <c r="EF168" s="339"/>
      <c r="EG168" s="338"/>
      <c r="EH168" s="338"/>
    </row>
    <row r="169" spans="2:138" ht="31.15">
      <c r="B169" s="356" t="s">
        <v>356</v>
      </c>
      <c r="C169" s="358" t="s">
        <v>358</v>
      </c>
      <c r="D169" s="360" t="s">
        <v>309</v>
      </c>
      <c r="E169" s="358" t="s">
        <v>359</v>
      </c>
      <c r="F169" s="358" t="s">
        <v>210</v>
      </c>
      <c r="G169" s="358" t="s">
        <v>168</v>
      </c>
      <c r="H169" s="181" t="s">
        <v>147</v>
      </c>
      <c r="I169" s="75">
        <v>45825</v>
      </c>
      <c r="J169" s="182"/>
      <c r="K169" s="249">
        <v>45841</v>
      </c>
      <c r="L169" s="249" t="s">
        <v>148</v>
      </c>
      <c r="M169" s="182">
        <f t="shared" ref="M169" si="1558">K169+7</f>
        <v>45848</v>
      </c>
      <c r="N169" s="182">
        <f t="shared" ref="N169" si="1559">M169+7</f>
        <v>45855</v>
      </c>
      <c r="O169" s="182" t="s">
        <v>149</v>
      </c>
      <c r="P169" s="182">
        <f t="shared" ref="P169" si="1560">N169+7</f>
        <v>45862</v>
      </c>
      <c r="Q169" s="182">
        <f t="shared" ref="Q169" si="1561">P169+7</f>
        <v>45869</v>
      </c>
      <c r="R169" s="182">
        <f t="shared" ref="R169" si="1562">Q169+7</f>
        <v>45876</v>
      </c>
      <c r="S169" s="180" t="s">
        <v>149</v>
      </c>
      <c r="T169" s="180">
        <f t="shared" ref="T169" si="1563">R169+7</f>
        <v>45883</v>
      </c>
      <c r="U169" s="180">
        <f t="shared" ref="U169" si="1564">T169+7</f>
        <v>45890</v>
      </c>
      <c r="V169" s="180">
        <f t="shared" ref="V169" si="1565">U169+7</f>
        <v>45897</v>
      </c>
      <c r="W169" s="180" t="s">
        <v>149</v>
      </c>
      <c r="X169" s="180">
        <f t="shared" ref="X169" si="1566">V169+7</f>
        <v>45904</v>
      </c>
      <c r="Y169" s="180">
        <f t="shared" ref="Y169" si="1567">X169+7</f>
        <v>45911</v>
      </c>
      <c r="Z169" s="180">
        <f t="shared" ref="Z169" si="1568">Y169+7</f>
        <v>45918</v>
      </c>
      <c r="AA169" s="180" t="s">
        <v>149</v>
      </c>
      <c r="AB169" s="180">
        <f t="shared" ref="AB169" si="1569">Z169+7</f>
        <v>45925</v>
      </c>
      <c r="AC169" s="180">
        <f t="shared" ref="AC169" si="1570">AB169+7</f>
        <v>45932</v>
      </c>
      <c r="AD169" s="180">
        <f t="shared" ref="AD169" si="1571">AC169+7</f>
        <v>45939</v>
      </c>
      <c r="AE169" s="180" t="s">
        <v>149</v>
      </c>
      <c r="AF169" s="180">
        <f t="shared" ref="AF169" si="1572">AD169+7</f>
        <v>45946</v>
      </c>
      <c r="AG169" s="180">
        <f t="shared" ref="AG169" si="1573">AF169+7</f>
        <v>45953</v>
      </c>
      <c r="AH169" s="180">
        <f t="shared" ref="AH169" si="1574">AG169+7</f>
        <v>45960</v>
      </c>
      <c r="AI169" s="180" t="s">
        <v>149</v>
      </c>
      <c r="AJ169" s="180">
        <f t="shared" ref="AJ169" si="1575">AH169+7</f>
        <v>45967</v>
      </c>
      <c r="AK169" s="180">
        <f t="shared" ref="AK169" si="1576">AJ169+7</f>
        <v>45974</v>
      </c>
      <c r="AL169" s="180">
        <f t="shared" ref="AL169" si="1577">AK169+7</f>
        <v>45981</v>
      </c>
      <c r="AM169" s="180" t="s">
        <v>149</v>
      </c>
      <c r="AN169" s="180">
        <f t="shared" ref="AN169" si="1578">AL169+7</f>
        <v>45988</v>
      </c>
      <c r="AO169" s="180">
        <f t="shared" ref="AO169" si="1579">AN169+7</f>
        <v>45995</v>
      </c>
      <c r="AP169" s="180">
        <f t="shared" ref="AP169" si="1580">AO169+7</f>
        <v>46002</v>
      </c>
      <c r="AQ169" s="180" t="s">
        <v>149</v>
      </c>
      <c r="AR169" s="180">
        <f t="shared" ref="AR169" si="1581">AP169+7</f>
        <v>46009</v>
      </c>
      <c r="AS169" s="180">
        <f t="shared" ref="AS169" si="1582">AR169+7</f>
        <v>46016</v>
      </c>
      <c r="AT169" s="180">
        <f t="shared" ref="AT169" si="1583">AS169+7</f>
        <v>46023</v>
      </c>
      <c r="AU169" s="180" t="s">
        <v>149</v>
      </c>
      <c r="AV169" s="180">
        <f t="shared" ref="AV169" si="1584">AT169+7</f>
        <v>46030</v>
      </c>
      <c r="AW169" s="180">
        <f t="shared" ref="AW169" si="1585">AV169+7</f>
        <v>46037</v>
      </c>
      <c r="AX169" s="180">
        <f t="shared" ref="AX169" si="1586">AW169+7</f>
        <v>46044</v>
      </c>
      <c r="AY169" s="180" t="s">
        <v>149</v>
      </c>
      <c r="AZ169" s="180">
        <f t="shared" ref="AZ169" si="1587">AX169+7</f>
        <v>46051</v>
      </c>
      <c r="BA169" s="180">
        <f t="shared" ref="BA169" si="1588">AZ169+7</f>
        <v>46058</v>
      </c>
      <c r="BB169" s="180">
        <f t="shared" ref="BB169" si="1589">BA169+7</f>
        <v>46065</v>
      </c>
      <c r="BC169" s="180" t="s">
        <v>149</v>
      </c>
      <c r="BD169" s="180">
        <f t="shared" ref="BD169" si="1590">BB169+7</f>
        <v>46072</v>
      </c>
      <c r="BE169" s="180">
        <f t="shared" ref="BE169" si="1591">BD169+7</f>
        <v>46079</v>
      </c>
      <c r="BF169" s="180">
        <f t="shared" ref="BF169" si="1592">BE169+7</f>
        <v>46086</v>
      </c>
      <c r="BG169" s="180" t="s">
        <v>148</v>
      </c>
      <c r="BH169" s="180">
        <f t="shared" ref="BH169" si="1593">BF169+7</f>
        <v>46093</v>
      </c>
      <c r="BI169" s="180">
        <f t="shared" ref="BI169" si="1594">BH169+7</f>
        <v>46100</v>
      </c>
      <c r="BJ169" s="180">
        <f t="shared" ref="BJ169" si="1595">BI169+7</f>
        <v>46107</v>
      </c>
      <c r="BK169" s="180" t="s">
        <v>148</v>
      </c>
      <c r="BL169" s="180">
        <f t="shared" ref="BL169" si="1596">BJ169+7</f>
        <v>46114</v>
      </c>
      <c r="BM169" s="180">
        <f t="shared" ref="BM169" si="1597">BL169+7</f>
        <v>46121</v>
      </c>
      <c r="BN169" s="180">
        <f t="shared" ref="BN169" si="1598">BM169+7</f>
        <v>46128</v>
      </c>
      <c r="BO169" s="180" t="s">
        <v>149</v>
      </c>
      <c r="BP169" s="180">
        <f t="shared" ref="BP169" si="1599">BN169+7</f>
        <v>46135</v>
      </c>
      <c r="BQ169" s="180">
        <f t="shared" ref="BQ169" si="1600">BP169+7</f>
        <v>46142</v>
      </c>
      <c r="BR169" s="180">
        <f t="shared" ref="BR169" si="1601">BQ169+7</f>
        <v>46149</v>
      </c>
      <c r="BS169" s="180" t="s">
        <v>148</v>
      </c>
      <c r="BT169" s="180">
        <f t="shared" ref="BT169" si="1602">BR169+7</f>
        <v>46156</v>
      </c>
      <c r="BU169" s="180">
        <f t="shared" ref="BU169" si="1603">BT169+7</f>
        <v>46163</v>
      </c>
      <c r="BV169" s="180">
        <f t="shared" ref="BV169" si="1604">BU169+7</f>
        <v>46170</v>
      </c>
      <c r="BW169" s="180" t="s">
        <v>149</v>
      </c>
      <c r="BX169" s="180">
        <f t="shared" ref="BX169" si="1605">BV169+7</f>
        <v>46177</v>
      </c>
      <c r="BY169" s="180">
        <f t="shared" ref="BY169" si="1606">BX169+7</f>
        <v>46184</v>
      </c>
      <c r="BZ169" s="180">
        <f t="shared" ref="BZ169" si="1607">BY169+7</f>
        <v>46191</v>
      </c>
      <c r="CA169" s="180" t="s">
        <v>149</v>
      </c>
      <c r="CB169" s="180"/>
      <c r="CC169" s="180"/>
      <c r="CD169" s="180"/>
      <c r="CE169" s="180"/>
      <c r="CF169" s="180"/>
      <c r="CG169" s="180"/>
      <c r="CH169" s="180"/>
      <c r="CI169" s="180"/>
      <c r="CJ169" s="180"/>
      <c r="CK169" s="180"/>
      <c r="CL169" s="180"/>
      <c r="CM169" s="180"/>
      <c r="CN169" s="180"/>
      <c r="CO169" s="180"/>
      <c r="CP169" s="180"/>
      <c r="CQ169" s="180"/>
      <c r="CR169" s="180"/>
      <c r="CS169" s="180"/>
      <c r="CT169" s="180"/>
      <c r="CU169" s="180"/>
      <c r="CV169" s="180"/>
      <c r="CW169" s="180"/>
      <c r="CX169" s="180"/>
      <c r="CY169" s="180"/>
      <c r="CZ169" s="180"/>
      <c r="DA169" s="180"/>
      <c r="DB169" s="180"/>
      <c r="DC169" s="180"/>
      <c r="DD169" s="180"/>
      <c r="DE169" s="180"/>
      <c r="DF169" s="180"/>
      <c r="DG169" s="180"/>
      <c r="DH169" s="180"/>
      <c r="DI169" s="180"/>
      <c r="DJ169" s="180"/>
      <c r="DK169" s="180"/>
      <c r="DL169" s="180"/>
      <c r="DM169" s="180"/>
      <c r="DN169" s="180"/>
      <c r="DO169" s="180"/>
      <c r="DP169" s="180"/>
      <c r="DQ169" s="180"/>
      <c r="DR169" s="180"/>
      <c r="DS169" s="180"/>
      <c r="DT169" s="127">
        <v>45951</v>
      </c>
      <c r="DU169" s="127">
        <v>45932</v>
      </c>
      <c r="DV169" s="125">
        <v>45995</v>
      </c>
      <c r="DW169" s="125"/>
      <c r="DX169" s="125"/>
      <c r="DY169" s="125"/>
      <c r="DZ169" s="125"/>
      <c r="EA169" s="125"/>
      <c r="EB169" s="125"/>
      <c r="EC169" s="125"/>
      <c r="ED169" s="268"/>
      <c r="EE169" s="128"/>
      <c r="EF169" s="339"/>
      <c r="EG169" s="338"/>
      <c r="EH169" s="339"/>
    </row>
    <row r="170" spans="2:138" ht="27.75">
      <c r="B170" s="357"/>
      <c r="C170" s="359"/>
      <c r="D170" s="361"/>
      <c r="E170" s="359"/>
      <c r="F170" s="359"/>
      <c r="G170" s="359"/>
      <c r="H170" s="324" t="s">
        <v>150</v>
      </c>
      <c r="I170" s="169">
        <v>45825</v>
      </c>
      <c r="J170" s="324"/>
      <c r="K170" s="169">
        <v>45841</v>
      </c>
      <c r="L170" s="272" t="s">
        <v>148</v>
      </c>
      <c r="M170" s="202">
        <v>45848</v>
      </c>
      <c r="N170" s="169">
        <v>45855</v>
      </c>
      <c r="O170" s="324">
        <v>45862</v>
      </c>
      <c r="P170" s="169">
        <v>45869</v>
      </c>
      <c r="Q170" s="169">
        <v>45876</v>
      </c>
      <c r="R170" s="169">
        <v>45890</v>
      </c>
      <c r="S170" s="324" t="s">
        <v>148</v>
      </c>
      <c r="T170" s="169">
        <v>45911</v>
      </c>
      <c r="U170" s="169">
        <v>45918</v>
      </c>
      <c r="V170" s="169"/>
      <c r="W170" s="152"/>
      <c r="X170" s="169"/>
      <c r="Y170" s="169"/>
      <c r="Z170" s="169"/>
      <c r="AA170" s="176"/>
      <c r="AB170" s="169"/>
      <c r="AC170" s="169"/>
      <c r="AD170" s="169"/>
      <c r="AE170" s="177"/>
      <c r="AF170" s="177"/>
      <c r="AG170" s="177"/>
      <c r="AH170" s="177"/>
      <c r="AI170" s="177"/>
      <c r="AJ170" s="177"/>
      <c r="AK170" s="177"/>
      <c r="AL170" s="177"/>
      <c r="AM170" s="177"/>
      <c r="AN170" s="177"/>
      <c r="AO170" s="177"/>
      <c r="AP170" s="177"/>
      <c r="AQ170" s="178"/>
      <c r="AR170" s="177"/>
      <c r="AS170" s="177"/>
      <c r="AT170" s="177"/>
      <c r="AU170" s="177"/>
      <c r="AV170" s="177"/>
      <c r="AW170" s="177"/>
      <c r="AX170" s="177"/>
      <c r="AY170" s="177"/>
      <c r="AZ170" s="179"/>
      <c r="BA170" s="179"/>
      <c r="BB170" s="179"/>
      <c r="BC170" s="177"/>
      <c r="BD170" s="177"/>
      <c r="BE170" s="177"/>
      <c r="BF170" s="177"/>
      <c r="BG170" s="177"/>
      <c r="BH170" s="177"/>
      <c r="BI170" s="177"/>
      <c r="BJ170" s="177"/>
      <c r="BK170" s="177"/>
      <c r="BL170" s="177"/>
      <c r="BM170" s="177"/>
      <c r="BN170" s="177"/>
      <c r="BO170" s="177"/>
      <c r="BP170" s="177"/>
      <c r="BQ170" s="177"/>
      <c r="BR170" s="177"/>
      <c r="BS170" s="177"/>
      <c r="BT170" s="177"/>
      <c r="BU170" s="177"/>
      <c r="BV170" s="177"/>
      <c r="BW170" s="177"/>
      <c r="BX170" s="177"/>
      <c r="BY170" s="177"/>
      <c r="BZ170" s="177"/>
      <c r="CA170" s="177"/>
      <c r="CB170" s="177"/>
      <c r="CC170" s="177"/>
      <c r="CD170" s="177"/>
      <c r="CE170" s="177"/>
      <c r="CF170" s="177"/>
      <c r="CG170" s="177"/>
      <c r="CH170" s="177"/>
      <c r="CI170" s="177"/>
      <c r="CJ170" s="177"/>
      <c r="CK170" s="177"/>
      <c r="CL170" s="177"/>
      <c r="CM170" s="177"/>
      <c r="CN170" s="177"/>
      <c r="CO170" s="177"/>
      <c r="CP170" s="177"/>
      <c r="CQ170" s="177"/>
      <c r="CR170" s="177"/>
      <c r="CS170" s="177"/>
      <c r="CT170" s="177"/>
      <c r="CU170" s="177"/>
      <c r="CV170" s="177"/>
      <c r="CW170" s="177"/>
      <c r="CX170" s="177"/>
      <c r="CY170" s="177"/>
      <c r="CZ170" s="177"/>
      <c r="DA170" s="177"/>
      <c r="DB170" s="177"/>
      <c r="DC170" s="177"/>
      <c r="DD170" s="177"/>
      <c r="DE170" s="177"/>
      <c r="DF170" s="177"/>
      <c r="DG170" s="177"/>
      <c r="DH170" s="177"/>
      <c r="DI170" s="177"/>
      <c r="DJ170" s="177"/>
      <c r="DK170" s="177"/>
      <c r="DL170" s="177"/>
      <c r="DM170" s="177"/>
      <c r="DN170" s="177"/>
      <c r="DO170" s="177"/>
      <c r="DP170" s="177"/>
      <c r="DQ170" s="177"/>
      <c r="DR170" s="177"/>
      <c r="DS170" s="177"/>
      <c r="DT170" s="28">
        <v>45951</v>
      </c>
      <c r="DU170" s="132">
        <v>45932</v>
      </c>
      <c r="DV170" s="69">
        <v>45995</v>
      </c>
      <c r="DW170" s="69">
        <v>46086</v>
      </c>
      <c r="DX170" s="69">
        <v>46182</v>
      </c>
      <c r="DY170" s="69"/>
      <c r="DZ170" s="69"/>
      <c r="EA170" s="69"/>
      <c r="EB170" s="69"/>
      <c r="EC170" s="69"/>
      <c r="ED170" s="22"/>
      <c r="EE170" s="22"/>
      <c r="EF170" s="339"/>
      <c r="EG170" s="338"/>
      <c r="EH170" s="338"/>
    </row>
    <row r="171" spans="2:138" ht="26.1" customHeight="1">
      <c r="B171" s="346" t="s">
        <v>351</v>
      </c>
      <c r="C171" s="348" t="s">
        <v>360</v>
      </c>
      <c r="D171" s="350" t="s">
        <v>309</v>
      </c>
      <c r="E171" s="348" t="s">
        <v>355</v>
      </c>
      <c r="F171" s="348" t="s">
        <v>292</v>
      </c>
      <c r="G171" s="348" t="s">
        <v>206</v>
      </c>
      <c r="H171" s="125" t="s">
        <v>147</v>
      </c>
      <c r="I171" s="12">
        <v>45825</v>
      </c>
      <c r="J171" s="126"/>
      <c r="K171" s="232">
        <v>45839</v>
      </c>
      <c r="L171" s="269" t="s">
        <v>148</v>
      </c>
      <c r="M171" s="126">
        <v>45849</v>
      </c>
      <c r="N171" s="126">
        <f t="shared" ref="N171" si="1608">M171+7</f>
        <v>45856</v>
      </c>
      <c r="O171" s="126" t="s">
        <v>149</v>
      </c>
      <c r="P171" s="126">
        <f t="shared" ref="P171" si="1609">N171+7</f>
        <v>45863</v>
      </c>
      <c r="Q171" s="126">
        <f t="shared" ref="Q171" si="1610">P171+7</f>
        <v>45870</v>
      </c>
      <c r="R171" s="126">
        <f t="shared" ref="R171" si="1611">Q171+7</f>
        <v>45877</v>
      </c>
      <c r="S171" s="127" t="s">
        <v>149</v>
      </c>
      <c r="T171" s="127">
        <f t="shared" ref="T171" si="1612">R171+7</f>
        <v>45884</v>
      </c>
      <c r="U171" s="127">
        <f t="shared" ref="U171" si="1613">T171+7</f>
        <v>45891</v>
      </c>
      <c r="V171" s="127">
        <f t="shared" ref="V171" si="1614">U171+7</f>
        <v>45898</v>
      </c>
      <c r="W171" s="127" t="s">
        <v>149</v>
      </c>
      <c r="X171" s="127">
        <f t="shared" ref="X171" si="1615">V171+7</f>
        <v>45905</v>
      </c>
      <c r="Y171" s="127">
        <f t="shared" ref="Y171" si="1616">X171+7</f>
        <v>45912</v>
      </c>
      <c r="Z171" s="127">
        <f t="shared" ref="Z171" si="1617">Y171+7</f>
        <v>45919</v>
      </c>
      <c r="AA171" s="127" t="s">
        <v>149</v>
      </c>
      <c r="AB171" s="127">
        <f t="shared" ref="AB171" si="1618">Z171+7</f>
        <v>45926</v>
      </c>
      <c r="AC171" s="127">
        <f t="shared" ref="AC171" si="1619">AB171+7</f>
        <v>45933</v>
      </c>
      <c r="AD171" s="127">
        <f t="shared" ref="AD171" si="1620">AC171+7</f>
        <v>45940</v>
      </c>
      <c r="AE171" s="127" t="s">
        <v>149</v>
      </c>
      <c r="AF171" s="127">
        <f t="shared" ref="AF171" si="1621">AD171+7</f>
        <v>45947</v>
      </c>
      <c r="AG171" s="127">
        <f t="shared" ref="AG171" si="1622">AF171+7</f>
        <v>45954</v>
      </c>
      <c r="AH171" s="127">
        <f t="shared" ref="AH171" si="1623">AG171+7</f>
        <v>45961</v>
      </c>
      <c r="AI171" s="127" t="s">
        <v>149</v>
      </c>
      <c r="AJ171" s="127">
        <f t="shared" ref="AJ171" si="1624">AH171+7</f>
        <v>45968</v>
      </c>
      <c r="AK171" s="127">
        <f t="shared" ref="AK171" si="1625">AJ171+7</f>
        <v>45975</v>
      </c>
      <c r="AL171" s="127">
        <f t="shared" ref="AL171" si="1626">AK171+7</f>
        <v>45982</v>
      </c>
      <c r="AM171" s="127" t="s">
        <v>149</v>
      </c>
      <c r="AN171" s="127">
        <f t="shared" ref="AN171" si="1627">AL171+7</f>
        <v>45989</v>
      </c>
      <c r="AO171" s="127">
        <f t="shared" ref="AO171" si="1628">AN171+7</f>
        <v>45996</v>
      </c>
      <c r="AP171" s="127">
        <f t="shared" ref="AP171" si="1629">AO171+7</f>
        <v>46003</v>
      </c>
      <c r="AQ171" s="127" t="s">
        <v>149</v>
      </c>
      <c r="AR171" s="127">
        <f t="shared" ref="AR171" si="1630">AP171+7</f>
        <v>46010</v>
      </c>
      <c r="AS171" s="127">
        <f t="shared" ref="AS171" si="1631">AR171+7</f>
        <v>46017</v>
      </c>
      <c r="AT171" s="127">
        <f t="shared" ref="AT171" si="1632">AS171+7</f>
        <v>46024</v>
      </c>
      <c r="AU171" s="127" t="s">
        <v>149</v>
      </c>
      <c r="AV171" s="127">
        <f t="shared" ref="AV171" si="1633">AT171+7</f>
        <v>46031</v>
      </c>
      <c r="AW171" s="127">
        <f t="shared" ref="AW171" si="1634">AV171+7</f>
        <v>46038</v>
      </c>
      <c r="AX171" s="127">
        <f t="shared" ref="AX171" si="1635">AW171+7</f>
        <v>46045</v>
      </c>
      <c r="AY171" s="127" t="s">
        <v>149</v>
      </c>
      <c r="AZ171" s="127">
        <f t="shared" ref="AZ171" si="1636">AX171+7</f>
        <v>46052</v>
      </c>
      <c r="BA171" s="127">
        <f t="shared" ref="BA171" si="1637">AZ171+7</f>
        <v>46059</v>
      </c>
      <c r="BB171" s="127">
        <f t="shared" ref="BB171" si="1638">BA171+7</f>
        <v>46066</v>
      </c>
      <c r="BC171" s="127" t="s">
        <v>149</v>
      </c>
      <c r="BD171" s="127">
        <f t="shared" ref="BD171" si="1639">BB171+7</f>
        <v>46073</v>
      </c>
      <c r="BE171" s="127">
        <f t="shared" ref="BE171" si="1640">BD171+7</f>
        <v>46080</v>
      </c>
      <c r="BF171" s="127">
        <f t="shared" ref="BF171" si="1641">BE171+7</f>
        <v>46087</v>
      </c>
      <c r="BG171" s="127" t="s">
        <v>148</v>
      </c>
      <c r="BH171" s="127">
        <f t="shared" ref="BH171" si="1642">BF171+7</f>
        <v>46094</v>
      </c>
      <c r="BI171" s="127">
        <f t="shared" ref="BI171" si="1643">BH171+7</f>
        <v>46101</v>
      </c>
      <c r="BJ171" s="127">
        <f t="shared" ref="BJ171" si="1644">BI171+7</f>
        <v>46108</v>
      </c>
      <c r="BK171" s="127" t="s">
        <v>148</v>
      </c>
      <c r="BL171" s="127">
        <f t="shared" ref="BL171" si="1645">BJ171+7</f>
        <v>46115</v>
      </c>
      <c r="BM171" s="127">
        <f t="shared" ref="BM171" si="1646">BL171+7</f>
        <v>46122</v>
      </c>
      <c r="BN171" s="127">
        <f t="shared" ref="BN171" si="1647">BM171+7</f>
        <v>46129</v>
      </c>
      <c r="BO171" s="127" t="s">
        <v>149</v>
      </c>
      <c r="BP171" s="127">
        <f t="shared" ref="BP171" si="1648">BN171+7</f>
        <v>46136</v>
      </c>
      <c r="BQ171" s="127">
        <f t="shared" ref="BQ171" si="1649">BP171+7</f>
        <v>46143</v>
      </c>
      <c r="BR171" s="127">
        <f t="shared" ref="BR171" si="1650">BQ171+7</f>
        <v>46150</v>
      </c>
      <c r="BS171" s="127" t="s">
        <v>148</v>
      </c>
      <c r="BT171" s="127">
        <f t="shared" ref="BT171" si="1651">BR171+7</f>
        <v>46157</v>
      </c>
      <c r="BU171" s="127">
        <f t="shared" ref="BU171" si="1652">BT171+7</f>
        <v>46164</v>
      </c>
      <c r="BV171" s="127">
        <f t="shared" ref="BV171" si="1653">BU171+7</f>
        <v>46171</v>
      </c>
      <c r="BW171" s="127" t="s">
        <v>149</v>
      </c>
      <c r="BX171" s="127">
        <f t="shared" ref="BX171" si="1654">BV171+7</f>
        <v>46178</v>
      </c>
      <c r="BY171" s="127">
        <f t="shared" ref="BY171" si="1655">BX171+7</f>
        <v>46185</v>
      </c>
      <c r="BZ171" s="127">
        <f t="shared" ref="BZ171" si="1656">BY171+7</f>
        <v>46192</v>
      </c>
      <c r="CA171" s="127" t="s">
        <v>149</v>
      </c>
      <c r="CB171" s="127"/>
      <c r="CC171" s="127"/>
      <c r="CD171" s="127"/>
      <c r="CE171" s="127"/>
      <c r="CF171" s="127"/>
      <c r="CG171" s="127"/>
      <c r="CH171" s="127"/>
      <c r="CI171" s="127"/>
      <c r="CJ171" s="127"/>
      <c r="CK171" s="127"/>
      <c r="CL171" s="127"/>
      <c r="CM171" s="127"/>
      <c r="CN171" s="127"/>
      <c r="CO171" s="127"/>
      <c r="CP171" s="127"/>
      <c r="CQ171" s="127"/>
      <c r="CR171" s="127"/>
      <c r="CS171" s="127"/>
      <c r="CT171" s="127"/>
      <c r="CU171" s="127"/>
      <c r="CV171" s="127"/>
      <c r="CW171" s="127"/>
      <c r="CX171" s="127"/>
      <c r="CY171" s="127"/>
      <c r="CZ171" s="127"/>
      <c r="DA171" s="127"/>
      <c r="DB171" s="127"/>
      <c r="DC171" s="127"/>
      <c r="DD171" s="127"/>
      <c r="DE171" s="127"/>
      <c r="DF171" s="127"/>
      <c r="DG171" s="127"/>
      <c r="DH171" s="127"/>
      <c r="DI171" s="127"/>
      <c r="DJ171" s="127"/>
      <c r="DK171" s="127"/>
      <c r="DL171" s="127"/>
      <c r="DM171" s="127"/>
      <c r="DN171" s="127"/>
      <c r="DO171" s="127"/>
      <c r="DP171" s="127"/>
      <c r="DQ171" s="127"/>
      <c r="DR171" s="127"/>
      <c r="DS171" s="127"/>
      <c r="DT171" s="127"/>
      <c r="DU171" s="127"/>
      <c r="DV171" s="125"/>
      <c r="DW171" s="125"/>
      <c r="DX171" s="125"/>
      <c r="DY171" s="125"/>
      <c r="DZ171" s="125"/>
      <c r="EA171" s="125"/>
      <c r="EB171" s="125"/>
      <c r="EC171" s="125"/>
      <c r="ED171" s="268"/>
      <c r="EE171" s="128"/>
      <c r="EF171" s="339"/>
      <c r="EG171" s="338"/>
      <c r="EH171" s="339"/>
    </row>
    <row r="172" spans="2:138" ht="27.75">
      <c r="B172" s="347"/>
      <c r="C172" s="349"/>
      <c r="D172" s="351"/>
      <c r="E172" s="349"/>
      <c r="F172" s="349"/>
      <c r="G172" s="349"/>
      <c r="H172" s="320" t="s">
        <v>150</v>
      </c>
      <c r="I172" s="113">
        <v>45825</v>
      </c>
      <c r="J172" s="320"/>
      <c r="K172" s="113">
        <v>45839</v>
      </c>
      <c r="L172" s="271" t="s">
        <v>148</v>
      </c>
      <c r="M172" s="194">
        <v>45849</v>
      </c>
      <c r="N172" s="113">
        <v>45867</v>
      </c>
      <c r="O172" s="320">
        <v>45874</v>
      </c>
      <c r="P172" s="113">
        <v>45881</v>
      </c>
      <c r="Q172" s="113">
        <v>45895</v>
      </c>
      <c r="R172" s="113">
        <v>45902</v>
      </c>
      <c r="S172" s="320">
        <v>45909</v>
      </c>
      <c r="T172" s="113">
        <v>45923</v>
      </c>
      <c r="U172" s="113">
        <v>45930</v>
      </c>
      <c r="V172" s="113">
        <v>45944</v>
      </c>
      <c r="W172" s="69">
        <v>45951</v>
      </c>
      <c r="X172" s="113">
        <v>45958</v>
      </c>
      <c r="Y172" s="113">
        <v>45972</v>
      </c>
      <c r="Z172" s="113">
        <v>45979</v>
      </c>
      <c r="AA172" s="22">
        <v>45986</v>
      </c>
      <c r="AB172" s="113">
        <v>45993</v>
      </c>
      <c r="AC172" s="113">
        <v>46007</v>
      </c>
      <c r="AD172" s="113">
        <v>46014</v>
      </c>
      <c r="AE172" s="28">
        <v>46021</v>
      </c>
      <c r="AF172" s="28">
        <v>46028</v>
      </c>
      <c r="AG172" s="28">
        <v>46035</v>
      </c>
      <c r="AH172" s="28">
        <v>46042</v>
      </c>
      <c r="AI172" s="28">
        <v>46049</v>
      </c>
      <c r="AJ172" s="28">
        <v>46056</v>
      </c>
      <c r="AK172" s="28">
        <v>46063</v>
      </c>
      <c r="AL172" s="28">
        <v>46077</v>
      </c>
      <c r="AM172" s="28">
        <v>46084</v>
      </c>
      <c r="AN172" s="28">
        <v>46091</v>
      </c>
      <c r="AO172" s="28">
        <v>46098</v>
      </c>
      <c r="AP172" s="28">
        <v>46105</v>
      </c>
      <c r="AQ172" s="323">
        <v>46112</v>
      </c>
      <c r="AR172" s="28">
        <v>46119</v>
      </c>
      <c r="AS172" s="28">
        <v>46126</v>
      </c>
      <c r="AT172" s="28">
        <v>46133</v>
      </c>
      <c r="AU172" s="28">
        <v>46140</v>
      </c>
      <c r="AV172" s="28">
        <v>46148</v>
      </c>
      <c r="AW172" s="28">
        <v>46155</v>
      </c>
      <c r="AX172" s="28">
        <v>46162</v>
      </c>
      <c r="AY172" s="28">
        <v>46169</v>
      </c>
      <c r="AZ172" s="28">
        <v>46182</v>
      </c>
      <c r="BA172" s="278">
        <v>46189</v>
      </c>
      <c r="BB172" s="278">
        <v>46196</v>
      </c>
      <c r="BC172" s="28">
        <v>46203</v>
      </c>
      <c r="BD172" s="28">
        <v>46210</v>
      </c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  <c r="DF172" s="28"/>
      <c r="DG172" s="28"/>
      <c r="DH172" s="28"/>
      <c r="DI172" s="28"/>
      <c r="DJ172" s="28"/>
      <c r="DK172" s="28"/>
      <c r="DL172" s="28"/>
      <c r="DM172" s="28"/>
      <c r="DN172" s="28"/>
      <c r="DO172" s="28"/>
      <c r="DP172" s="28"/>
      <c r="DQ172" s="28"/>
      <c r="DR172" s="28"/>
      <c r="DS172" s="28"/>
      <c r="DT172" s="28"/>
      <c r="DU172" s="132"/>
      <c r="DV172" s="69"/>
      <c r="DW172" s="69"/>
      <c r="DX172" s="69"/>
      <c r="DY172" s="69"/>
      <c r="DZ172" s="69"/>
      <c r="EA172" s="69"/>
      <c r="EB172" s="69"/>
      <c r="EC172" s="69"/>
      <c r="ED172" s="22"/>
      <c r="EE172" s="22"/>
      <c r="EF172" s="339"/>
      <c r="EG172" s="338"/>
      <c r="EH172" s="338"/>
    </row>
    <row r="173" spans="2:138" s="119" customFormat="1" ht="31.15">
      <c r="B173" s="352" t="s">
        <v>361</v>
      </c>
      <c r="C173" s="340" t="s">
        <v>362</v>
      </c>
      <c r="D173" s="342" t="s">
        <v>363</v>
      </c>
      <c r="E173" s="340" t="s">
        <v>364</v>
      </c>
      <c r="F173" s="340" t="s">
        <v>250</v>
      </c>
      <c r="G173" s="340" t="s">
        <v>206</v>
      </c>
      <c r="H173" s="40" t="s">
        <v>147</v>
      </c>
      <c r="I173" s="31">
        <v>45883</v>
      </c>
      <c r="J173" s="94"/>
      <c r="K173" s="233">
        <v>45894</v>
      </c>
      <c r="L173" s="233" t="s">
        <v>148</v>
      </c>
      <c r="M173" s="94">
        <v>45849</v>
      </c>
      <c r="N173" s="94">
        <f t="shared" ref="N173" si="1657">M173+7</f>
        <v>45856</v>
      </c>
      <c r="O173" s="94" t="s">
        <v>149</v>
      </c>
      <c r="P173" s="94">
        <f t="shared" ref="P173" si="1658">N173+7</f>
        <v>45863</v>
      </c>
      <c r="Q173" s="94">
        <f t="shared" ref="Q173" si="1659">P173+7</f>
        <v>45870</v>
      </c>
      <c r="R173" s="94">
        <f t="shared" ref="R173" si="1660">Q173+7</f>
        <v>45877</v>
      </c>
      <c r="S173" s="141" t="s">
        <v>149</v>
      </c>
      <c r="T173" s="141">
        <f t="shared" ref="T173" si="1661">R173+7</f>
        <v>45884</v>
      </c>
      <c r="U173" s="141">
        <f t="shared" ref="U173" si="1662">T173+7</f>
        <v>45891</v>
      </c>
      <c r="V173" s="141">
        <f t="shared" ref="V173" si="1663">U173+7</f>
        <v>45898</v>
      </c>
      <c r="W173" s="141" t="s">
        <v>149</v>
      </c>
      <c r="X173" s="141">
        <f t="shared" ref="X173" si="1664">V173+7</f>
        <v>45905</v>
      </c>
      <c r="Y173" s="141">
        <f t="shared" ref="Y173" si="1665">X173+7</f>
        <v>45912</v>
      </c>
      <c r="Z173" s="141">
        <f t="shared" ref="Z173" si="1666">Y173+7</f>
        <v>45919</v>
      </c>
      <c r="AA173" s="141" t="s">
        <v>149</v>
      </c>
      <c r="AB173" s="141">
        <f t="shared" ref="AB173" si="1667">Z173+7</f>
        <v>45926</v>
      </c>
      <c r="AC173" s="141">
        <f t="shared" ref="AC173" si="1668">AB173+7</f>
        <v>45933</v>
      </c>
      <c r="AD173" s="141">
        <f t="shared" ref="AD173" si="1669">AC173+7</f>
        <v>45940</v>
      </c>
      <c r="AE173" s="141" t="s">
        <v>149</v>
      </c>
      <c r="AF173" s="141">
        <f t="shared" ref="AF173" si="1670">AD173+7</f>
        <v>45947</v>
      </c>
      <c r="AG173" s="141">
        <f t="shared" ref="AG173" si="1671">AF173+7</f>
        <v>45954</v>
      </c>
      <c r="AH173" s="141">
        <f t="shared" ref="AH173" si="1672">AG173+7</f>
        <v>45961</v>
      </c>
      <c r="AI173" s="141" t="s">
        <v>149</v>
      </c>
      <c r="AJ173" s="141">
        <f t="shared" ref="AJ173" si="1673">AH173+7</f>
        <v>45968</v>
      </c>
      <c r="AK173" s="141">
        <f t="shared" ref="AK173" si="1674">AJ173+7</f>
        <v>45975</v>
      </c>
      <c r="AL173" s="141">
        <f t="shared" ref="AL173" si="1675">AK173+7</f>
        <v>45982</v>
      </c>
      <c r="AM173" s="141" t="s">
        <v>149</v>
      </c>
      <c r="AN173" s="141">
        <f t="shared" ref="AN173" si="1676">AL173+7</f>
        <v>45989</v>
      </c>
      <c r="AO173" s="141">
        <f t="shared" ref="AO173" si="1677">AN173+7</f>
        <v>45996</v>
      </c>
      <c r="AP173" s="141">
        <f t="shared" ref="AP173" si="1678">AO173+7</f>
        <v>46003</v>
      </c>
      <c r="AQ173" s="141" t="s">
        <v>149</v>
      </c>
      <c r="AR173" s="141">
        <f t="shared" ref="AR173" si="1679">AP173+7</f>
        <v>46010</v>
      </c>
      <c r="AS173" s="141">
        <f t="shared" ref="AS173" si="1680">AR173+7</f>
        <v>46017</v>
      </c>
      <c r="AT173" s="141">
        <f t="shared" ref="AT173" si="1681">AS173+7</f>
        <v>46024</v>
      </c>
      <c r="AU173" s="141" t="s">
        <v>149</v>
      </c>
      <c r="AV173" s="141">
        <f t="shared" ref="AV173" si="1682">AT173+7</f>
        <v>46031</v>
      </c>
      <c r="AW173" s="141">
        <f t="shared" ref="AW173" si="1683">AV173+7</f>
        <v>46038</v>
      </c>
      <c r="AX173" s="141">
        <f t="shared" ref="AX173" si="1684">AW173+7</f>
        <v>46045</v>
      </c>
      <c r="AY173" s="141" t="s">
        <v>149</v>
      </c>
      <c r="AZ173" s="141">
        <f t="shared" ref="AZ173" si="1685">AX173+7</f>
        <v>46052</v>
      </c>
      <c r="BA173" s="141">
        <f t="shared" ref="BA173" si="1686">AZ173+7</f>
        <v>46059</v>
      </c>
      <c r="BB173" s="141">
        <f t="shared" ref="BB173" si="1687">BA173+7</f>
        <v>46066</v>
      </c>
      <c r="BC173" s="141" t="s">
        <v>149</v>
      </c>
      <c r="BD173" s="141">
        <f t="shared" ref="BD173" si="1688">BB173+7</f>
        <v>46073</v>
      </c>
      <c r="BE173" s="141">
        <f t="shared" ref="BE173" si="1689">BD173+7</f>
        <v>46080</v>
      </c>
      <c r="BF173" s="141">
        <f t="shared" ref="BF173" si="1690">BE173+7</f>
        <v>46087</v>
      </c>
      <c r="BG173" s="141" t="s">
        <v>148</v>
      </c>
      <c r="BH173" s="141">
        <f t="shared" ref="BH173" si="1691">BF173+7</f>
        <v>46094</v>
      </c>
      <c r="BI173" s="141">
        <f t="shared" ref="BI173" si="1692">BH173+7</f>
        <v>46101</v>
      </c>
      <c r="BJ173" s="141">
        <f t="shared" ref="BJ173" si="1693">BI173+7</f>
        <v>46108</v>
      </c>
      <c r="BK173" s="141" t="s">
        <v>148</v>
      </c>
      <c r="BL173" s="141">
        <f t="shared" ref="BL173" si="1694">BJ173+7</f>
        <v>46115</v>
      </c>
      <c r="BM173" s="141">
        <f t="shared" ref="BM173" si="1695">BL173+7</f>
        <v>46122</v>
      </c>
      <c r="BN173" s="141">
        <f t="shared" ref="BN173" si="1696">BM173+7</f>
        <v>46129</v>
      </c>
      <c r="BO173" s="141" t="s">
        <v>149</v>
      </c>
      <c r="BP173" s="141">
        <f t="shared" ref="BP173" si="1697">BN173+7</f>
        <v>46136</v>
      </c>
      <c r="BQ173" s="141">
        <f t="shared" ref="BQ173" si="1698">BP173+7</f>
        <v>46143</v>
      </c>
      <c r="BR173" s="141">
        <f t="shared" ref="BR173" si="1699">BQ173+7</f>
        <v>46150</v>
      </c>
      <c r="BS173" s="141" t="s">
        <v>148</v>
      </c>
      <c r="BT173" s="141">
        <f t="shared" ref="BT173" si="1700">BR173+7</f>
        <v>46157</v>
      </c>
      <c r="BU173" s="141">
        <f t="shared" ref="BU173" si="1701">BT173+7</f>
        <v>46164</v>
      </c>
      <c r="BV173" s="141">
        <f t="shared" ref="BV173" si="1702">BU173+7</f>
        <v>46171</v>
      </c>
      <c r="BW173" s="141" t="s">
        <v>149</v>
      </c>
      <c r="BX173" s="141">
        <f t="shared" ref="BX173" si="1703">BV173+7</f>
        <v>46178</v>
      </c>
      <c r="BY173" s="141">
        <f t="shared" ref="BY173" si="1704">BX173+7</f>
        <v>46185</v>
      </c>
      <c r="BZ173" s="141">
        <f t="shared" ref="BZ173" si="1705">BY173+7</f>
        <v>46192</v>
      </c>
      <c r="CA173" s="141" t="s">
        <v>149</v>
      </c>
      <c r="CB173" s="141"/>
      <c r="CC173" s="141"/>
      <c r="CD173" s="141"/>
      <c r="CE173" s="141"/>
      <c r="CF173" s="141"/>
      <c r="CG173" s="141"/>
      <c r="CH173" s="141"/>
      <c r="CI173" s="141"/>
      <c r="CJ173" s="141"/>
      <c r="CK173" s="141"/>
      <c r="CL173" s="141"/>
      <c r="CM173" s="141"/>
      <c r="CN173" s="141"/>
      <c r="CO173" s="141"/>
      <c r="CP173" s="141"/>
      <c r="CQ173" s="141"/>
      <c r="CR173" s="141"/>
      <c r="CS173" s="141"/>
      <c r="CT173" s="141"/>
      <c r="CU173" s="141"/>
      <c r="CV173" s="141"/>
      <c r="CW173" s="141"/>
      <c r="CX173" s="141"/>
      <c r="CY173" s="141"/>
      <c r="CZ173" s="141"/>
      <c r="DA173" s="141"/>
      <c r="DB173" s="141"/>
      <c r="DC173" s="141"/>
      <c r="DD173" s="141"/>
      <c r="DE173" s="141"/>
      <c r="DF173" s="141"/>
      <c r="DG173" s="141"/>
      <c r="DH173" s="141"/>
      <c r="DI173" s="141"/>
      <c r="DJ173" s="141"/>
      <c r="DK173" s="141"/>
      <c r="DL173" s="141"/>
      <c r="DM173" s="141"/>
      <c r="DN173" s="141"/>
      <c r="DO173" s="141"/>
      <c r="DP173" s="141"/>
      <c r="DQ173" s="141"/>
      <c r="DR173" s="141"/>
      <c r="DS173" s="141"/>
      <c r="DT173" s="141">
        <v>45925</v>
      </c>
      <c r="DU173" s="141"/>
      <c r="DV173" s="40"/>
      <c r="DW173" s="40"/>
      <c r="DX173" s="40"/>
      <c r="DY173" s="40"/>
      <c r="DZ173" s="40"/>
      <c r="EA173" s="40"/>
      <c r="EB173" s="40"/>
      <c r="EC173" s="40"/>
      <c r="ED173" s="267"/>
      <c r="EE173" s="35"/>
      <c r="EF173" s="344"/>
      <c r="EG173" s="345"/>
      <c r="EH173" s="344"/>
    </row>
    <row r="174" spans="2:138" s="119" customFormat="1" ht="31.15">
      <c r="B174" s="353"/>
      <c r="C174" s="341"/>
      <c r="D174" s="343"/>
      <c r="E174" s="341"/>
      <c r="F174" s="341"/>
      <c r="G174" s="341"/>
      <c r="H174" s="325" t="s">
        <v>150</v>
      </c>
      <c r="I174" s="112">
        <v>45883</v>
      </c>
      <c r="J174" s="325"/>
      <c r="K174" s="112">
        <v>45894</v>
      </c>
      <c r="L174" s="275" t="s">
        <v>148</v>
      </c>
      <c r="M174" s="195">
        <v>45901</v>
      </c>
      <c r="N174" s="112">
        <v>45908</v>
      </c>
      <c r="O174" s="325" t="s">
        <v>148</v>
      </c>
      <c r="P174" s="112">
        <v>45916</v>
      </c>
      <c r="Q174" s="112">
        <v>45923</v>
      </c>
      <c r="R174" s="112"/>
      <c r="S174" s="325"/>
      <c r="T174" s="112"/>
      <c r="U174" s="112"/>
      <c r="V174" s="112"/>
      <c r="W174" s="46"/>
      <c r="X174" s="112"/>
      <c r="Y174" s="112"/>
      <c r="Z174" s="112"/>
      <c r="AA174" s="142"/>
      <c r="AB174" s="112"/>
      <c r="AC174" s="112"/>
      <c r="AD174" s="112"/>
      <c r="AE174" s="333"/>
      <c r="AF174" s="333"/>
      <c r="AG174" s="333"/>
      <c r="AH174" s="333"/>
      <c r="AI174" s="333"/>
      <c r="AJ174" s="333"/>
      <c r="AK174" s="333"/>
      <c r="AL174" s="333"/>
      <c r="AM174" s="333"/>
      <c r="AN174" s="333"/>
      <c r="AO174" s="333"/>
      <c r="AP174" s="333"/>
      <c r="AQ174" s="329"/>
      <c r="AR174" s="333"/>
      <c r="AS174" s="333"/>
      <c r="AT174" s="333"/>
      <c r="AU174" s="333"/>
      <c r="AV174" s="333"/>
      <c r="AW174" s="333"/>
      <c r="AX174" s="333"/>
      <c r="AY174" s="333"/>
      <c r="AZ174" s="143"/>
      <c r="BA174" s="143"/>
      <c r="BB174" s="143"/>
      <c r="BC174" s="333"/>
      <c r="BD174" s="333"/>
      <c r="BE174" s="333"/>
      <c r="BF174" s="333"/>
      <c r="BG174" s="333"/>
      <c r="BH174" s="333"/>
      <c r="BI174" s="333"/>
      <c r="BJ174" s="333"/>
      <c r="BK174" s="333"/>
      <c r="BL174" s="333"/>
      <c r="BM174" s="333"/>
      <c r="BN174" s="333"/>
      <c r="BO174" s="333"/>
      <c r="BP174" s="333"/>
      <c r="BQ174" s="333"/>
      <c r="BR174" s="333"/>
      <c r="BS174" s="333"/>
      <c r="BT174" s="333"/>
      <c r="BU174" s="333"/>
      <c r="BV174" s="333"/>
      <c r="BW174" s="333"/>
      <c r="BX174" s="333"/>
      <c r="BY174" s="333"/>
      <c r="BZ174" s="333"/>
      <c r="CA174" s="333"/>
      <c r="CB174" s="333"/>
      <c r="CC174" s="333"/>
      <c r="CD174" s="333"/>
      <c r="CE174" s="333"/>
      <c r="CF174" s="333"/>
      <c r="CG174" s="333"/>
      <c r="CH174" s="333"/>
      <c r="CI174" s="333"/>
      <c r="CJ174" s="333"/>
      <c r="CK174" s="333"/>
      <c r="CL174" s="333"/>
      <c r="CM174" s="333"/>
      <c r="CN174" s="333"/>
      <c r="CO174" s="333"/>
      <c r="CP174" s="333"/>
      <c r="CQ174" s="333"/>
      <c r="CR174" s="333"/>
      <c r="CS174" s="333"/>
      <c r="CT174" s="333"/>
      <c r="CU174" s="333"/>
      <c r="CV174" s="333"/>
      <c r="CW174" s="333"/>
      <c r="CX174" s="333"/>
      <c r="CY174" s="333"/>
      <c r="CZ174" s="333"/>
      <c r="DA174" s="333"/>
      <c r="DB174" s="333"/>
      <c r="DC174" s="333"/>
      <c r="DD174" s="333"/>
      <c r="DE174" s="333"/>
      <c r="DF174" s="333"/>
      <c r="DG174" s="333"/>
      <c r="DH174" s="333"/>
      <c r="DI174" s="333"/>
      <c r="DJ174" s="333"/>
      <c r="DK174" s="333"/>
      <c r="DL174" s="333"/>
      <c r="DM174" s="333"/>
      <c r="DN174" s="333"/>
      <c r="DO174" s="333"/>
      <c r="DP174" s="333"/>
      <c r="DQ174" s="333"/>
      <c r="DR174" s="333"/>
      <c r="DS174" s="333"/>
      <c r="DT174" s="333">
        <v>45925</v>
      </c>
      <c r="DU174" s="334" t="s">
        <v>181</v>
      </c>
      <c r="DV174" s="46">
        <v>46014</v>
      </c>
      <c r="DW174" s="46">
        <v>46099</v>
      </c>
      <c r="DX174" s="46"/>
      <c r="DY174" s="46"/>
      <c r="DZ174" s="46"/>
      <c r="EA174" s="46"/>
      <c r="EB174" s="46"/>
      <c r="EC174" s="46"/>
      <c r="ED174" s="142"/>
      <c r="EE174" s="142"/>
      <c r="EF174" s="344"/>
      <c r="EG174" s="345"/>
      <c r="EH174" s="345"/>
    </row>
    <row r="175" spans="2:138" ht="31.15">
      <c r="B175" s="356" t="s">
        <v>365</v>
      </c>
      <c r="C175" s="358" t="s">
        <v>366</v>
      </c>
      <c r="D175" s="360" t="s">
        <v>208</v>
      </c>
      <c r="E175" s="360" t="s">
        <v>367</v>
      </c>
      <c r="F175" s="360" t="s">
        <v>210</v>
      </c>
      <c r="G175" s="360" t="s">
        <v>206</v>
      </c>
      <c r="H175" s="74" t="s">
        <v>147</v>
      </c>
      <c r="I175" s="196">
        <v>45890</v>
      </c>
      <c r="J175" s="182"/>
      <c r="K175" s="257">
        <v>45904</v>
      </c>
      <c r="L175" s="249" t="s">
        <v>148</v>
      </c>
      <c r="M175" s="198">
        <f>K176+7</f>
        <v>45911</v>
      </c>
      <c r="N175" s="76">
        <f t="shared" ref="N175" si="1706">M175+7</f>
        <v>45918</v>
      </c>
      <c r="O175" s="76" t="s">
        <v>149</v>
      </c>
      <c r="P175" s="76">
        <v>45526</v>
      </c>
      <c r="Q175" s="76">
        <f t="shared" ref="Q175" si="1707">P175+7</f>
        <v>45533</v>
      </c>
      <c r="R175" s="76">
        <f t="shared" ref="R175" si="1708">Q175+7</f>
        <v>45540</v>
      </c>
      <c r="S175" s="77" t="s">
        <v>149</v>
      </c>
      <c r="T175" s="77">
        <f t="shared" ref="T175" si="1709">R175+7</f>
        <v>45547</v>
      </c>
      <c r="U175" s="77">
        <f t="shared" ref="U175" si="1710">T175+7</f>
        <v>45554</v>
      </c>
      <c r="V175" s="77">
        <f t="shared" ref="V175" si="1711">U175+7</f>
        <v>45561</v>
      </c>
      <c r="W175" s="77" t="s">
        <v>149</v>
      </c>
      <c r="X175" s="77">
        <f t="shared" ref="X175" si="1712">V175+7</f>
        <v>45568</v>
      </c>
      <c r="Y175" s="77">
        <f t="shared" ref="Y175" si="1713">X175+7</f>
        <v>45575</v>
      </c>
      <c r="Z175" s="77">
        <f t="shared" ref="Z175" si="1714">Y175+7</f>
        <v>45582</v>
      </c>
      <c r="AA175" s="77" t="s">
        <v>149</v>
      </c>
      <c r="AB175" s="77">
        <f t="shared" ref="AB175" si="1715">Z175+7</f>
        <v>45589</v>
      </c>
      <c r="AC175" s="77">
        <f t="shared" ref="AC175" si="1716">AB175+7</f>
        <v>45596</v>
      </c>
      <c r="AD175" s="77">
        <f t="shared" ref="AD175" si="1717">AC175+7</f>
        <v>45603</v>
      </c>
      <c r="AE175" s="77" t="s">
        <v>149</v>
      </c>
      <c r="AF175" s="77">
        <f t="shared" ref="AF175" si="1718">AD175+7</f>
        <v>45610</v>
      </c>
      <c r="AG175" s="77">
        <f t="shared" ref="AG175" si="1719">AF175+7</f>
        <v>45617</v>
      </c>
      <c r="AH175" s="77">
        <f t="shared" ref="AH175" si="1720">AG175+7</f>
        <v>45624</v>
      </c>
      <c r="AI175" s="77" t="s">
        <v>149</v>
      </c>
      <c r="AJ175" s="77">
        <f t="shared" ref="AJ175" si="1721">AH175+7</f>
        <v>45631</v>
      </c>
      <c r="AK175" s="77">
        <f t="shared" ref="AK175" si="1722">AJ175+7</f>
        <v>45638</v>
      </c>
      <c r="AL175" s="77">
        <f t="shared" ref="AL175" si="1723">AK175+7</f>
        <v>45645</v>
      </c>
      <c r="AM175" s="77" t="s">
        <v>149</v>
      </c>
      <c r="AN175" s="77">
        <f t="shared" ref="AN175" si="1724">AL175+7</f>
        <v>45652</v>
      </c>
      <c r="AO175" s="77">
        <f t="shared" ref="AO175" si="1725">AN175+7</f>
        <v>45659</v>
      </c>
      <c r="AP175" s="77">
        <f t="shared" ref="AP175" si="1726">AO175+7</f>
        <v>45666</v>
      </c>
      <c r="AQ175" s="77" t="s">
        <v>149</v>
      </c>
      <c r="AR175" s="77">
        <f t="shared" ref="AR175" si="1727">AP175+7</f>
        <v>45673</v>
      </c>
      <c r="AS175" s="77">
        <f t="shared" ref="AS175" si="1728">AR175+7</f>
        <v>45680</v>
      </c>
      <c r="AT175" s="77">
        <f t="shared" ref="AT175" si="1729">AS175+7</f>
        <v>45687</v>
      </c>
      <c r="AU175" s="77">
        <f t="shared" ref="AU175" si="1730">AT175+21</f>
        <v>45708</v>
      </c>
      <c r="AV175" s="77">
        <f t="shared" ref="AV175" si="1731">AT175+7</f>
        <v>45694</v>
      </c>
      <c r="AW175" s="77">
        <f t="shared" ref="AW175" si="1732">AV175+7</f>
        <v>45701</v>
      </c>
      <c r="AX175" s="77">
        <f t="shared" ref="AX175" si="1733">AW175+7</f>
        <v>45708</v>
      </c>
      <c r="AY175" s="77">
        <f t="shared" ref="AY175" si="1734">AX175+21</f>
        <v>45729</v>
      </c>
      <c r="AZ175" s="77">
        <f t="shared" ref="AZ175" si="1735">AX175+7</f>
        <v>45715</v>
      </c>
      <c r="BA175" s="77">
        <f t="shared" ref="BA175" si="1736">AZ175+7</f>
        <v>45722</v>
      </c>
      <c r="BB175" s="77">
        <f t="shared" ref="BB175" si="1737">BA175+7</f>
        <v>45729</v>
      </c>
      <c r="BC175" s="77" t="s">
        <v>148</v>
      </c>
      <c r="BD175" s="77">
        <f>BB175+7</f>
        <v>45736</v>
      </c>
      <c r="BE175" s="77">
        <f>BD175+7</f>
        <v>45743</v>
      </c>
      <c r="BF175" s="77">
        <f>BE175+7</f>
        <v>45750</v>
      </c>
      <c r="BG175" s="77" t="s">
        <v>148</v>
      </c>
      <c r="BH175" s="77">
        <f>BF175+7</f>
        <v>45757</v>
      </c>
      <c r="BI175" s="77">
        <f>BH175+7</f>
        <v>45764</v>
      </c>
      <c r="BJ175" s="77">
        <f>BI175+7</f>
        <v>45771</v>
      </c>
      <c r="BK175" s="77" t="s">
        <v>148</v>
      </c>
      <c r="BL175" s="77">
        <f>BJ175+7</f>
        <v>45778</v>
      </c>
      <c r="BM175" s="77">
        <f>BL175+7</f>
        <v>45785</v>
      </c>
      <c r="BN175" s="77">
        <f>BM175+7</f>
        <v>45792</v>
      </c>
      <c r="BO175" s="77" t="s">
        <v>149</v>
      </c>
      <c r="BP175" s="77">
        <f>BN175+7</f>
        <v>45799</v>
      </c>
      <c r="BQ175" s="77">
        <f>BP175+7</f>
        <v>45806</v>
      </c>
      <c r="BR175" s="77">
        <f>BQ175+7</f>
        <v>45813</v>
      </c>
      <c r="BS175" s="77" t="s">
        <v>148</v>
      </c>
      <c r="BT175" s="77">
        <f>BR175+7</f>
        <v>45820</v>
      </c>
      <c r="BU175" s="77">
        <f>BT175+7</f>
        <v>45827</v>
      </c>
      <c r="BV175" s="77">
        <f>BU175+7</f>
        <v>45834</v>
      </c>
      <c r="BW175" s="77" t="s">
        <v>149</v>
      </c>
      <c r="BX175" s="77">
        <f>BV175+7</f>
        <v>45841</v>
      </c>
      <c r="BY175" s="77">
        <f>BX175+7</f>
        <v>45848</v>
      </c>
      <c r="BZ175" s="77">
        <f>BY175+7</f>
        <v>45855</v>
      </c>
      <c r="CA175" s="77" t="s">
        <v>149</v>
      </c>
      <c r="CB175" s="77"/>
      <c r="CC175" s="77"/>
      <c r="CD175" s="77"/>
      <c r="CE175" s="77"/>
      <c r="CF175" s="77"/>
      <c r="CG175" s="77"/>
      <c r="CH175" s="77"/>
      <c r="CI175" s="77"/>
      <c r="CJ175" s="77"/>
      <c r="CK175" s="77"/>
      <c r="CL175" s="77"/>
      <c r="CM175" s="77"/>
      <c r="CN175" s="77"/>
      <c r="CO175" s="77"/>
      <c r="CP175" s="77"/>
      <c r="CQ175" s="77"/>
      <c r="CR175" s="77"/>
      <c r="CS175" s="77"/>
      <c r="CT175" s="77"/>
      <c r="CU175" s="77"/>
      <c r="CV175" s="77"/>
      <c r="CW175" s="77"/>
      <c r="CX175" s="77"/>
      <c r="CY175" s="77"/>
      <c r="CZ175" s="77"/>
      <c r="DA175" s="77"/>
      <c r="DB175" s="77"/>
      <c r="DC175" s="77"/>
      <c r="DD175" s="77"/>
      <c r="DE175" s="77"/>
      <c r="DF175" s="77"/>
      <c r="DG175" s="77"/>
      <c r="DH175" s="77"/>
      <c r="DI175" s="77"/>
      <c r="DJ175" s="77"/>
      <c r="DK175" s="77"/>
      <c r="DL175" s="77"/>
      <c r="DM175" s="77"/>
      <c r="DN175" s="77"/>
      <c r="DO175" s="77"/>
      <c r="DP175" s="77"/>
      <c r="DQ175" s="77"/>
      <c r="DR175" s="77"/>
      <c r="DS175" s="77"/>
      <c r="DT175" s="17">
        <v>45974</v>
      </c>
      <c r="DU175" s="286"/>
      <c r="DV175" s="287"/>
      <c r="DW175" s="13"/>
      <c r="DX175" s="13"/>
      <c r="DY175" s="13"/>
      <c r="DZ175" s="13"/>
      <c r="EA175" s="13"/>
      <c r="EB175" s="13"/>
      <c r="EC175" s="13"/>
      <c r="ED175" s="24"/>
      <c r="EE175" s="24"/>
      <c r="EF175" s="339"/>
      <c r="EG175" s="338"/>
      <c r="EH175" s="338"/>
    </row>
    <row r="176" spans="2:138" ht="27.75">
      <c r="B176" s="357"/>
      <c r="C176" s="359"/>
      <c r="D176" s="361"/>
      <c r="E176" s="361"/>
      <c r="F176" s="361"/>
      <c r="G176" s="361"/>
      <c r="H176" s="330" t="s">
        <v>150</v>
      </c>
      <c r="I176" s="199">
        <v>45890</v>
      </c>
      <c r="J176" s="200"/>
      <c r="K176" s="201">
        <v>45904</v>
      </c>
      <c r="L176" s="272" t="s">
        <v>148</v>
      </c>
      <c r="M176" s="159">
        <v>45911</v>
      </c>
      <c r="N176" s="330">
        <v>45925</v>
      </c>
      <c r="O176" s="330">
        <v>45932</v>
      </c>
      <c r="P176" s="330"/>
      <c r="Q176" s="330"/>
      <c r="R176" s="324"/>
      <c r="S176" s="330"/>
      <c r="T176" s="330"/>
      <c r="U176" s="154"/>
      <c r="V176" s="330"/>
      <c r="W176" s="330"/>
      <c r="X176" s="160"/>
      <c r="Y176" s="324"/>
      <c r="Z176" s="330"/>
      <c r="AA176" s="330"/>
      <c r="AB176" s="330"/>
      <c r="AC176" s="330"/>
      <c r="AD176" s="324"/>
      <c r="AE176" s="330"/>
      <c r="AF176" s="330"/>
      <c r="AG176" s="330"/>
      <c r="AH176" s="161"/>
      <c r="AI176" s="330"/>
      <c r="AJ176" s="330"/>
      <c r="AK176" s="330"/>
      <c r="AL176" s="161"/>
      <c r="AM176" s="330"/>
      <c r="AN176" s="330"/>
      <c r="AO176" s="330"/>
      <c r="AP176" s="161"/>
      <c r="AQ176" s="330"/>
      <c r="AR176" s="330"/>
      <c r="AS176" s="330"/>
      <c r="AT176" s="161"/>
      <c r="AU176" s="330"/>
      <c r="AV176" s="330"/>
      <c r="AW176" s="330"/>
      <c r="AX176" s="161"/>
      <c r="AY176" s="330"/>
      <c r="AZ176" s="330"/>
      <c r="BA176" s="330"/>
      <c r="BB176" s="161"/>
      <c r="BC176" s="330"/>
      <c r="BD176" s="330"/>
      <c r="BE176" s="330"/>
      <c r="BF176" s="330"/>
      <c r="BG176" s="330"/>
      <c r="BH176" s="330"/>
      <c r="BI176" s="330"/>
      <c r="BJ176" s="330"/>
      <c r="BK176" s="330"/>
      <c r="BL176" s="330"/>
      <c r="BM176" s="330"/>
      <c r="BN176" s="330"/>
      <c r="BO176" s="330"/>
      <c r="BP176" s="330"/>
      <c r="BQ176" s="330"/>
      <c r="BR176" s="330"/>
      <c r="BS176" s="330"/>
      <c r="BT176" s="330"/>
      <c r="BU176" s="330"/>
      <c r="BV176" s="330"/>
      <c r="BW176" s="330"/>
      <c r="BX176" s="330"/>
      <c r="BY176" s="330"/>
      <c r="BZ176" s="330"/>
      <c r="CA176" s="330"/>
      <c r="CB176" s="330"/>
      <c r="CC176" s="330"/>
      <c r="CD176" s="330"/>
      <c r="CE176" s="330"/>
      <c r="CF176" s="330"/>
      <c r="CG176" s="330"/>
      <c r="CH176" s="330"/>
      <c r="CI176" s="330"/>
      <c r="CJ176" s="330"/>
      <c r="CK176" s="330"/>
      <c r="CL176" s="330"/>
      <c r="CM176" s="330"/>
      <c r="CN176" s="330"/>
      <c r="CO176" s="330"/>
      <c r="CP176" s="330"/>
      <c r="CQ176" s="330"/>
      <c r="CR176" s="330"/>
      <c r="CS176" s="330"/>
      <c r="CT176" s="330"/>
      <c r="CU176" s="330"/>
      <c r="CV176" s="330"/>
      <c r="CW176" s="330"/>
      <c r="CX176" s="330"/>
      <c r="CY176" s="330"/>
      <c r="CZ176" s="330"/>
      <c r="DA176" s="330"/>
      <c r="DB176" s="330"/>
      <c r="DC176" s="330"/>
      <c r="DD176" s="330"/>
      <c r="DE176" s="330"/>
      <c r="DF176" s="330"/>
      <c r="DG176" s="330"/>
      <c r="DH176" s="330"/>
      <c r="DI176" s="330"/>
      <c r="DJ176" s="330"/>
      <c r="DK176" s="330"/>
      <c r="DL176" s="330"/>
      <c r="DM176" s="330"/>
      <c r="DN176" s="330"/>
      <c r="DO176" s="330"/>
      <c r="DP176" s="330"/>
      <c r="DQ176" s="330"/>
      <c r="DR176" s="330"/>
      <c r="DS176" s="330"/>
      <c r="DT176" s="321">
        <v>45974</v>
      </c>
      <c r="DU176" s="288">
        <v>46105</v>
      </c>
      <c r="DV176" s="115">
        <v>46028</v>
      </c>
      <c r="DW176" s="321"/>
      <c r="DX176" s="321"/>
      <c r="DY176" s="321"/>
      <c r="DZ176" s="321"/>
      <c r="EA176" s="321"/>
      <c r="EB176" s="321"/>
      <c r="EC176" s="321"/>
      <c r="ED176" s="25"/>
      <c r="EE176" s="25"/>
      <c r="EF176" s="339"/>
      <c r="EG176" s="338"/>
      <c r="EH176" s="338"/>
    </row>
    <row r="177" spans="2:138" ht="31.15">
      <c r="B177" s="356" t="s">
        <v>368</v>
      </c>
      <c r="C177" s="358" t="s">
        <v>369</v>
      </c>
      <c r="D177" s="360" t="s">
        <v>270</v>
      </c>
      <c r="E177" s="358" t="s">
        <v>370</v>
      </c>
      <c r="F177" s="358" t="s">
        <v>250</v>
      </c>
      <c r="G177" s="358" t="s">
        <v>206</v>
      </c>
      <c r="H177" s="181" t="s">
        <v>147</v>
      </c>
      <c r="I177" s="75">
        <v>45894</v>
      </c>
      <c r="J177" s="182"/>
      <c r="K177" s="249">
        <v>45908</v>
      </c>
      <c r="L177" s="249" t="s">
        <v>148</v>
      </c>
      <c r="M177" s="182">
        <f>K177+7</f>
        <v>45915</v>
      </c>
      <c r="N177" s="182">
        <f>M177+7</f>
        <v>45922</v>
      </c>
      <c r="O177" s="182" t="s">
        <v>149</v>
      </c>
      <c r="P177" s="182">
        <f t="shared" ref="P177" si="1738">N177+7</f>
        <v>45929</v>
      </c>
      <c r="Q177" s="182">
        <f t="shared" ref="Q177" si="1739">P177+7</f>
        <v>45936</v>
      </c>
      <c r="R177" s="182">
        <f t="shared" ref="R177" si="1740">Q177+7</f>
        <v>45943</v>
      </c>
      <c r="S177" s="180" t="s">
        <v>149</v>
      </c>
      <c r="T177" s="180">
        <f t="shared" ref="T177" si="1741">R177+7</f>
        <v>45950</v>
      </c>
      <c r="U177" s="180">
        <f t="shared" ref="U177" si="1742">T177+7</f>
        <v>45957</v>
      </c>
      <c r="V177" s="180">
        <f t="shared" ref="V177" si="1743">U177+7</f>
        <v>45964</v>
      </c>
      <c r="W177" s="180" t="s">
        <v>149</v>
      </c>
      <c r="X177" s="180">
        <f t="shared" ref="X177" si="1744">V177+7</f>
        <v>45971</v>
      </c>
      <c r="Y177" s="180">
        <f t="shared" ref="Y177" si="1745">X177+7</f>
        <v>45978</v>
      </c>
      <c r="Z177" s="180">
        <f t="shared" ref="Z177" si="1746">Y177+7</f>
        <v>45985</v>
      </c>
      <c r="AA177" s="180" t="s">
        <v>149</v>
      </c>
      <c r="AB177" s="180">
        <f t="shared" ref="AB177" si="1747">Z177+7</f>
        <v>45992</v>
      </c>
      <c r="AC177" s="180">
        <f t="shared" ref="AC177" si="1748">AB177+7</f>
        <v>45999</v>
      </c>
      <c r="AD177" s="180">
        <f t="shared" ref="AD177" si="1749">AC177+7</f>
        <v>46006</v>
      </c>
      <c r="AE177" s="180" t="s">
        <v>149</v>
      </c>
      <c r="AF177" s="180">
        <f t="shared" ref="AF177" si="1750">AD177+7</f>
        <v>46013</v>
      </c>
      <c r="AG177" s="180">
        <f t="shared" ref="AG177" si="1751">AF177+7</f>
        <v>46020</v>
      </c>
      <c r="AH177" s="180">
        <f t="shared" ref="AH177" si="1752">AG177+7</f>
        <v>46027</v>
      </c>
      <c r="AI177" s="180" t="s">
        <v>149</v>
      </c>
      <c r="AJ177" s="180">
        <f t="shared" ref="AJ177" si="1753">AH177+7</f>
        <v>46034</v>
      </c>
      <c r="AK177" s="180">
        <f t="shared" ref="AK177" si="1754">AJ177+7</f>
        <v>46041</v>
      </c>
      <c r="AL177" s="180">
        <f t="shared" ref="AL177" si="1755">AK177+7</f>
        <v>46048</v>
      </c>
      <c r="AM177" s="180" t="s">
        <v>149</v>
      </c>
      <c r="AN177" s="180">
        <f t="shared" ref="AN177" si="1756">AL177+7</f>
        <v>46055</v>
      </c>
      <c r="AO177" s="180">
        <f t="shared" ref="AO177" si="1757">AN177+7</f>
        <v>46062</v>
      </c>
      <c r="AP177" s="180">
        <f t="shared" ref="AP177" si="1758">AO177+7</f>
        <v>46069</v>
      </c>
      <c r="AQ177" s="180" t="s">
        <v>149</v>
      </c>
      <c r="AR177" s="180">
        <f t="shared" ref="AR177" si="1759">AP177+7</f>
        <v>46076</v>
      </c>
      <c r="AS177" s="180">
        <f t="shared" ref="AS177" si="1760">AR177+7</f>
        <v>46083</v>
      </c>
      <c r="AT177" s="180">
        <f t="shared" ref="AT177" si="1761">AS177+7</f>
        <v>46090</v>
      </c>
      <c r="AU177" s="180" t="s">
        <v>149</v>
      </c>
      <c r="AV177" s="180">
        <f t="shared" ref="AV177" si="1762">AT177+7</f>
        <v>46097</v>
      </c>
      <c r="AW177" s="180">
        <f t="shared" ref="AW177" si="1763">AV177+7</f>
        <v>46104</v>
      </c>
      <c r="AX177" s="180">
        <f t="shared" ref="AX177" si="1764">AW177+7</f>
        <v>46111</v>
      </c>
      <c r="AY177" s="180" t="s">
        <v>149</v>
      </c>
      <c r="AZ177" s="180">
        <f t="shared" ref="AZ177" si="1765">AX177+7</f>
        <v>46118</v>
      </c>
      <c r="BA177" s="180">
        <f t="shared" ref="BA177" si="1766">AZ177+7</f>
        <v>46125</v>
      </c>
      <c r="BB177" s="180">
        <f t="shared" ref="BB177" si="1767">BA177+7</f>
        <v>46132</v>
      </c>
      <c r="BC177" s="180" t="s">
        <v>149</v>
      </c>
      <c r="BD177" s="180">
        <f t="shared" ref="BD177" si="1768">BB177+7</f>
        <v>46139</v>
      </c>
      <c r="BE177" s="180">
        <f t="shared" ref="BE177" si="1769">BD177+7</f>
        <v>46146</v>
      </c>
      <c r="BF177" s="180">
        <f t="shared" ref="BF177" si="1770">BE177+7</f>
        <v>46153</v>
      </c>
      <c r="BG177" s="180" t="s">
        <v>148</v>
      </c>
      <c r="BH177" s="180">
        <f t="shared" ref="BH177" si="1771">BF177+7</f>
        <v>46160</v>
      </c>
      <c r="BI177" s="180">
        <f t="shared" ref="BI177" si="1772">BH177+7</f>
        <v>46167</v>
      </c>
      <c r="BJ177" s="180">
        <f t="shared" ref="BJ177" si="1773">BI177+7</f>
        <v>46174</v>
      </c>
      <c r="BK177" s="180" t="s">
        <v>148</v>
      </c>
      <c r="BL177" s="180">
        <f t="shared" ref="BL177" si="1774">BJ177+7</f>
        <v>46181</v>
      </c>
      <c r="BM177" s="180">
        <f t="shared" ref="BM177" si="1775">BL177+7</f>
        <v>46188</v>
      </c>
      <c r="BN177" s="180">
        <f t="shared" ref="BN177" si="1776">BM177+7</f>
        <v>46195</v>
      </c>
      <c r="BO177" s="180" t="s">
        <v>149</v>
      </c>
      <c r="BP177" s="180">
        <f t="shared" ref="BP177" si="1777">BN177+7</f>
        <v>46202</v>
      </c>
      <c r="BQ177" s="180">
        <f t="shared" ref="BQ177" si="1778">BP177+7</f>
        <v>46209</v>
      </c>
      <c r="BR177" s="180">
        <f t="shared" ref="BR177" si="1779">BQ177+7</f>
        <v>46216</v>
      </c>
      <c r="BS177" s="180" t="s">
        <v>148</v>
      </c>
      <c r="BT177" s="180">
        <f t="shared" ref="BT177" si="1780">BR177+7</f>
        <v>46223</v>
      </c>
      <c r="BU177" s="180">
        <f t="shared" ref="BU177" si="1781">BT177+7</f>
        <v>46230</v>
      </c>
      <c r="BV177" s="180">
        <f t="shared" ref="BV177" si="1782">BU177+7</f>
        <v>46237</v>
      </c>
      <c r="BW177" s="180" t="s">
        <v>149</v>
      </c>
      <c r="BX177" s="180">
        <f t="shared" ref="BX177" si="1783">BV177+7</f>
        <v>46244</v>
      </c>
      <c r="BY177" s="180">
        <f t="shared" ref="BY177" si="1784">BX177+7</f>
        <v>46251</v>
      </c>
      <c r="BZ177" s="180">
        <f t="shared" ref="BZ177" si="1785">BY177+7</f>
        <v>46258</v>
      </c>
      <c r="CA177" s="180" t="s">
        <v>149</v>
      </c>
      <c r="CB177" s="180"/>
      <c r="CC177" s="180"/>
      <c r="CD177" s="180"/>
      <c r="CE177" s="180"/>
      <c r="CF177" s="180"/>
      <c r="CG177" s="180"/>
      <c r="CH177" s="180"/>
      <c r="CI177" s="180"/>
      <c r="CJ177" s="180"/>
      <c r="CK177" s="180"/>
      <c r="CL177" s="180"/>
      <c r="CM177" s="180"/>
      <c r="CN177" s="180"/>
      <c r="CO177" s="180"/>
      <c r="CP177" s="180"/>
      <c r="CQ177" s="180"/>
      <c r="CR177" s="180"/>
      <c r="CS177" s="180"/>
      <c r="CT177" s="180"/>
      <c r="CU177" s="180"/>
      <c r="CV177" s="180"/>
      <c r="CW177" s="180"/>
      <c r="CX177" s="180"/>
      <c r="CY177" s="180"/>
      <c r="CZ177" s="180"/>
      <c r="DA177" s="180"/>
      <c r="DB177" s="180"/>
      <c r="DC177" s="180"/>
      <c r="DD177" s="180"/>
      <c r="DE177" s="180"/>
      <c r="DF177" s="180"/>
      <c r="DG177" s="180"/>
      <c r="DH177" s="180"/>
      <c r="DI177" s="180"/>
      <c r="DJ177" s="180"/>
      <c r="DK177" s="180"/>
      <c r="DL177" s="180"/>
      <c r="DM177" s="180"/>
      <c r="DN177" s="180"/>
      <c r="DO177" s="180"/>
      <c r="DP177" s="180"/>
      <c r="DQ177" s="180"/>
      <c r="DR177" s="180"/>
      <c r="DS177" s="180"/>
      <c r="DT177" s="127">
        <v>46139</v>
      </c>
      <c r="DU177" s="127"/>
      <c r="DV177" s="125"/>
      <c r="DW177" s="125"/>
      <c r="DX177" s="125"/>
      <c r="DY177" s="125"/>
      <c r="DZ177" s="125"/>
      <c r="EA177" s="125"/>
      <c r="EB177" s="125"/>
      <c r="EC177" s="125"/>
      <c r="ED177" s="268"/>
      <c r="EE177" s="128"/>
      <c r="EF177" s="339"/>
      <c r="EG177" s="338"/>
      <c r="EH177" s="339"/>
    </row>
    <row r="178" spans="2:138" ht="27.75">
      <c r="B178" s="357"/>
      <c r="C178" s="359"/>
      <c r="D178" s="361"/>
      <c r="E178" s="359"/>
      <c r="F178" s="359"/>
      <c r="G178" s="359"/>
      <c r="H178" s="324" t="s">
        <v>150</v>
      </c>
      <c r="I178" s="169">
        <v>45894</v>
      </c>
      <c r="J178" s="324"/>
      <c r="K178" s="169">
        <v>45908</v>
      </c>
      <c r="L178" s="272" t="s">
        <v>148</v>
      </c>
      <c r="M178" s="202">
        <v>45929</v>
      </c>
      <c r="N178" s="169">
        <v>45943</v>
      </c>
      <c r="O178" s="324">
        <v>45950</v>
      </c>
      <c r="P178" s="169">
        <v>45957</v>
      </c>
      <c r="Q178" s="169">
        <v>45971</v>
      </c>
      <c r="R178" s="169">
        <v>45978</v>
      </c>
      <c r="S178" s="324">
        <v>45985</v>
      </c>
      <c r="T178" s="169">
        <v>45992</v>
      </c>
      <c r="U178" s="169">
        <v>46006</v>
      </c>
      <c r="V178" s="169">
        <v>46013</v>
      </c>
      <c r="W178" s="152">
        <v>46020</v>
      </c>
      <c r="X178" s="169">
        <v>46027</v>
      </c>
      <c r="Y178" s="169">
        <v>46034</v>
      </c>
      <c r="Z178" s="169">
        <v>46041</v>
      </c>
      <c r="AA178" s="176">
        <v>46048</v>
      </c>
      <c r="AB178" s="169">
        <v>46055</v>
      </c>
      <c r="AC178" s="169">
        <v>46062</v>
      </c>
      <c r="AD178" s="169">
        <v>46077</v>
      </c>
      <c r="AE178" s="177">
        <v>46084</v>
      </c>
      <c r="AF178" s="177">
        <v>46092</v>
      </c>
      <c r="AG178" s="177">
        <v>46106</v>
      </c>
      <c r="AH178" s="177">
        <v>46113</v>
      </c>
      <c r="AI178" s="177">
        <v>46120</v>
      </c>
      <c r="AJ178" s="177">
        <v>46125</v>
      </c>
      <c r="AK178" s="177"/>
      <c r="AL178" s="177"/>
      <c r="AM178" s="177"/>
      <c r="AN178" s="177"/>
      <c r="AO178" s="177"/>
      <c r="AP178" s="177"/>
      <c r="AQ178" s="178"/>
      <c r="AR178" s="177"/>
      <c r="AS178" s="177"/>
      <c r="AT178" s="177"/>
      <c r="AU178" s="177"/>
      <c r="AV178" s="177"/>
      <c r="AW178" s="177"/>
      <c r="AX178" s="177"/>
      <c r="AY178" s="177"/>
      <c r="AZ178" s="179"/>
      <c r="BA178" s="179"/>
      <c r="BB178" s="179"/>
      <c r="BC178" s="177"/>
      <c r="BD178" s="177"/>
      <c r="BE178" s="177"/>
      <c r="BF178" s="177"/>
      <c r="BG178" s="177"/>
      <c r="BH178" s="177"/>
      <c r="BI178" s="177"/>
      <c r="BJ178" s="177"/>
      <c r="BK178" s="177"/>
      <c r="BL178" s="177"/>
      <c r="BM178" s="177"/>
      <c r="BN178" s="177"/>
      <c r="BO178" s="177"/>
      <c r="BP178" s="177"/>
      <c r="BQ178" s="177"/>
      <c r="BR178" s="177"/>
      <c r="BS178" s="177"/>
      <c r="BT178" s="177"/>
      <c r="BU178" s="177"/>
      <c r="BV178" s="177"/>
      <c r="BW178" s="177"/>
      <c r="BX178" s="177"/>
      <c r="BY178" s="177"/>
      <c r="BZ178" s="177"/>
      <c r="CA178" s="177"/>
      <c r="CB178" s="177"/>
      <c r="CC178" s="177"/>
      <c r="CD178" s="177"/>
      <c r="CE178" s="177"/>
      <c r="CF178" s="177"/>
      <c r="CG178" s="177"/>
      <c r="CH178" s="177"/>
      <c r="CI178" s="177"/>
      <c r="CJ178" s="177"/>
      <c r="CK178" s="177"/>
      <c r="CL178" s="177"/>
      <c r="CM178" s="177"/>
      <c r="CN178" s="177"/>
      <c r="CO178" s="177"/>
      <c r="CP178" s="177"/>
      <c r="CQ178" s="177"/>
      <c r="CR178" s="177"/>
      <c r="CS178" s="177"/>
      <c r="CT178" s="177"/>
      <c r="CU178" s="177"/>
      <c r="CV178" s="177"/>
      <c r="CW178" s="177"/>
      <c r="CX178" s="177"/>
      <c r="CY178" s="177"/>
      <c r="CZ178" s="177"/>
      <c r="DA178" s="177"/>
      <c r="DB178" s="177"/>
      <c r="DC178" s="177"/>
      <c r="DD178" s="177"/>
      <c r="DE178" s="177"/>
      <c r="DF178" s="177"/>
      <c r="DG178" s="177"/>
      <c r="DH178" s="177"/>
      <c r="DI178" s="177"/>
      <c r="DJ178" s="177"/>
      <c r="DK178" s="177"/>
      <c r="DL178" s="177"/>
      <c r="DM178" s="177"/>
      <c r="DN178" s="177"/>
      <c r="DO178" s="177"/>
      <c r="DP178" s="177"/>
      <c r="DQ178" s="177"/>
      <c r="DR178" s="177"/>
      <c r="DS178" s="177"/>
      <c r="DT178" s="28">
        <v>46139</v>
      </c>
      <c r="DU178" s="132" t="s">
        <v>183</v>
      </c>
      <c r="DV178" s="69"/>
      <c r="DW178" s="69"/>
      <c r="DX178" s="69"/>
      <c r="DY178" s="69"/>
      <c r="DZ178" s="69"/>
      <c r="EA178" s="69"/>
      <c r="EB178" s="69"/>
      <c r="EC178" s="69"/>
      <c r="ED178" s="22"/>
      <c r="EE178" s="22"/>
      <c r="EF178" s="339"/>
      <c r="EG178" s="338"/>
      <c r="EH178" s="338"/>
    </row>
    <row r="179" spans="2:138" s="119" customFormat="1" ht="31.15">
      <c r="B179" s="352" t="s">
        <v>371</v>
      </c>
      <c r="C179" s="340" t="s">
        <v>372</v>
      </c>
      <c r="D179" s="342" t="s">
        <v>270</v>
      </c>
      <c r="E179" s="340" t="s">
        <v>373</v>
      </c>
      <c r="F179" s="340" t="s">
        <v>210</v>
      </c>
      <c r="G179" s="340" t="s">
        <v>148</v>
      </c>
      <c r="H179" s="40" t="s">
        <v>147</v>
      </c>
      <c r="I179" s="31">
        <v>45943</v>
      </c>
      <c r="J179" s="94"/>
      <c r="K179" s="233">
        <v>45960</v>
      </c>
      <c r="L179" s="233" t="s">
        <v>148</v>
      </c>
      <c r="M179" s="94">
        <v>45967</v>
      </c>
      <c r="N179" s="94">
        <f>M179+7</f>
        <v>45974</v>
      </c>
      <c r="O179" s="94" t="s">
        <v>149</v>
      </c>
      <c r="P179" s="94">
        <f t="shared" ref="P179" si="1786">N179+7</f>
        <v>45981</v>
      </c>
      <c r="Q179" s="94">
        <f t="shared" ref="Q179" si="1787">P179+7</f>
        <v>45988</v>
      </c>
      <c r="R179" s="94">
        <f t="shared" ref="R179" si="1788">Q179+7</f>
        <v>45995</v>
      </c>
      <c r="S179" s="141" t="s">
        <v>149</v>
      </c>
      <c r="T179" s="141">
        <f t="shared" ref="T179" si="1789">R179+7</f>
        <v>46002</v>
      </c>
      <c r="U179" s="141">
        <f t="shared" ref="U179" si="1790">T179+7</f>
        <v>46009</v>
      </c>
      <c r="V179" s="141">
        <f t="shared" ref="V179" si="1791">U179+7</f>
        <v>46016</v>
      </c>
      <c r="W179" s="141" t="s">
        <v>149</v>
      </c>
      <c r="X179" s="141">
        <f t="shared" ref="X179" si="1792">V179+7</f>
        <v>46023</v>
      </c>
      <c r="Y179" s="141">
        <f t="shared" ref="Y179" si="1793">X179+7</f>
        <v>46030</v>
      </c>
      <c r="Z179" s="141">
        <f t="shared" ref="Z179" si="1794">Y179+7</f>
        <v>46037</v>
      </c>
      <c r="AA179" s="141" t="s">
        <v>149</v>
      </c>
      <c r="AB179" s="141">
        <f t="shared" ref="AB179" si="1795">Z179+7</f>
        <v>46044</v>
      </c>
      <c r="AC179" s="141">
        <f t="shared" ref="AC179" si="1796">AB179+7</f>
        <v>46051</v>
      </c>
      <c r="AD179" s="141">
        <f t="shared" ref="AD179" si="1797">AC179+7</f>
        <v>46058</v>
      </c>
      <c r="AE179" s="141" t="s">
        <v>149</v>
      </c>
      <c r="AF179" s="141">
        <f t="shared" ref="AF179" si="1798">AD179+7</f>
        <v>46065</v>
      </c>
      <c r="AG179" s="141">
        <f t="shared" ref="AG179" si="1799">AF179+7</f>
        <v>46072</v>
      </c>
      <c r="AH179" s="141">
        <f t="shared" ref="AH179" si="1800">AG179+7</f>
        <v>46079</v>
      </c>
      <c r="AI179" s="141" t="s">
        <v>149</v>
      </c>
      <c r="AJ179" s="141">
        <f t="shared" ref="AJ179" si="1801">AH179+7</f>
        <v>46086</v>
      </c>
      <c r="AK179" s="141">
        <f t="shared" ref="AK179" si="1802">AJ179+7</f>
        <v>46093</v>
      </c>
      <c r="AL179" s="141">
        <f t="shared" ref="AL179" si="1803">AK179+7</f>
        <v>46100</v>
      </c>
      <c r="AM179" s="141" t="s">
        <v>149</v>
      </c>
      <c r="AN179" s="141">
        <f t="shared" ref="AN179" si="1804">AL179+7</f>
        <v>46107</v>
      </c>
      <c r="AO179" s="141">
        <f t="shared" ref="AO179" si="1805">AN179+7</f>
        <v>46114</v>
      </c>
      <c r="AP179" s="141">
        <f t="shared" ref="AP179" si="1806">AO179+7</f>
        <v>46121</v>
      </c>
      <c r="AQ179" s="141" t="s">
        <v>149</v>
      </c>
      <c r="AR179" s="141">
        <f t="shared" ref="AR179" si="1807">AP179+7</f>
        <v>46128</v>
      </c>
      <c r="AS179" s="141">
        <f t="shared" ref="AS179" si="1808">AR179+7</f>
        <v>46135</v>
      </c>
      <c r="AT179" s="141">
        <f t="shared" ref="AT179" si="1809">AS179+7</f>
        <v>46142</v>
      </c>
      <c r="AU179" s="141" t="s">
        <v>149</v>
      </c>
      <c r="AV179" s="141">
        <f t="shared" ref="AV179" si="1810">AT179+7</f>
        <v>46149</v>
      </c>
      <c r="AW179" s="141">
        <f t="shared" ref="AW179" si="1811">AV179+7</f>
        <v>46156</v>
      </c>
      <c r="AX179" s="141">
        <f t="shared" ref="AX179" si="1812">AW179+7</f>
        <v>46163</v>
      </c>
      <c r="AY179" s="141" t="s">
        <v>149</v>
      </c>
      <c r="AZ179" s="141">
        <f t="shared" ref="AZ179" si="1813">AX179+7</f>
        <v>46170</v>
      </c>
      <c r="BA179" s="141">
        <f t="shared" ref="BA179" si="1814">AZ179+7</f>
        <v>46177</v>
      </c>
      <c r="BB179" s="141">
        <f t="shared" ref="BB179" si="1815">BA179+7</f>
        <v>46184</v>
      </c>
      <c r="BC179" s="141" t="s">
        <v>149</v>
      </c>
      <c r="BD179" s="141">
        <f t="shared" ref="BD179" si="1816">BB179+7</f>
        <v>46191</v>
      </c>
      <c r="BE179" s="141">
        <f t="shared" ref="BE179" si="1817">BD179+7</f>
        <v>46198</v>
      </c>
      <c r="BF179" s="141">
        <f t="shared" ref="BF179" si="1818">BE179+7</f>
        <v>46205</v>
      </c>
      <c r="BG179" s="141" t="s">
        <v>148</v>
      </c>
      <c r="BH179" s="141">
        <f t="shared" ref="BH179" si="1819">BF179+7</f>
        <v>46212</v>
      </c>
      <c r="BI179" s="141">
        <f t="shared" ref="BI179" si="1820">BH179+7</f>
        <v>46219</v>
      </c>
      <c r="BJ179" s="141">
        <f t="shared" ref="BJ179" si="1821">BI179+7</f>
        <v>46226</v>
      </c>
      <c r="BK179" s="141" t="s">
        <v>148</v>
      </c>
      <c r="BL179" s="141">
        <f t="shared" ref="BL179" si="1822">BJ179+7</f>
        <v>46233</v>
      </c>
      <c r="BM179" s="141">
        <f t="shared" ref="BM179" si="1823">BL179+7</f>
        <v>46240</v>
      </c>
      <c r="BN179" s="141">
        <f t="shared" ref="BN179" si="1824">BM179+7</f>
        <v>46247</v>
      </c>
      <c r="BO179" s="141" t="s">
        <v>149</v>
      </c>
      <c r="BP179" s="141">
        <f t="shared" ref="BP179" si="1825">BN179+7</f>
        <v>46254</v>
      </c>
      <c r="BQ179" s="141">
        <f t="shared" ref="BQ179" si="1826">BP179+7</f>
        <v>46261</v>
      </c>
      <c r="BR179" s="141">
        <f t="shared" ref="BR179" si="1827">BQ179+7</f>
        <v>46268</v>
      </c>
      <c r="BS179" s="141" t="s">
        <v>148</v>
      </c>
      <c r="BT179" s="141">
        <f t="shared" ref="BT179" si="1828">BR179+7</f>
        <v>46275</v>
      </c>
      <c r="BU179" s="141">
        <f t="shared" ref="BU179" si="1829">BT179+7</f>
        <v>46282</v>
      </c>
      <c r="BV179" s="141">
        <f t="shared" ref="BV179" si="1830">BU179+7</f>
        <v>46289</v>
      </c>
      <c r="BW179" s="141" t="s">
        <v>149</v>
      </c>
      <c r="BX179" s="141">
        <f t="shared" ref="BX179" si="1831">BV179+7</f>
        <v>46296</v>
      </c>
      <c r="BY179" s="141">
        <f t="shared" ref="BY179" si="1832">BX179+7</f>
        <v>46303</v>
      </c>
      <c r="BZ179" s="141">
        <f t="shared" ref="BZ179" si="1833">BY179+7</f>
        <v>46310</v>
      </c>
      <c r="CA179" s="141" t="s">
        <v>149</v>
      </c>
      <c r="CB179" s="141"/>
      <c r="CC179" s="141"/>
      <c r="CD179" s="141"/>
      <c r="CE179" s="141"/>
      <c r="CF179" s="141"/>
      <c r="CG179" s="141"/>
      <c r="CH179" s="141"/>
      <c r="CI179" s="141"/>
      <c r="CJ179" s="141"/>
      <c r="CK179" s="141"/>
      <c r="CL179" s="141"/>
      <c r="CM179" s="141"/>
      <c r="CN179" s="141"/>
      <c r="CO179" s="141"/>
      <c r="CP179" s="141"/>
      <c r="CQ179" s="141"/>
      <c r="CR179" s="141"/>
      <c r="CS179" s="141"/>
      <c r="CT179" s="141"/>
      <c r="CU179" s="141"/>
      <c r="CV179" s="141"/>
      <c r="CW179" s="141"/>
      <c r="CX179" s="141"/>
      <c r="CY179" s="141"/>
      <c r="CZ179" s="141"/>
      <c r="DA179" s="141"/>
      <c r="DB179" s="141"/>
      <c r="DC179" s="141"/>
      <c r="DD179" s="141"/>
      <c r="DE179" s="141"/>
      <c r="DF179" s="141"/>
      <c r="DG179" s="141"/>
      <c r="DH179" s="141"/>
      <c r="DI179" s="141"/>
      <c r="DJ179" s="141"/>
      <c r="DK179" s="141"/>
      <c r="DL179" s="141"/>
      <c r="DM179" s="141"/>
      <c r="DN179" s="141"/>
      <c r="DO179" s="141"/>
      <c r="DP179" s="141"/>
      <c r="DQ179" s="141"/>
      <c r="DR179" s="141"/>
      <c r="DS179" s="141"/>
      <c r="DT179" s="141">
        <v>45987</v>
      </c>
      <c r="DU179" s="141">
        <v>45987</v>
      </c>
      <c r="DV179" s="40">
        <v>46038</v>
      </c>
      <c r="DW179" s="40"/>
      <c r="DX179" s="40"/>
      <c r="DY179" s="40"/>
      <c r="DZ179" s="40"/>
      <c r="EA179" s="40"/>
      <c r="EB179" s="40"/>
      <c r="EC179" s="40"/>
      <c r="ED179" s="267"/>
      <c r="EE179" s="35"/>
      <c r="EF179" s="344"/>
      <c r="EG179" s="345"/>
      <c r="EH179" s="344"/>
    </row>
    <row r="180" spans="2:138" s="119" customFormat="1" ht="31.15">
      <c r="B180" s="353"/>
      <c r="C180" s="341"/>
      <c r="D180" s="343"/>
      <c r="E180" s="341"/>
      <c r="F180" s="341"/>
      <c r="G180" s="341"/>
      <c r="H180" s="325" t="s">
        <v>150</v>
      </c>
      <c r="I180" s="112">
        <v>45943</v>
      </c>
      <c r="J180" s="325"/>
      <c r="K180" s="112">
        <v>45960</v>
      </c>
      <c r="L180" s="275" t="s">
        <v>148</v>
      </c>
      <c r="M180" s="195">
        <v>45967</v>
      </c>
      <c r="N180" s="112"/>
      <c r="O180" s="325"/>
      <c r="P180" s="112"/>
      <c r="Q180" s="112"/>
      <c r="R180" s="112"/>
      <c r="S180" s="325"/>
      <c r="T180" s="112"/>
      <c r="U180" s="112"/>
      <c r="V180" s="112"/>
      <c r="W180" s="46"/>
      <c r="X180" s="112"/>
      <c r="Y180" s="112"/>
      <c r="Z180" s="112"/>
      <c r="AA180" s="142"/>
      <c r="AB180" s="112"/>
      <c r="AC180" s="112"/>
      <c r="AD180" s="112"/>
      <c r="AE180" s="333"/>
      <c r="AF180" s="333"/>
      <c r="AG180" s="333"/>
      <c r="AH180" s="333"/>
      <c r="AI180" s="333"/>
      <c r="AJ180" s="333"/>
      <c r="AK180" s="333"/>
      <c r="AL180" s="333"/>
      <c r="AM180" s="333"/>
      <c r="AN180" s="333"/>
      <c r="AO180" s="333"/>
      <c r="AP180" s="333"/>
      <c r="AQ180" s="329"/>
      <c r="AR180" s="333"/>
      <c r="AS180" s="333"/>
      <c r="AT180" s="333"/>
      <c r="AU180" s="333"/>
      <c r="AV180" s="333"/>
      <c r="AW180" s="333"/>
      <c r="AX180" s="333"/>
      <c r="AY180" s="333"/>
      <c r="AZ180" s="143"/>
      <c r="BA180" s="143"/>
      <c r="BB180" s="143"/>
      <c r="BC180" s="333"/>
      <c r="BD180" s="333"/>
      <c r="BE180" s="333"/>
      <c r="BF180" s="333"/>
      <c r="BG180" s="333"/>
      <c r="BH180" s="333"/>
      <c r="BI180" s="333"/>
      <c r="BJ180" s="333"/>
      <c r="BK180" s="333"/>
      <c r="BL180" s="333"/>
      <c r="BM180" s="333"/>
      <c r="BN180" s="333"/>
      <c r="BO180" s="333"/>
      <c r="BP180" s="333"/>
      <c r="BQ180" s="333"/>
      <c r="BR180" s="333"/>
      <c r="BS180" s="333"/>
      <c r="BT180" s="333"/>
      <c r="BU180" s="333"/>
      <c r="BV180" s="333"/>
      <c r="BW180" s="333"/>
      <c r="BX180" s="333"/>
      <c r="BY180" s="333"/>
      <c r="BZ180" s="333"/>
      <c r="CA180" s="333"/>
      <c r="CB180" s="333"/>
      <c r="CC180" s="333"/>
      <c r="CD180" s="333"/>
      <c r="CE180" s="333"/>
      <c r="CF180" s="333"/>
      <c r="CG180" s="333"/>
      <c r="CH180" s="333"/>
      <c r="CI180" s="333"/>
      <c r="CJ180" s="333"/>
      <c r="CK180" s="333"/>
      <c r="CL180" s="333"/>
      <c r="CM180" s="333"/>
      <c r="CN180" s="333"/>
      <c r="CO180" s="333"/>
      <c r="CP180" s="333"/>
      <c r="CQ180" s="333"/>
      <c r="CR180" s="333"/>
      <c r="CS180" s="333"/>
      <c r="CT180" s="333"/>
      <c r="CU180" s="333"/>
      <c r="CV180" s="333"/>
      <c r="CW180" s="333"/>
      <c r="CX180" s="333"/>
      <c r="CY180" s="333"/>
      <c r="CZ180" s="333"/>
      <c r="DA180" s="333"/>
      <c r="DB180" s="333"/>
      <c r="DC180" s="333"/>
      <c r="DD180" s="333"/>
      <c r="DE180" s="333"/>
      <c r="DF180" s="333"/>
      <c r="DG180" s="333"/>
      <c r="DH180" s="333"/>
      <c r="DI180" s="333"/>
      <c r="DJ180" s="333"/>
      <c r="DK180" s="333"/>
      <c r="DL180" s="333"/>
      <c r="DM180" s="333"/>
      <c r="DN180" s="333"/>
      <c r="DO180" s="333"/>
      <c r="DP180" s="333"/>
      <c r="DQ180" s="333"/>
      <c r="DR180" s="333"/>
      <c r="DS180" s="333"/>
      <c r="DT180" s="333">
        <v>45987</v>
      </c>
      <c r="DU180" s="334">
        <v>45987</v>
      </c>
      <c r="DV180" s="46">
        <v>46038</v>
      </c>
      <c r="DW180" s="46">
        <v>46149</v>
      </c>
      <c r="DX180" s="46"/>
      <c r="DY180" s="46"/>
      <c r="DZ180" s="46"/>
      <c r="EA180" s="46"/>
      <c r="EB180" s="46"/>
      <c r="EC180" s="46"/>
      <c r="ED180" s="142"/>
      <c r="EE180" s="142"/>
      <c r="EF180" s="344"/>
      <c r="EG180" s="345"/>
      <c r="EH180" s="345"/>
    </row>
    <row r="181" spans="2:138" s="119" customFormat="1" ht="31.15">
      <c r="B181" s="352" t="s">
        <v>371</v>
      </c>
      <c r="C181" s="340" t="s">
        <v>374</v>
      </c>
      <c r="D181" s="340" t="s">
        <v>157</v>
      </c>
      <c r="E181" s="340" t="s">
        <v>375</v>
      </c>
      <c r="F181" s="340" t="s">
        <v>220</v>
      </c>
      <c r="G181" s="340" t="s">
        <v>206</v>
      </c>
      <c r="H181" s="106" t="s">
        <v>147</v>
      </c>
      <c r="I181" s="107">
        <v>45890</v>
      </c>
      <c r="J181" s="108"/>
      <c r="K181" s="219">
        <v>45908</v>
      </c>
      <c r="L181" s="233" t="s">
        <v>148</v>
      </c>
      <c r="M181" s="220">
        <f>K181+7</f>
        <v>45915</v>
      </c>
      <c r="N181" s="220">
        <f>M181+7</f>
        <v>45922</v>
      </c>
      <c r="O181" s="220" t="s">
        <v>149</v>
      </c>
      <c r="P181" s="220">
        <f>N181+7</f>
        <v>45929</v>
      </c>
      <c r="Q181" s="220">
        <f>P181+7</f>
        <v>45936</v>
      </c>
      <c r="R181" s="220">
        <f>Q181+7</f>
        <v>45943</v>
      </c>
      <c r="S181" s="221" t="s">
        <v>149</v>
      </c>
      <c r="T181" s="221">
        <f>R181+7</f>
        <v>45950</v>
      </c>
      <c r="U181" s="221">
        <f>T181+7</f>
        <v>45957</v>
      </c>
      <c r="V181" s="221">
        <f>U181+7</f>
        <v>45964</v>
      </c>
      <c r="W181" s="221" t="s">
        <v>149</v>
      </c>
      <c r="X181" s="221">
        <f>V181+7</f>
        <v>45971</v>
      </c>
      <c r="Y181" s="221">
        <f>X181+7</f>
        <v>45978</v>
      </c>
      <c r="Z181" s="221">
        <f>Y181+7</f>
        <v>45985</v>
      </c>
      <c r="AA181" s="221" t="s">
        <v>149</v>
      </c>
      <c r="AB181" s="221">
        <f>Z181+7</f>
        <v>45992</v>
      </c>
      <c r="AC181" s="221">
        <f>AB181+7</f>
        <v>45999</v>
      </c>
      <c r="AD181" s="221">
        <f>AC181+7</f>
        <v>46006</v>
      </c>
      <c r="AE181" s="221" t="s">
        <v>149</v>
      </c>
      <c r="AF181" s="221">
        <f>AD181+7</f>
        <v>46013</v>
      </c>
      <c r="AG181" s="221">
        <f>AF181+7</f>
        <v>46020</v>
      </c>
      <c r="AH181" s="221">
        <f>AG181+7</f>
        <v>46027</v>
      </c>
      <c r="AI181" s="221" t="s">
        <v>149</v>
      </c>
      <c r="AJ181" s="221">
        <f>AH181+7</f>
        <v>46034</v>
      </c>
      <c r="AK181" s="221">
        <f>AJ181+7</f>
        <v>46041</v>
      </c>
      <c r="AL181" s="221">
        <f>AK181+7</f>
        <v>46048</v>
      </c>
      <c r="AM181" s="221" t="s">
        <v>149</v>
      </c>
      <c r="AN181" s="221">
        <f>AL181+7</f>
        <v>46055</v>
      </c>
      <c r="AO181" s="221">
        <f>AN181+7</f>
        <v>46062</v>
      </c>
      <c r="AP181" s="221">
        <f>AO181+7</f>
        <v>46069</v>
      </c>
      <c r="AQ181" s="221" t="s">
        <v>149</v>
      </c>
      <c r="AR181" s="221">
        <f>AP181+7</f>
        <v>46076</v>
      </c>
      <c r="AS181" s="221">
        <f>AR181+7</f>
        <v>46083</v>
      </c>
      <c r="AT181" s="221">
        <f>AS181+7</f>
        <v>46090</v>
      </c>
      <c r="AU181" s="222" t="s">
        <v>149</v>
      </c>
      <c r="AV181" s="221">
        <f>AT181+7</f>
        <v>46097</v>
      </c>
      <c r="AW181" s="221">
        <f>AV181+7</f>
        <v>46104</v>
      </c>
      <c r="AX181" s="221">
        <f>AW181+7</f>
        <v>46111</v>
      </c>
      <c r="AY181" s="222" t="s">
        <v>149</v>
      </c>
      <c r="AZ181" s="221">
        <f>AX181+7</f>
        <v>46118</v>
      </c>
      <c r="BA181" s="221">
        <f>AZ181+7</f>
        <v>46125</v>
      </c>
      <c r="BB181" s="221">
        <f>BA181+7</f>
        <v>46132</v>
      </c>
      <c r="BC181" s="222" t="s">
        <v>149</v>
      </c>
      <c r="BD181" s="222"/>
      <c r="BE181" s="222"/>
      <c r="BF181" s="222"/>
      <c r="BG181" s="222"/>
      <c r="BH181" s="222"/>
      <c r="BI181" s="222"/>
      <c r="BJ181" s="222"/>
      <c r="BK181" s="222"/>
      <c r="BL181" s="222"/>
      <c r="BM181" s="222"/>
      <c r="BN181" s="222"/>
      <c r="BO181" s="222"/>
      <c r="BP181" s="222"/>
      <c r="BQ181" s="222"/>
      <c r="BR181" s="222"/>
      <c r="BS181" s="222"/>
      <c r="BT181" s="222"/>
      <c r="BU181" s="222"/>
      <c r="BV181" s="222"/>
      <c r="BW181" s="222"/>
      <c r="BX181" s="222"/>
      <c r="BY181" s="222"/>
      <c r="BZ181" s="332"/>
      <c r="CA181" s="332"/>
      <c r="CB181" s="332"/>
      <c r="CC181" s="332"/>
      <c r="CD181" s="332"/>
      <c r="CE181" s="332"/>
      <c r="CF181" s="332"/>
      <c r="CG181" s="332"/>
      <c r="CH181" s="332"/>
      <c r="CI181" s="332"/>
      <c r="CJ181" s="332"/>
      <c r="CK181" s="332"/>
      <c r="CL181" s="332"/>
      <c r="CM181" s="332"/>
      <c r="CN181" s="332"/>
      <c r="CO181" s="332"/>
      <c r="CP181" s="332"/>
      <c r="CQ181" s="332"/>
      <c r="CR181" s="332"/>
      <c r="CS181" s="332"/>
      <c r="CT181" s="332"/>
      <c r="CU181" s="332"/>
      <c r="CV181" s="332"/>
      <c r="CW181" s="332"/>
      <c r="CX181" s="332"/>
      <c r="CY181" s="332"/>
      <c r="CZ181" s="332"/>
      <c r="DA181" s="332"/>
      <c r="DB181" s="332"/>
      <c r="DC181" s="332"/>
      <c r="DD181" s="332"/>
      <c r="DE181" s="332"/>
      <c r="DF181" s="332"/>
      <c r="DG181" s="332"/>
      <c r="DH181" s="332"/>
      <c r="DI181" s="332"/>
      <c r="DJ181" s="332"/>
      <c r="DK181" s="332"/>
      <c r="DL181" s="332"/>
      <c r="DM181" s="332"/>
      <c r="DN181" s="332"/>
      <c r="DO181" s="332"/>
      <c r="DP181" s="332"/>
      <c r="DQ181" s="332"/>
      <c r="DR181" s="332"/>
      <c r="DS181" s="332"/>
      <c r="DT181" s="53">
        <v>45980</v>
      </c>
      <c r="DU181" s="53"/>
      <c r="DV181" s="106"/>
      <c r="DW181" s="106"/>
      <c r="DX181" s="106"/>
      <c r="DY181" s="106"/>
      <c r="DZ181" s="106"/>
      <c r="EA181" s="106"/>
      <c r="EB181" s="106"/>
      <c r="EC181" s="106"/>
      <c r="ED181" s="54"/>
      <c r="EE181" s="54"/>
      <c r="EF181" s="344"/>
      <c r="EG181" s="345"/>
      <c r="EH181" s="344"/>
    </row>
    <row r="182" spans="2:138" s="119" customFormat="1" ht="31.15">
      <c r="B182" s="353"/>
      <c r="C182" s="341"/>
      <c r="D182" s="341"/>
      <c r="E182" s="341"/>
      <c r="F182" s="341"/>
      <c r="G182" s="341"/>
      <c r="H182" s="325" t="s">
        <v>150</v>
      </c>
      <c r="I182" s="110">
        <v>45890</v>
      </c>
      <c r="J182" s="111"/>
      <c r="K182" s="112">
        <v>45908</v>
      </c>
      <c r="L182" s="275" t="s">
        <v>148</v>
      </c>
      <c r="M182" s="112">
        <v>45915</v>
      </c>
      <c r="N182" s="112">
        <v>45922</v>
      </c>
      <c r="O182" s="325">
        <v>45929</v>
      </c>
      <c r="P182" s="112">
        <v>45936</v>
      </c>
      <c r="Q182" s="112">
        <v>45957</v>
      </c>
      <c r="R182" s="112"/>
      <c r="S182" s="325"/>
      <c r="T182" s="112"/>
      <c r="U182" s="112"/>
      <c r="V182" s="112"/>
      <c r="W182" s="325"/>
      <c r="X182" s="112"/>
      <c r="Y182" s="112"/>
      <c r="Z182" s="112"/>
      <c r="AA182" s="325"/>
      <c r="AB182" s="112"/>
      <c r="AC182" s="112"/>
      <c r="AD182" s="112"/>
      <c r="AE182" s="325"/>
      <c r="AF182" s="112"/>
      <c r="AG182" s="112"/>
      <c r="AH182" s="112"/>
      <c r="AI182" s="325"/>
      <c r="AJ182" s="112"/>
      <c r="AK182" s="112"/>
      <c r="AL182" s="112"/>
      <c r="AM182" s="325"/>
      <c r="AN182" s="112"/>
      <c r="AO182" s="112"/>
      <c r="AP182" s="112"/>
      <c r="AQ182" s="325"/>
      <c r="AR182" s="112"/>
      <c r="AS182" s="112"/>
      <c r="AT182" s="112"/>
      <c r="AU182" s="328"/>
      <c r="AV182" s="112"/>
      <c r="AW182" s="112"/>
      <c r="AX182" s="112"/>
      <c r="AY182" s="328"/>
      <c r="AZ182" s="112"/>
      <c r="BA182" s="112"/>
      <c r="BB182" s="112"/>
      <c r="BC182" s="328"/>
      <c r="BD182" s="121"/>
      <c r="BE182" s="121"/>
      <c r="BF182" s="121"/>
      <c r="BG182" s="121"/>
      <c r="BH182" s="121"/>
      <c r="BI182" s="121"/>
      <c r="BJ182" s="121"/>
      <c r="BK182" s="121"/>
      <c r="BL182" s="121"/>
      <c r="BM182" s="121"/>
      <c r="BN182" s="121"/>
      <c r="BO182" s="121"/>
      <c r="BP182" s="121"/>
      <c r="BQ182" s="121"/>
      <c r="BR182" s="121"/>
      <c r="BS182" s="121"/>
      <c r="BT182" s="121"/>
      <c r="BU182" s="121"/>
      <c r="BV182" s="121"/>
      <c r="BW182" s="121"/>
      <c r="BX182" s="121"/>
      <c r="BY182" s="121"/>
      <c r="BZ182" s="121"/>
      <c r="CA182" s="121"/>
      <c r="CB182" s="121"/>
      <c r="CC182" s="121"/>
      <c r="CD182" s="121"/>
      <c r="CE182" s="121"/>
      <c r="CF182" s="121"/>
      <c r="CG182" s="121"/>
      <c r="CH182" s="121"/>
      <c r="CI182" s="121"/>
      <c r="CJ182" s="121"/>
      <c r="CK182" s="121"/>
      <c r="CL182" s="121"/>
      <c r="CM182" s="121"/>
      <c r="CN182" s="121"/>
      <c r="CO182" s="121"/>
      <c r="CP182" s="121"/>
      <c r="CQ182" s="121"/>
      <c r="CR182" s="121"/>
      <c r="CS182" s="121"/>
      <c r="CT182" s="121"/>
      <c r="CU182" s="121"/>
      <c r="CV182" s="121"/>
      <c r="CW182" s="121"/>
      <c r="CX182" s="121"/>
      <c r="CY182" s="121"/>
      <c r="CZ182" s="121"/>
      <c r="DA182" s="121"/>
      <c r="DB182" s="121"/>
      <c r="DC182" s="121"/>
      <c r="DD182" s="121"/>
      <c r="DE182" s="121"/>
      <c r="DF182" s="121"/>
      <c r="DG182" s="121"/>
      <c r="DH182" s="121"/>
      <c r="DI182" s="121"/>
      <c r="DJ182" s="121"/>
      <c r="DK182" s="121"/>
      <c r="DL182" s="121"/>
      <c r="DM182" s="121"/>
      <c r="DN182" s="121"/>
      <c r="DO182" s="121"/>
      <c r="DP182" s="121"/>
      <c r="DQ182" s="121"/>
      <c r="DR182" s="121"/>
      <c r="DS182" s="121"/>
      <c r="DT182" s="112">
        <v>45980</v>
      </c>
      <c r="DU182" s="134">
        <v>45993</v>
      </c>
      <c r="DV182" s="134">
        <v>46004</v>
      </c>
      <c r="DW182" s="325"/>
      <c r="DX182" s="325"/>
      <c r="DY182" s="325"/>
      <c r="DZ182" s="325"/>
      <c r="EA182" s="325"/>
      <c r="EB182" s="325"/>
      <c r="EC182" s="325"/>
      <c r="ED182" s="61"/>
      <c r="EE182" s="61"/>
      <c r="EF182" s="344"/>
      <c r="EG182" s="345"/>
      <c r="EH182" s="345"/>
    </row>
    <row r="183" spans="2:138" ht="31.15">
      <c r="B183" s="356" t="s">
        <v>371</v>
      </c>
      <c r="C183" s="358" t="s">
        <v>376</v>
      </c>
      <c r="D183" s="358" t="s">
        <v>157</v>
      </c>
      <c r="E183" s="358" t="s">
        <v>377</v>
      </c>
      <c r="F183" s="358" t="s">
        <v>220</v>
      </c>
      <c r="G183" s="358" t="s">
        <v>206</v>
      </c>
      <c r="H183" s="164" t="s">
        <v>147</v>
      </c>
      <c r="I183" s="171">
        <v>45908</v>
      </c>
      <c r="J183" s="172"/>
      <c r="K183" s="228">
        <v>45915</v>
      </c>
      <c r="L183" s="249" t="s">
        <v>148</v>
      </c>
      <c r="M183" s="229">
        <f>K183+7</f>
        <v>45922</v>
      </c>
      <c r="N183" s="229">
        <f>M183+7</f>
        <v>45929</v>
      </c>
      <c r="O183" s="229" t="s">
        <v>149</v>
      </c>
      <c r="P183" s="229">
        <f>N183+7</f>
        <v>45936</v>
      </c>
      <c r="Q183" s="229">
        <f>P183+7</f>
        <v>45943</v>
      </c>
      <c r="R183" s="229">
        <f>Q183+7</f>
        <v>45950</v>
      </c>
      <c r="S183" s="230" t="s">
        <v>149</v>
      </c>
      <c r="T183" s="230">
        <f>R183+7</f>
        <v>45957</v>
      </c>
      <c r="U183" s="230">
        <f>T183+7</f>
        <v>45964</v>
      </c>
      <c r="V183" s="230">
        <f>U183+7</f>
        <v>45971</v>
      </c>
      <c r="W183" s="230" t="s">
        <v>149</v>
      </c>
      <c r="X183" s="230">
        <f>V183+7</f>
        <v>45978</v>
      </c>
      <c r="Y183" s="230">
        <f>X183+7</f>
        <v>45985</v>
      </c>
      <c r="Z183" s="230">
        <f>Y183+7</f>
        <v>45992</v>
      </c>
      <c r="AA183" s="230" t="s">
        <v>149</v>
      </c>
      <c r="AB183" s="230">
        <f>Z183+7</f>
        <v>45999</v>
      </c>
      <c r="AC183" s="230">
        <f>AB183+7</f>
        <v>46006</v>
      </c>
      <c r="AD183" s="230">
        <f>AC183+7</f>
        <v>46013</v>
      </c>
      <c r="AE183" s="230" t="s">
        <v>149</v>
      </c>
      <c r="AF183" s="230">
        <f>AD183+7</f>
        <v>46020</v>
      </c>
      <c r="AG183" s="230">
        <f>AF183+7</f>
        <v>46027</v>
      </c>
      <c r="AH183" s="230">
        <f>AG183+7</f>
        <v>46034</v>
      </c>
      <c r="AI183" s="230" t="s">
        <v>149</v>
      </c>
      <c r="AJ183" s="230">
        <f>AH183+7</f>
        <v>46041</v>
      </c>
      <c r="AK183" s="230">
        <f>AJ183+7</f>
        <v>46048</v>
      </c>
      <c r="AL183" s="230">
        <f>AK183+7</f>
        <v>46055</v>
      </c>
      <c r="AM183" s="230" t="s">
        <v>149</v>
      </c>
      <c r="AN183" s="230">
        <f>AL183+7</f>
        <v>46062</v>
      </c>
      <c r="AO183" s="230">
        <f>AN183+7</f>
        <v>46069</v>
      </c>
      <c r="AP183" s="230">
        <f>AO183+7</f>
        <v>46076</v>
      </c>
      <c r="AQ183" s="230" t="s">
        <v>149</v>
      </c>
      <c r="AR183" s="230">
        <f>AP183+7</f>
        <v>46083</v>
      </c>
      <c r="AS183" s="230">
        <f>AR183+7</f>
        <v>46090</v>
      </c>
      <c r="AT183" s="230">
        <f>AS183+7</f>
        <v>46097</v>
      </c>
      <c r="AU183" s="231" t="s">
        <v>149</v>
      </c>
      <c r="AV183" s="230">
        <f>AT183+7</f>
        <v>46104</v>
      </c>
      <c r="AW183" s="230">
        <f>AV183+7</f>
        <v>46111</v>
      </c>
      <c r="AX183" s="230">
        <f>AW183+7</f>
        <v>46118</v>
      </c>
      <c r="AY183" s="231" t="s">
        <v>149</v>
      </c>
      <c r="AZ183" s="230">
        <f>AX183+7</f>
        <v>46125</v>
      </c>
      <c r="BA183" s="230">
        <f>AZ183+7</f>
        <v>46132</v>
      </c>
      <c r="BB183" s="230">
        <f>BA183+7</f>
        <v>46139</v>
      </c>
      <c r="BC183" s="231" t="s">
        <v>149</v>
      </c>
      <c r="BD183" s="231"/>
      <c r="BE183" s="231"/>
      <c r="BF183" s="231"/>
      <c r="BG183" s="231"/>
      <c r="BH183" s="231"/>
      <c r="BI183" s="231"/>
      <c r="BJ183" s="231"/>
      <c r="BK183" s="231"/>
      <c r="BL183" s="231"/>
      <c r="BM183" s="231"/>
      <c r="BN183" s="231"/>
      <c r="BO183" s="231"/>
      <c r="BP183" s="231"/>
      <c r="BQ183" s="231"/>
      <c r="BR183" s="231"/>
      <c r="BS183" s="231"/>
      <c r="BT183" s="231"/>
      <c r="BU183" s="231"/>
      <c r="BV183" s="231"/>
      <c r="BW183" s="231"/>
      <c r="BX183" s="231"/>
      <c r="BY183" s="231"/>
      <c r="BZ183" s="168"/>
      <c r="CA183" s="168"/>
      <c r="CB183" s="168"/>
      <c r="CC183" s="168"/>
      <c r="CD183" s="168"/>
      <c r="CE183" s="168"/>
      <c r="CF183" s="168"/>
      <c r="CG183" s="168"/>
      <c r="CH183" s="168"/>
      <c r="CI183" s="168"/>
      <c r="CJ183" s="168"/>
      <c r="CK183" s="168"/>
      <c r="CL183" s="168"/>
      <c r="CM183" s="168"/>
      <c r="CN183" s="168"/>
      <c r="CO183" s="168"/>
      <c r="CP183" s="168"/>
      <c r="CQ183" s="168"/>
      <c r="CR183" s="168"/>
      <c r="CS183" s="168"/>
      <c r="CT183" s="168"/>
      <c r="CU183" s="168"/>
      <c r="CV183" s="168"/>
      <c r="CW183" s="168"/>
      <c r="CX183" s="168"/>
      <c r="CY183" s="168"/>
      <c r="CZ183" s="168"/>
      <c r="DA183" s="168"/>
      <c r="DB183" s="168"/>
      <c r="DC183" s="168"/>
      <c r="DD183" s="168"/>
      <c r="DE183" s="168"/>
      <c r="DF183" s="168"/>
      <c r="DG183" s="168"/>
      <c r="DH183" s="168"/>
      <c r="DI183" s="168"/>
      <c r="DJ183" s="168"/>
      <c r="DK183" s="168"/>
      <c r="DL183" s="168"/>
      <c r="DM183" s="168"/>
      <c r="DN183" s="168"/>
      <c r="DO183" s="168"/>
      <c r="DP183" s="168"/>
      <c r="DQ183" s="168"/>
      <c r="DR183" s="168"/>
      <c r="DS183" s="168"/>
      <c r="DT183" s="211">
        <v>45974</v>
      </c>
      <c r="DU183" s="211">
        <v>45992</v>
      </c>
      <c r="DV183" s="209"/>
      <c r="DW183" s="209"/>
      <c r="DX183" s="209"/>
      <c r="DY183" s="209"/>
      <c r="DZ183" s="209"/>
      <c r="EA183" s="209"/>
      <c r="EB183" s="209"/>
      <c r="EC183" s="209"/>
      <c r="ED183" s="21"/>
      <c r="EE183" s="21"/>
      <c r="EF183" s="339"/>
      <c r="EG183" s="338"/>
      <c r="EH183" s="339"/>
    </row>
    <row r="184" spans="2:138" ht="31.15">
      <c r="B184" s="357"/>
      <c r="C184" s="359"/>
      <c r="D184" s="359"/>
      <c r="E184" s="359"/>
      <c r="F184" s="359"/>
      <c r="G184" s="359"/>
      <c r="H184" s="324" t="s">
        <v>150</v>
      </c>
      <c r="I184" s="174">
        <v>45908</v>
      </c>
      <c r="J184" s="175"/>
      <c r="K184" s="169">
        <v>45915</v>
      </c>
      <c r="L184" s="272" t="s">
        <v>148</v>
      </c>
      <c r="M184" s="169">
        <v>45922</v>
      </c>
      <c r="N184" s="169">
        <v>45929</v>
      </c>
      <c r="O184" s="324">
        <v>45936</v>
      </c>
      <c r="P184" s="169">
        <v>45944</v>
      </c>
      <c r="Q184" s="169">
        <v>45950</v>
      </c>
      <c r="R184" s="169">
        <v>45957</v>
      </c>
      <c r="S184" s="324"/>
      <c r="T184" s="169"/>
      <c r="U184" s="169"/>
      <c r="V184" s="169"/>
      <c r="W184" s="324"/>
      <c r="X184" s="169"/>
      <c r="Y184" s="169"/>
      <c r="Z184" s="169"/>
      <c r="AA184" s="324"/>
      <c r="AB184" s="169"/>
      <c r="AC184" s="169"/>
      <c r="AD184" s="169"/>
      <c r="AE184" s="324"/>
      <c r="AF184" s="169"/>
      <c r="AG184" s="169"/>
      <c r="AH184" s="169"/>
      <c r="AI184" s="324"/>
      <c r="AJ184" s="169"/>
      <c r="AK184" s="169"/>
      <c r="AL184" s="169"/>
      <c r="AM184" s="324"/>
      <c r="AN184" s="169"/>
      <c r="AO184" s="169"/>
      <c r="AP184" s="169"/>
      <c r="AQ184" s="324"/>
      <c r="AR184" s="169"/>
      <c r="AS184" s="169"/>
      <c r="AT184" s="169"/>
      <c r="AU184" s="80"/>
      <c r="AV184" s="169"/>
      <c r="AW184" s="169"/>
      <c r="AX184" s="169"/>
      <c r="AY184" s="80"/>
      <c r="AZ184" s="169"/>
      <c r="BA184" s="169"/>
      <c r="BB184" s="169"/>
      <c r="BC184" s="80"/>
      <c r="BD184" s="170"/>
      <c r="BE184" s="170"/>
      <c r="BF184" s="170"/>
      <c r="BG184" s="170"/>
      <c r="BH184" s="170"/>
      <c r="BI184" s="170"/>
      <c r="BJ184" s="170"/>
      <c r="BK184" s="170"/>
      <c r="BL184" s="170"/>
      <c r="BM184" s="170"/>
      <c r="BN184" s="170"/>
      <c r="BO184" s="170"/>
      <c r="BP184" s="170"/>
      <c r="BQ184" s="170"/>
      <c r="BR184" s="170"/>
      <c r="BS184" s="170"/>
      <c r="BT184" s="170"/>
      <c r="BU184" s="170"/>
      <c r="BV184" s="170"/>
      <c r="BW184" s="170"/>
      <c r="BX184" s="170"/>
      <c r="BY184" s="170"/>
      <c r="BZ184" s="170"/>
      <c r="CA184" s="170"/>
      <c r="CB184" s="170"/>
      <c r="CC184" s="170"/>
      <c r="CD184" s="170"/>
      <c r="CE184" s="170"/>
      <c r="CF184" s="170"/>
      <c r="CG184" s="170"/>
      <c r="CH184" s="170"/>
      <c r="CI184" s="170"/>
      <c r="CJ184" s="170"/>
      <c r="CK184" s="170"/>
      <c r="CL184" s="170"/>
      <c r="CM184" s="170"/>
      <c r="CN184" s="170"/>
      <c r="CO184" s="170"/>
      <c r="CP184" s="170"/>
      <c r="CQ184" s="170"/>
      <c r="CR184" s="170"/>
      <c r="CS184" s="170"/>
      <c r="CT184" s="170"/>
      <c r="CU184" s="170"/>
      <c r="CV184" s="170"/>
      <c r="CW184" s="170"/>
      <c r="CX184" s="170"/>
      <c r="CY184" s="170"/>
      <c r="CZ184" s="170"/>
      <c r="DA184" s="170"/>
      <c r="DB184" s="170"/>
      <c r="DC184" s="170"/>
      <c r="DD184" s="170"/>
      <c r="DE184" s="170"/>
      <c r="DF184" s="170"/>
      <c r="DG184" s="170"/>
      <c r="DH184" s="170"/>
      <c r="DI184" s="170"/>
      <c r="DJ184" s="170"/>
      <c r="DK184" s="170"/>
      <c r="DL184" s="170"/>
      <c r="DM184" s="170"/>
      <c r="DN184" s="170"/>
      <c r="DO184" s="170"/>
      <c r="DP184" s="170"/>
      <c r="DQ184" s="170"/>
      <c r="DR184" s="170"/>
      <c r="DS184" s="170"/>
      <c r="DT184" s="113">
        <v>45974</v>
      </c>
      <c r="DU184" s="140">
        <v>45992</v>
      </c>
      <c r="DV184" s="140">
        <v>46157</v>
      </c>
      <c r="DW184" s="320"/>
      <c r="DX184" s="320"/>
      <c r="DY184" s="320"/>
      <c r="DZ184" s="320"/>
      <c r="EA184" s="320"/>
      <c r="EB184" s="320"/>
      <c r="EC184" s="320"/>
      <c r="ED184" s="214"/>
      <c r="EE184" s="214"/>
      <c r="EF184" s="339"/>
      <c r="EG184" s="338"/>
      <c r="EH184" s="338"/>
    </row>
    <row r="185" spans="2:138" ht="31.15">
      <c r="B185" s="356" t="s">
        <v>371</v>
      </c>
      <c r="C185" s="358" t="s">
        <v>378</v>
      </c>
      <c r="D185" s="360" t="s">
        <v>270</v>
      </c>
      <c r="E185" s="362" t="s">
        <v>379</v>
      </c>
      <c r="F185" s="358" t="s">
        <v>210</v>
      </c>
      <c r="G185" s="358" t="s">
        <v>206</v>
      </c>
      <c r="H185" s="181" t="s">
        <v>147</v>
      </c>
      <c r="I185" s="75">
        <v>45985</v>
      </c>
      <c r="J185" s="182"/>
      <c r="K185" s="249">
        <v>45995</v>
      </c>
      <c r="L185" s="249" t="s">
        <v>148</v>
      </c>
      <c r="M185" s="182">
        <v>46002</v>
      </c>
      <c r="N185" s="182">
        <f>M185+7</f>
        <v>46009</v>
      </c>
      <c r="O185" s="182" t="s">
        <v>149</v>
      </c>
      <c r="P185" s="182">
        <f t="shared" ref="P185" si="1834">N185+7</f>
        <v>46016</v>
      </c>
      <c r="Q185" s="182">
        <f t="shared" ref="Q185" si="1835">P185+7</f>
        <v>46023</v>
      </c>
      <c r="R185" s="182">
        <f t="shared" ref="R185" si="1836">Q185+7</f>
        <v>46030</v>
      </c>
      <c r="S185" s="180" t="s">
        <v>149</v>
      </c>
      <c r="T185" s="180">
        <f t="shared" ref="T185" si="1837">R185+7</f>
        <v>46037</v>
      </c>
      <c r="U185" s="180">
        <f t="shared" ref="U185" si="1838">T185+7</f>
        <v>46044</v>
      </c>
      <c r="V185" s="180">
        <f t="shared" ref="V185" si="1839">U185+7</f>
        <v>46051</v>
      </c>
      <c r="W185" s="180" t="s">
        <v>149</v>
      </c>
      <c r="X185" s="180">
        <f t="shared" ref="X185" si="1840">V185+7</f>
        <v>46058</v>
      </c>
      <c r="Y185" s="180">
        <f t="shared" ref="Y185" si="1841">X185+7</f>
        <v>46065</v>
      </c>
      <c r="Z185" s="180">
        <f t="shared" ref="Z185" si="1842">Y185+7</f>
        <v>46072</v>
      </c>
      <c r="AA185" s="180" t="s">
        <v>149</v>
      </c>
      <c r="AB185" s="180">
        <f t="shared" ref="AB185" si="1843">Z185+7</f>
        <v>46079</v>
      </c>
      <c r="AC185" s="180">
        <f t="shared" ref="AC185" si="1844">AB185+7</f>
        <v>46086</v>
      </c>
      <c r="AD185" s="180">
        <f t="shared" ref="AD185" si="1845">AC185+7</f>
        <v>46093</v>
      </c>
      <c r="AE185" s="180" t="s">
        <v>149</v>
      </c>
      <c r="AF185" s="180">
        <f t="shared" ref="AF185" si="1846">AD185+7</f>
        <v>46100</v>
      </c>
      <c r="AG185" s="180">
        <f t="shared" ref="AG185" si="1847">AF185+7</f>
        <v>46107</v>
      </c>
      <c r="AH185" s="180">
        <f t="shared" ref="AH185" si="1848">AG185+7</f>
        <v>46114</v>
      </c>
      <c r="AI185" s="180" t="s">
        <v>149</v>
      </c>
      <c r="AJ185" s="180">
        <f t="shared" ref="AJ185" si="1849">AH185+7</f>
        <v>46121</v>
      </c>
      <c r="AK185" s="180">
        <f t="shared" ref="AK185" si="1850">AJ185+7</f>
        <v>46128</v>
      </c>
      <c r="AL185" s="180">
        <f t="shared" ref="AL185" si="1851">AK185+7</f>
        <v>46135</v>
      </c>
      <c r="AM185" s="180" t="s">
        <v>149</v>
      </c>
      <c r="AN185" s="180">
        <f t="shared" ref="AN185" si="1852">AL185+7</f>
        <v>46142</v>
      </c>
      <c r="AO185" s="180">
        <f t="shared" ref="AO185" si="1853">AN185+7</f>
        <v>46149</v>
      </c>
      <c r="AP185" s="180">
        <f t="shared" ref="AP185" si="1854">AO185+7</f>
        <v>46156</v>
      </c>
      <c r="AQ185" s="180" t="s">
        <v>149</v>
      </c>
      <c r="AR185" s="180">
        <f t="shared" ref="AR185" si="1855">AP185+7</f>
        <v>46163</v>
      </c>
      <c r="AS185" s="180">
        <f t="shared" ref="AS185" si="1856">AR185+7</f>
        <v>46170</v>
      </c>
      <c r="AT185" s="180">
        <f t="shared" ref="AT185" si="1857">AS185+7</f>
        <v>46177</v>
      </c>
      <c r="AU185" s="180" t="s">
        <v>149</v>
      </c>
      <c r="AV185" s="180">
        <f t="shared" ref="AV185" si="1858">AT185+7</f>
        <v>46184</v>
      </c>
      <c r="AW185" s="180">
        <f t="shared" ref="AW185" si="1859">AV185+7</f>
        <v>46191</v>
      </c>
      <c r="AX185" s="180">
        <f t="shared" ref="AX185" si="1860">AW185+7</f>
        <v>46198</v>
      </c>
      <c r="AY185" s="180" t="s">
        <v>149</v>
      </c>
      <c r="AZ185" s="180">
        <f t="shared" ref="AZ185" si="1861">AX185+7</f>
        <v>46205</v>
      </c>
      <c r="BA185" s="180">
        <f t="shared" ref="BA185" si="1862">AZ185+7</f>
        <v>46212</v>
      </c>
      <c r="BB185" s="180">
        <f t="shared" ref="BB185" si="1863">BA185+7</f>
        <v>46219</v>
      </c>
      <c r="BC185" s="180" t="s">
        <v>149</v>
      </c>
      <c r="BD185" s="180">
        <f t="shared" ref="BD185" si="1864">BB185+7</f>
        <v>46226</v>
      </c>
      <c r="BE185" s="180">
        <f t="shared" ref="BE185" si="1865">BD185+7</f>
        <v>46233</v>
      </c>
      <c r="BF185" s="180">
        <f t="shared" ref="BF185" si="1866">BE185+7</f>
        <v>46240</v>
      </c>
      <c r="BG185" s="180" t="s">
        <v>148</v>
      </c>
      <c r="BH185" s="180">
        <f t="shared" ref="BH185" si="1867">BF185+7</f>
        <v>46247</v>
      </c>
      <c r="BI185" s="180">
        <f t="shared" ref="BI185" si="1868">BH185+7</f>
        <v>46254</v>
      </c>
      <c r="BJ185" s="180">
        <f t="shared" ref="BJ185" si="1869">BI185+7</f>
        <v>46261</v>
      </c>
      <c r="BK185" s="180" t="s">
        <v>148</v>
      </c>
      <c r="BL185" s="180">
        <f t="shared" ref="BL185" si="1870">BJ185+7</f>
        <v>46268</v>
      </c>
      <c r="BM185" s="180">
        <f t="shared" ref="BM185" si="1871">BL185+7</f>
        <v>46275</v>
      </c>
      <c r="BN185" s="180">
        <f t="shared" ref="BN185" si="1872">BM185+7</f>
        <v>46282</v>
      </c>
      <c r="BO185" s="180" t="s">
        <v>149</v>
      </c>
      <c r="BP185" s="180">
        <f t="shared" ref="BP185" si="1873">BN185+7</f>
        <v>46289</v>
      </c>
      <c r="BQ185" s="180">
        <f t="shared" ref="BQ185" si="1874">BP185+7</f>
        <v>46296</v>
      </c>
      <c r="BR185" s="180">
        <f t="shared" ref="BR185" si="1875">BQ185+7</f>
        <v>46303</v>
      </c>
      <c r="BS185" s="180" t="s">
        <v>148</v>
      </c>
      <c r="BT185" s="180">
        <f t="shared" ref="BT185" si="1876">BR185+7</f>
        <v>46310</v>
      </c>
      <c r="BU185" s="180">
        <f t="shared" ref="BU185" si="1877">BT185+7</f>
        <v>46317</v>
      </c>
      <c r="BV185" s="180">
        <f t="shared" ref="BV185" si="1878">BU185+7</f>
        <v>46324</v>
      </c>
      <c r="BW185" s="180" t="s">
        <v>149</v>
      </c>
      <c r="BX185" s="180">
        <f t="shared" ref="BX185" si="1879">BV185+7</f>
        <v>46331</v>
      </c>
      <c r="BY185" s="180">
        <f t="shared" ref="BY185" si="1880">BX185+7</f>
        <v>46338</v>
      </c>
      <c r="BZ185" s="180">
        <f t="shared" ref="BZ185" si="1881">BY185+7</f>
        <v>46345</v>
      </c>
      <c r="CA185" s="180" t="s">
        <v>149</v>
      </c>
      <c r="CB185" s="180"/>
      <c r="CC185" s="180"/>
      <c r="CD185" s="180"/>
      <c r="CE185" s="180"/>
      <c r="CF185" s="180"/>
      <c r="CG185" s="180"/>
      <c r="CH185" s="180"/>
      <c r="CI185" s="180"/>
      <c r="CJ185" s="180"/>
      <c r="CK185" s="180"/>
      <c r="CL185" s="180"/>
      <c r="CM185" s="180"/>
      <c r="CN185" s="180"/>
      <c r="CO185" s="180"/>
      <c r="CP185" s="180"/>
      <c r="CQ185" s="180"/>
      <c r="CR185" s="180"/>
      <c r="CS185" s="180"/>
      <c r="CT185" s="180"/>
      <c r="CU185" s="180"/>
      <c r="CV185" s="180"/>
      <c r="CW185" s="180"/>
      <c r="CX185" s="180"/>
      <c r="CY185" s="180"/>
      <c r="CZ185" s="180"/>
      <c r="DA185" s="180"/>
      <c r="DB185" s="180"/>
      <c r="DC185" s="180"/>
      <c r="DD185" s="180"/>
      <c r="DE185" s="180"/>
      <c r="DF185" s="180"/>
      <c r="DG185" s="180"/>
      <c r="DH185" s="180"/>
      <c r="DI185" s="180"/>
      <c r="DJ185" s="180"/>
      <c r="DK185" s="180"/>
      <c r="DL185" s="180"/>
      <c r="DM185" s="180"/>
      <c r="DN185" s="180"/>
      <c r="DO185" s="180"/>
      <c r="DP185" s="180"/>
      <c r="DQ185" s="180"/>
      <c r="DR185" s="180"/>
      <c r="DS185" s="180"/>
      <c r="DT185" s="127">
        <v>46057</v>
      </c>
      <c r="DU185" s="127"/>
      <c r="DV185" s="125"/>
      <c r="DW185" s="125"/>
      <c r="DX185" s="125"/>
      <c r="DY185" s="125"/>
      <c r="DZ185" s="125"/>
      <c r="EA185" s="125"/>
      <c r="EB185" s="125"/>
      <c r="EC185" s="125"/>
      <c r="ED185" s="268"/>
      <c r="EE185" s="128"/>
      <c r="EF185" s="339"/>
      <c r="EG185" s="338"/>
      <c r="EH185" s="339"/>
    </row>
    <row r="186" spans="2:138" ht="31.15">
      <c r="B186" s="357"/>
      <c r="C186" s="359"/>
      <c r="D186" s="361"/>
      <c r="E186" s="363"/>
      <c r="F186" s="359"/>
      <c r="G186" s="359"/>
      <c r="H186" s="324" t="s">
        <v>150</v>
      </c>
      <c r="I186" s="169">
        <v>45985</v>
      </c>
      <c r="J186" s="324"/>
      <c r="K186" s="169">
        <v>45995</v>
      </c>
      <c r="L186" s="272" t="s">
        <v>148</v>
      </c>
      <c r="M186" s="202">
        <v>46002</v>
      </c>
      <c r="N186" s="169">
        <v>46009</v>
      </c>
      <c r="O186" s="324">
        <v>46015</v>
      </c>
      <c r="P186" s="169">
        <v>46030</v>
      </c>
      <c r="Q186" s="169">
        <v>46037</v>
      </c>
      <c r="R186" s="169">
        <v>46044</v>
      </c>
      <c r="S186" s="324">
        <v>46051</v>
      </c>
      <c r="T186" s="169"/>
      <c r="U186" s="169"/>
      <c r="V186" s="169"/>
      <c r="W186" s="152"/>
      <c r="X186" s="169"/>
      <c r="Y186" s="169"/>
      <c r="Z186" s="169"/>
      <c r="AA186" s="176"/>
      <c r="AB186" s="169"/>
      <c r="AC186" s="169"/>
      <c r="AD186" s="169"/>
      <c r="AE186" s="177"/>
      <c r="AF186" s="177"/>
      <c r="AG186" s="177"/>
      <c r="AH186" s="177"/>
      <c r="AI186" s="177"/>
      <c r="AJ186" s="177"/>
      <c r="AK186" s="177"/>
      <c r="AL186" s="177"/>
      <c r="AM186" s="177"/>
      <c r="AN186" s="177"/>
      <c r="AO186" s="177"/>
      <c r="AP186" s="177"/>
      <c r="AQ186" s="178"/>
      <c r="AR186" s="177"/>
      <c r="AS186" s="177"/>
      <c r="AT186" s="177"/>
      <c r="AU186" s="177"/>
      <c r="AV186" s="177"/>
      <c r="AW186" s="177"/>
      <c r="AX186" s="177"/>
      <c r="AY186" s="177"/>
      <c r="AZ186" s="179"/>
      <c r="BA186" s="179"/>
      <c r="BB186" s="179"/>
      <c r="BC186" s="177"/>
      <c r="BD186" s="177"/>
      <c r="BE186" s="177"/>
      <c r="BF186" s="177"/>
      <c r="BG186" s="177"/>
      <c r="BH186" s="177"/>
      <c r="BI186" s="177"/>
      <c r="BJ186" s="177"/>
      <c r="BK186" s="177"/>
      <c r="BL186" s="177"/>
      <c r="BM186" s="177"/>
      <c r="BN186" s="177"/>
      <c r="BO186" s="177"/>
      <c r="BP186" s="177"/>
      <c r="BQ186" s="177"/>
      <c r="BR186" s="177"/>
      <c r="BS186" s="177"/>
      <c r="BT186" s="177"/>
      <c r="BU186" s="177"/>
      <c r="BV186" s="177"/>
      <c r="BW186" s="177"/>
      <c r="BX186" s="177"/>
      <c r="BY186" s="177"/>
      <c r="BZ186" s="177"/>
      <c r="CA186" s="177"/>
      <c r="CB186" s="177"/>
      <c r="CC186" s="177"/>
      <c r="CD186" s="177"/>
      <c r="CE186" s="177"/>
      <c r="CF186" s="177"/>
      <c r="CG186" s="177"/>
      <c r="CH186" s="177"/>
      <c r="CI186" s="177"/>
      <c r="CJ186" s="177"/>
      <c r="CK186" s="177"/>
      <c r="CL186" s="177"/>
      <c r="CM186" s="177"/>
      <c r="CN186" s="177"/>
      <c r="CO186" s="177"/>
      <c r="CP186" s="177"/>
      <c r="CQ186" s="177"/>
      <c r="CR186" s="177"/>
      <c r="CS186" s="177"/>
      <c r="CT186" s="177"/>
      <c r="CU186" s="177"/>
      <c r="CV186" s="177"/>
      <c r="CW186" s="177"/>
      <c r="CX186" s="177"/>
      <c r="CY186" s="177"/>
      <c r="CZ186" s="177"/>
      <c r="DA186" s="177"/>
      <c r="DB186" s="177"/>
      <c r="DC186" s="177"/>
      <c r="DD186" s="177"/>
      <c r="DE186" s="177"/>
      <c r="DF186" s="177"/>
      <c r="DG186" s="177"/>
      <c r="DH186" s="177"/>
      <c r="DI186" s="177"/>
      <c r="DJ186" s="177"/>
      <c r="DK186" s="177"/>
      <c r="DL186" s="177"/>
      <c r="DM186" s="177"/>
      <c r="DN186" s="177"/>
      <c r="DO186" s="177"/>
      <c r="DP186" s="177"/>
      <c r="DQ186" s="177"/>
      <c r="DR186" s="177"/>
      <c r="DS186" s="177"/>
      <c r="DT186" s="28">
        <v>46057</v>
      </c>
      <c r="DU186" s="132" t="s">
        <v>183</v>
      </c>
      <c r="DV186" s="69">
        <v>46126</v>
      </c>
      <c r="DW186" s="69"/>
      <c r="DX186" s="69"/>
      <c r="DY186" s="69"/>
      <c r="DZ186" s="69"/>
      <c r="EA186" s="69"/>
      <c r="EB186" s="69"/>
      <c r="EC186" s="69"/>
      <c r="ED186" s="22"/>
      <c r="EE186" s="22"/>
      <c r="EF186" s="339"/>
      <c r="EG186" s="338"/>
      <c r="EH186" s="338"/>
    </row>
    <row r="187" spans="2:138" s="119" customFormat="1" ht="31.15">
      <c r="B187" s="352" t="s">
        <v>361</v>
      </c>
      <c r="C187" s="340" t="s">
        <v>380</v>
      </c>
      <c r="D187" s="342" t="s">
        <v>381</v>
      </c>
      <c r="E187" s="354" t="s">
        <v>364</v>
      </c>
      <c r="F187" s="340" t="s">
        <v>250</v>
      </c>
      <c r="G187" s="340" t="s">
        <v>206</v>
      </c>
      <c r="H187" s="40" t="s">
        <v>147</v>
      </c>
      <c r="I187" s="31">
        <v>45902</v>
      </c>
      <c r="J187" s="94"/>
      <c r="K187" s="233">
        <v>45905</v>
      </c>
      <c r="L187" s="233"/>
      <c r="M187" s="94">
        <v>45909</v>
      </c>
      <c r="N187" s="94">
        <f>M187+7</f>
        <v>45916</v>
      </c>
      <c r="O187" s="94" t="s">
        <v>149</v>
      </c>
      <c r="P187" s="94">
        <f t="shared" ref="P187" si="1882">N187+7</f>
        <v>45923</v>
      </c>
      <c r="Q187" s="94">
        <f t="shared" ref="Q187" si="1883">P187+7</f>
        <v>45930</v>
      </c>
      <c r="R187" s="94">
        <f t="shared" ref="R187" si="1884">Q187+7</f>
        <v>45937</v>
      </c>
      <c r="S187" s="141" t="s">
        <v>149</v>
      </c>
      <c r="T187" s="141">
        <f t="shared" ref="T187" si="1885">R187+7</f>
        <v>45944</v>
      </c>
      <c r="U187" s="141">
        <f t="shared" ref="U187" si="1886">T187+7</f>
        <v>45951</v>
      </c>
      <c r="V187" s="141">
        <f t="shared" ref="V187" si="1887">U187+7</f>
        <v>45958</v>
      </c>
      <c r="W187" s="141" t="s">
        <v>149</v>
      </c>
      <c r="X187" s="141">
        <f t="shared" ref="X187" si="1888">V187+7</f>
        <v>45965</v>
      </c>
      <c r="Y187" s="141">
        <f t="shared" ref="Y187" si="1889">X187+7</f>
        <v>45972</v>
      </c>
      <c r="Z187" s="141">
        <f t="shared" ref="Z187" si="1890">Y187+7</f>
        <v>45979</v>
      </c>
      <c r="AA187" s="141" t="s">
        <v>149</v>
      </c>
      <c r="AB187" s="141">
        <f t="shared" ref="AB187" si="1891">Z187+7</f>
        <v>45986</v>
      </c>
      <c r="AC187" s="141">
        <f t="shared" ref="AC187" si="1892">AB187+7</f>
        <v>45993</v>
      </c>
      <c r="AD187" s="141">
        <f t="shared" ref="AD187" si="1893">AC187+7</f>
        <v>46000</v>
      </c>
      <c r="AE187" s="141" t="s">
        <v>149</v>
      </c>
      <c r="AF187" s="141">
        <f t="shared" ref="AF187" si="1894">AD187+7</f>
        <v>46007</v>
      </c>
      <c r="AG187" s="141">
        <f t="shared" ref="AG187" si="1895">AF187+7</f>
        <v>46014</v>
      </c>
      <c r="AH187" s="141">
        <f t="shared" ref="AH187" si="1896">AG187+7</f>
        <v>46021</v>
      </c>
      <c r="AI187" s="141" t="s">
        <v>149</v>
      </c>
      <c r="AJ187" s="141">
        <f t="shared" ref="AJ187" si="1897">AH187+7</f>
        <v>46028</v>
      </c>
      <c r="AK187" s="141">
        <f t="shared" ref="AK187" si="1898">AJ187+7</f>
        <v>46035</v>
      </c>
      <c r="AL187" s="141">
        <f t="shared" ref="AL187" si="1899">AK187+7</f>
        <v>46042</v>
      </c>
      <c r="AM187" s="141" t="s">
        <v>149</v>
      </c>
      <c r="AN187" s="141">
        <f t="shared" ref="AN187" si="1900">AL187+7</f>
        <v>46049</v>
      </c>
      <c r="AO187" s="141">
        <f t="shared" ref="AO187" si="1901">AN187+7</f>
        <v>46056</v>
      </c>
      <c r="AP187" s="141">
        <f t="shared" ref="AP187" si="1902">AO187+7</f>
        <v>46063</v>
      </c>
      <c r="AQ187" s="141" t="s">
        <v>149</v>
      </c>
      <c r="AR187" s="141">
        <f t="shared" ref="AR187" si="1903">AP187+7</f>
        <v>46070</v>
      </c>
      <c r="AS187" s="141">
        <f t="shared" ref="AS187" si="1904">AR187+7</f>
        <v>46077</v>
      </c>
      <c r="AT187" s="141">
        <f t="shared" ref="AT187" si="1905">AS187+7</f>
        <v>46084</v>
      </c>
      <c r="AU187" s="141" t="s">
        <v>149</v>
      </c>
      <c r="AV187" s="141">
        <f t="shared" ref="AV187" si="1906">AT187+7</f>
        <v>46091</v>
      </c>
      <c r="AW187" s="141">
        <f t="shared" ref="AW187" si="1907">AV187+7</f>
        <v>46098</v>
      </c>
      <c r="AX187" s="141">
        <f t="shared" ref="AX187" si="1908">AW187+7</f>
        <v>46105</v>
      </c>
      <c r="AY187" s="141" t="s">
        <v>149</v>
      </c>
      <c r="AZ187" s="141">
        <f t="shared" ref="AZ187" si="1909">AX187+7</f>
        <v>46112</v>
      </c>
      <c r="BA187" s="141">
        <f t="shared" ref="BA187" si="1910">AZ187+7</f>
        <v>46119</v>
      </c>
      <c r="BB187" s="141">
        <f t="shared" ref="BB187" si="1911">BA187+7</f>
        <v>46126</v>
      </c>
      <c r="BC187" s="141" t="s">
        <v>149</v>
      </c>
      <c r="BD187" s="141">
        <f t="shared" ref="BD187" si="1912">BB187+7</f>
        <v>46133</v>
      </c>
      <c r="BE187" s="141">
        <f t="shared" ref="BE187" si="1913">BD187+7</f>
        <v>46140</v>
      </c>
      <c r="BF187" s="141">
        <f t="shared" ref="BF187" si="1914">BE187+7</f>
        <v>46147</v>
      </c>
      <c r="BG187" s="141" t="s">
        <v>148</v>
      </c>
      <c r="BH187" s="141">
        <f t="shared" ref="BH187" si="1915">BF187+7</f>
        <v>46154</v>
      </c>
      <c r="BI187" s="141">
        <f t="shared" ref="BI187" si="1916">BH187+7</f>
        <v>46161</v>
      </c>
      <c r="BJ187" s="141">
        <f t="shared" ref="BJ187" si="1917">BI187+7</f>
        <v>46168</v>
      </c>
      <c r="BK187" s="141" t="s">
        <v>148</v>
      </c>
      <c r="BL187" s="141">
        <f t="shared" ref="BL187" si="1918">BJ187+7</f>
        <v>46175</v>
      </c>
      <c r="BM187" s="141">
        <f t="shared" ref="BM187" si="1919">BL187+7</f>
        <v>46182</v>
      </c>
      <c r="BN187" s="141">
        <f t="shared" ref="BN187" si="1920">BM187+7</f>
        <v>46189</v>
      </c>
      <c r="BO187" s="141" t="s">
        <v>149</v>
      </c>
      <c r="BP187" s="141">
        <f t="shared" ref="BP187" si="1921">BN187+7</f>
        <v>46196</v>
      </c>
      <c r="BQ187" s="141">
        <f t="shared" ref="BQ187" si="1922">BP187+7</f>
        <v>46203</v>
      </c>
      <c r="BR187" s="141">
        <f t="shared" ref="BR187" si="1923">BQ187+7</f>
        <v>46210</v>
      </c>
      <c r="BS187" s="141" t="s">
        <v>148</v>
      </c>
      <c r="BT187" s="141">
        <f t="shared" ref="BT187" si="1924">BR187+7</f>
        <v>46217</v>
      </c>
      <c r="BU187" s="141">
        <f t="shared" ref="BU187" si="1925">BT187+7</f>
        <v>46224</v>
      </c>
      <c r="BV187" s="141">
        <f t="shared" ref="BV187" si="1926">BU187+7</f>
        <v>46231</v>
      </c>
      <c r="BW187" s="141" t="s">
        <v>149</v>
      </c>
      <c r="BX187" s="141">
        <f t="shared" ref="BX187" si="1927">BV187+7</f>
        <v>46238</v>
      </c>
      <c r="BY187" s="141">
        <f t="shared" ref="BY187" si="1928">BX187+7</f>
        <v>46245</v>
      </c>
      <c r="BZ187" s="141">
        <f t="shared" ref="BZ187" si="1929">BY187+7</f>
        <v>46252</v>
      </c>
      <c r="CA187" s="141" t="s">
        <v>149</v>
      </c>
      <c r="CB187" s="141"/>
      <c r="CC187" s="141"/>
      <c r="CD187" s="141"/>
      <c r="CE187" s="141"/>
      <c r="CF187" s="141"/>
      <c r="CG187" s="141"/>
      <c r="CH187" s="141"/>
      <c r="CI187" s="141"/>
      <c r="CJ187" s="141"/>
      <c r="CK187" s="141"/>
      <c r="CL187" s="141"/>
      <c r="CM187" s="141"/>
      <c r="CN187" s="141"/>
      <c r="CO187" s="141"/>
      <c r="CP187" s="141"/>
      <c r="CQ187" s="141"/>
      <c r="CR187" s="141"/>
      <c r="CS187" s="141"/>
      <c r="CT187" s="141"/>
      <c r="CU187" s="141"/>
      <c r="CV187" s="141"/>
      <c r="CW187" s="141"/>
      <c r="CX187" s="141"/>
      <c r="CY187" s="141"/>
      <c r="CZ187" s="141"/>
      <c r="DA187" s="141"/>
      <c r="DB187" s="141"/>
      <c r="DC187" s="141"/>
      <c r="DD187" s="141"/>
      <c r="DE187" s="141"/>
      <c r="DF187" s="141"/>
      <c r="DG187" s="141"/>
      <c r="DH187" s="141"/>
      <c r="DI187" s="141"/>
      <c r="DJ187" s="141"/>
      <c r="DK187" s="141"/>
      <c r="DL187" s="141"/>
      <c r="DM187" s="141"/>
      <c r="DN187" s="141"/>
      <c r="DO187" s="141"/>
      <c r="DP187" s="141"/>
      <c r="DQ187" s="141"/>
      <c r="DR187" s="141"/>
      <c r="DS187" s="141"/>
      <c r="DT187" s="141"/>
      <c r="DU187" s="141"/>
      <c r="DV187" s="40"/>
      <c r="DW187" s="40"/>
      <c r="DX187" s="40"/>
      <c r="DY187" s="40"/>
      <c r="DZ187" s="40"/>
      <c r="EA187" s="40"/>
      <c r="EB187" s="40"/>
      <c r="EC187" s="40"/>
      <c r="ED187" s="267"/>
      <c r="EE187" s="35"/>
      <c r="EF187" s="344"/>
      <c r="EG187" s="345"/>
      <c r="EH187" s="344"/>
    </row>
    <row r="188" spans="2:138" s="119" customFormat="1" ht="31.15">
      <c r="B188" s="353"/>
      <c r="C188" s="341"/>
      <c r="D188" s="343"/>
      <c r="E188" s="355"/>
      <c r="F188" s="341"/>
      <c r="G188" s="341"/>
      <c r="H188" s="325" t="s">
        <v>150</v>
      </c>
      <c r="I188" s="112">
        <v>45902</v>
      </c>
      <c r="J188" s="325"/>
      <c r="K188" s="112">
        <v>45905</v>
      </c>
      <c r="L188" s="112">
        <v>45909</v>
      </c>
      <c r="M188" s="195">
        <v>45912</v>
      </c>
      <c r="N188" s="112"/>
      <c r="O188" s="325"/>
      <c r="P188" s="112"/>
      <c r="Q188" s="112"/>
      <c r="R188" s="112"/>
      <c r="S188" s="325"/>
      <c r="T188" s="112"/>
      <c r="U188" s="112"/>
      <c r="V188" s="112"/>
      <c r="W188" s="46"/>
      <c r="X188" s="112"/>
      <c r="Y188" s="112"/>
      <c r="Z188" s="112"/>
      <c r="AA188" s="142"/>
      <c r="AB188" s="112"/>
      <c r="AC188" s="112"/>
      <c r="AD188" s="112"/>
      <c r="AE188" s="333"/>
      <c r="AF188" s="333"/>
      <c r="AG188" s="333"/>
      <c r="AH188" s="333"/>
      <c r="AI188" s="333"/>
      <c r="AJ188" s="333"/>
      <c r="AK188" s="333"/>
      <c r="AL188" s="333"/>
      <c r="AM188" s="333"/>
      <c r="AN188" s="333"/>
      <c r="AO188" s="333"/>
      <c r="AP188" s="333"/>
      <c r="AQ188" s="329"/>
      <c r="AR188" s="333"/>
      <c r="AS188" s="333"/>
      <c r="AT188" s="333"/>
      <c r="AU188" s="333"/>
      <c r="AV188" s="333"/>
      <c r="AW188" s="333"/>
      <c r="AX188" s="333"/>
      <c r="AY188" s="333"/>
      <c r="AZ188" s="143"/>
      <c r="BA188" s="143"/>
      <c r="BB188" s="143"/>
      <c r="BC188" s="333"/>
      <c r="BD188" s="333"/>
      <c r="BE188" s="333"/>
      <c r="BF188" s="333"/>
      <c r="BG188" s="333"/>
      <c r="BH188" s="333"/>
      <c r="BI188" s="333"/>
      <c r="BJ188" s="333"/>
      <c r="BK188" s="333"/>
      <c r="BL188" s="333"/>
      <c r="BM188" s="333"/>
      <c r="BN188" s="333"/>
      <c r="BO188" s="333"/>
      <c r="BP188" s="333"/>
      <c r="BQ188" s="333"/>
      <c r="BR188" s="333"/>
      <c r="BS188" s="333"/>
      <c r="BT188" s="333"/>
      <c r="BU188" s="333"/>
      <c r="BV188" s="333"/>
      <c r="BW188" s="333"/>
      <c r="BX188" s="333"/>
      <c r="BY188" s="333"/>
      <c r="BZ188" s="333"/>
      <c r="CA188" s="333"/>
      <c r="CB188" s="333"/>
      <c r="CC188" s="333"/>
      <c r="CD188" s="333"/>
      <c r="CE188" s="333"/>
      <c r="CF188" s="333"/>
      <c r="CG188" s="333"/>
      <c r="CH188" s="333"/>
      <c r="CI188" s="333"/>
      <c r="CJ188" s="333"/>
      <c r="CK188" s="333"/>
      <c r="CL188" s="333"/>
      <c r="CM188" s="333"/>
      <c r="CN188" s="333"/>
      <c r="CO188" s="333"/>
      <c r="CP188" s="333"/>
      <c r="CQ188" s="333"/>
      <c r="CR188" s="333"/>
      <c r="CS188" s="333"/>
      <c r="CT188" s="333"/>
      <c r="CU188" s="333"/>
      <c r="CV188" s="333"/>
      <c r="CW188" s="333"/>
      <c r="CX188" s="333"/>
      <c r="CY188" s="333"/>
      <c r="CZ188" s="333"/>
      <c r="DA188" s="333"/>
      <c r="DB188" s="333"/>
      <c r="DC188" s="333"/>
      <c r="DD188" s="333"/>
      <c r="DE188" s="333"/>
      <c r="DF188" s="333"/>
      <c r="DG188" s="333"/>
      <c r="DH188" s="333"/>
      <c r="DI188" s="333"/>
      <c r="DJ188" s="333"/>
      <c r="DK188" s="333"/>
      <c r="DL188" s="333"/>
      <c r="DM188" s="333"/>
      <c r="DN188" s="333"/>
      <c r="DO188" s="333"/>
      <c r="DP188" s="333"/>
      <c r="DQ188" s="333"/>
      <c r="DR188" s="333"/>
      <c r="DS188" s="333"/>
      <c r="DT188" s="333" t="s">
        <v>181</v>
      </c>
      <c r="DU188" s="334"/>
      <c r="DV188" s="46"/>
      <c r="DW188" s="46"/>
      <c r="DX188" s="46"/>
      <c r="DY188" s="46"/>
      <c r="DZ188" s="46"/>
      <c r="EA188" s="46"/>
      <c r="EB188" s="46"/>
      <c r="EC188" s="46"/>
      <c r="ED188" s="142"/>
      <c r="EE188" s="142"/>
      <c r="EF188" s="344"/>
      <c r="EG188" s="345"/>
      <c r="EH188" s="345"/>
    </row>
    <row r="189" spans="2:138" ht="31.15">
      <c r="B189" s="352" t="s">
        <v>361</v>
      </c>
      <c r="C189" s="340" t="s">
        <v>382</v>
      </c>
      <c r="D189" s="342" t="s">
        <v>381</v>
      </c>
      <c r="E189" s="354" t="s">
        <v>364</v>
      </c>
      <c r="F189" s="340" t="s">
        <v>220</v>
      </c>
      <c r="G189" s="340" t="s">
        <v>206</v>
      </c>
      <c r="H189" s="40" t="s">
        <v>147</v>
      </c>
      <c r="I189" s="31">
        <v>45904</v>
      </c>
      <c r="J189" s="94"/>
      <c r="K189" s="233">
        <v>45910</v>
      </c>
      <c r="L189" s="233">
        <v>45914</v>
      </c>
      <c r="M189" s="94">
        <v>45917</v>
      </c>
      <c r="N189" s="94">
        <f>M189+7</f>
        <v>45924</v>
      </c>
      <c r="O189" s="94" t="s">
        <v>149</v>
      </c>
      <c r="P189" s="94">
        <f t="shared" ref="P189" si="1930">N189+7</f>
        <v>45931</v>
      </c>
      <c r="Q189" s="94">
        <f t="shared" ref="Q189" si="1931">P189+7</f>
        <v>45938</v>
      </c>
      <c r="R189" s="94">
        <f t="shared" ref="R189" si="1932">Q189+7</f>
        <v>45945</v>
      </c>
      <c r="S189" s="141" t="s">
        <v>149</v>
      </c>
      <c r="T189" s="141">
        <f t="shared" ref="T189" si="1933">R189+7</f>
        <v>45952</v>
      </c>
      <c r="U189" s="141">
        <f t="shared" ref="U189" si="1934">T189+7</f>
        <v>45959</v>
      </c>
      <c r="V189" s="141">
        <f t="shared" ref="V189" si="1935">U189+7</f>
        <v>45966</v>
      </c>
      <c r="W189" s="141" t="s">
        <v>149</v>
      </c>
      <c r="X189" s="141">
        <f t="shared" ref="X189" si="1936">V189+7</f>
        <v>45973</v>
      </c>
      <c r="Y189" s="141">
        <f t="shared" ref="Y189" si="1937">X189+7</f>
        <v>45980</v>
      </c>
      <c r="Z189" s="141">
        <f t="shared" ref="Z189" si="1938">Y189+7</f>
        <v>45987</v>
      </c>
      <c r="AA189" s="141" t="s">
        <v>149</v>
      </c>
      <c r="AB189" s="141">
        <f t="shared" ref="AB189" si="1939">Z189+7</f>
        <v>45994</v>
      </c>
      <c r="AC189" s="141">
        <f t="shared" ref="AC189" si="1940">AB189+7</f>
        <v>46001</v>
      </c>
      <c r="AD189" s="141">
        <f t="shared" ref="AD189" si="1941">AC189+7</f>
        <v>46008</v>
      </c>
      <c r="AE189" s="141" t="s">
        <v>149</v>
      </c>
      <c r="AF189" s="141">
        <f t="shared" ref="AF189" si="1942">AD189+7</f>
        <v>46015</v>
      </c>
      <c r="AG189" s="141">
        <f t="shared" ref="AG189" si="1943">AF189+7</f>
        <v>46022</v>
      </c>
      <c r="AH189" s="141">
        <f t="shared" ref="AH189" si="1944">AG189+7</f>
        <v>46029</v>
      </c>
      <c r="AI189" s="141" t="s">
        <v>149</v>
      </c>
      <c r="AJ189" s="141">
        <f t="shared" ref="AJ189" si="1945">AH189+7</f>
        <v>46036</v>
      </c>
      <c r="AK189" s="141">
        <f t="shared" ref="AK189" si="1946">AJ189+7</f>
        <v>46043</v>
      </c>
      <c r="AL189" s="141">
        <f t="shared" ref="AL189" si="1947">AK189+7</f>
        <v>46050</v>
      </c>
      <c r="AM189" s="141" t="s">
        <v>149</v>
      </c>
      <c r="AN189" s="141">
        <f t="shared" ref="AN189" si="1948">AL189+7</f>
        <v>46057</v>
      </c>
      <c r="AO189" s="141">
        <f t="shared" ref="AO189" si="1949">AN189+7</f>
        <v>46064</v>
      </c>
      <c r="AP189" s="141">
        <f t="shared" ref="AP189" si="1950">AO189+7</f>
        <v>46071</v>
      </c>
      <c r="AQ189" s="141" t="s">
        <v>149</v>
      </c>
      <c r="AR189" s="141">
        <f t="shared" ref="AR189" si="1951">AP189+7</f>
        <v>46078</v>
      </c>
      <c r="AS189" s="141">
        <f t="shared" ref="AS189" si="1952">AR189+7</f>
        <v>46085</v>
      </c>
      <c r="AT189" s="141">
        <f t="shared" ref="AT189" si="1953">AS189+7</f>
        <v>46092</v>
      </c>
      <c r="AU189" s="141" t="s">
        <v>149</v>
      </c>
      <c r="AV189" s="141">
        <f t="shared" ref="AV189" si="1954">AT189+7</f>
        <v>46099</v>
      </c>
      <c r="AW189" s="141">
        <f t="shared" ref="AW189" si="1955">AV189+7</f>
        <v>46106</v>
      </c>
      <c r="AX189" s="141">
        <f t="shared" ref="AX189" si="1956">AW189+7</f>
        <v>46113</v>
      </c>
      <c r="AY189" s="141" t="s">
        <v>149</v>
      </c>
      <c r="AZ189" s="141">
        <f t="shared" ref="AZ189" si="1957">AX189+7</f>
        <v>46120</v>
      </c>
      <c r="BA189" s="141">
        <f t="shared" ref="BA189" si="1958">AZ189+7</f>
        <v>46127</v>
      </c>
      <c r="BB189" s="141">
        <f t="shared" ref="BB189" si="1959">BA189+7</f>
        <v>46134</v>
      </c>
      <c r="BC189" s="141" t="s">
        <v>149</v>
      </c>
      <c r="BD189" s="141">
        <f t="shared" ref="BD189" si="1960">BB189+7</f>
        <v>46141</v>
      </c>
      <c r="BE189" s="141">
        <f t="shared" ref="BE189" si="1961">BD189+7</f>
        <v>46148</v>
      </c>
      <c r="BF189" s="141">
        <f t="shared" ref="BF189" si="1962">BE189+7</f>
        <v>46155</v>
      </c>
      <c r="BG189" s="141" t="s">
        <v>148</v>
      </c>
      <c r="BH189" s="141">
        <f t="shared" ref="BH189" si="1963">BF189+7</f>
        <v>46162</v>
      </c>
      <c r="BI189" s="141">
        <f t="shared" ref="BI189" si="1964">BH189+7</f>
        <v>46169</v>
      </c>
      <c r="BJ189" s="141">
        <f t="shared" ref="BJ189" si="1965">BI189+7</f>
        <v>46176</v>
      </c>
      <c r="BK189" s="141" t="s">
        <v>148</v>
      </c>
      <c r="BL189" s="141">
        <f t="shared" ref="BL189" si="1966">BJ189+7</f>
        <v>46183</v>
      </c>
      <c r="BM189" s="141">
        <f t="shared" ref="BM189" si="1967">BL189+7</f>
        <v>46190</v>
      </c>
      <c r="BN189" s="141">
        <f t="shared" ref="BN189" si="1968">BM189+7</f>
        <v>46197</v>
      </c>
      <c r="BO189" s="141" t="s">
        <v>149</v>
      </c>
      <c r="BP189" s="141">
        <f t="shared" ref="BP189" si="1969">BN189+7</f>
        <v>46204</v>
      </c>
      <c r="BQ189" s="141">
        <f t="shared" ref="BQ189" si="1970">BP189+7</f>
        <v>46211</v>
      </c>
      <c r="BR189" s="141">
        <f t="shared" ref="BR189" si="1971">BQ189+7</f>
        <v>46218</v>
      </c>
      <c r="BS189" s="141" t="s">
        <v>148</v>
      </c>
      <c r="BT189" s="141">
        <f t="shared" ref="BT189" si="1972">BR189+7</f>
        <v>46225</v>
      </c>
      <c r="BU189" s="141">
        <f t="shared" ref="BU189" si="1973">BT189+7</f>
        <v>46232</v>
      </c>
      <c r="BV189" s="141">
        <f t="shared" ref="BV189" si="1974">BU189+7</f>
        <v>46239</v>
      </c>
      <c r="BW189" s="141" t="s">
        <v>149</v>
      </c>
      <c r="BX189" s="141">
        <f t="shared" ref="BX189" si="1975">BV189+7</f>
        <v>46246</v>
      </c>
      <c r="BY189" s="141">
        <f t="shared" ref="BY189" si="1976">BX189+7</f>
        <v>46253</v>
      </c>
      <c r="BZ189" s="141">
        <f t="shared" ref="BZ189" si="1977">BY189+7</f>
        <v>46260</v>
      </c>
      <c r="CA189" s="141" t="s">
        <v>149</v>
      </c>
      <c r="CB189" s="141"/>
      <c r="CC189" s="141"/>
      <c r="CD189" s="141"/>
      <c r="CE189" s="141"/>
      <c r="CF189" s="141"/>
      <c r="CG189" s="141"/>
      <c r="CH189" s="141"/>
      <c r="CI189" s="141"/>
      <c r="CJ189" s="141"/>
      <c r="CK189" s="141"/>
      <c r="CL189" s="141"/>
      <c r="CM189" s="141"/>
      <c r="CN189" s="141"/>
      <c r="CO189" s="141"/>
      <c r="CP189" s="141"/>
      <c r="CQ189" s="141"/>
      <c r="CR189" s="141"/>
      <c r="CS189" s="141"/>
      <c r="CT189" s="141"/>
      <c r="CU189" s="141"/>
      <c r="CV189" s="141"/>
      <c r="CW189" s="141"/>
      <c r="CX189" s="141"/>
      <c r="CY189" s="141"/>
      <c r="CZ189" s="141"/>
      <c r="DA189" s="141"/>
      <c r="DB189" s="141"/>
      <c r="DC189" s="141"/>
      <c r="DD189" s="141"/>
      <c r="DE189" s="141"/>
      <c r="DF189" s="141"/>
      <c r="DG189" s="141"/>
      <c r="DH189" s="141"/>
      <c r="DI189" s="141"/>
      <c r="DJ189" s="141"/>
      <c r="DK189" s="141"/>
      <c r="DL189" s="141"/>
      <c r="DM189" s="141"/>
      <c r="DN189" s="141"/>
      <c r="DO189" s="141"/>
      <c r="DP189" s="141"/>
      <c r="DQ189" s="141"/>
      <c r="DR189" s="141"/>
      <c r="DS189" s="141"/>
      <c r="DT189" s="141">
        <v>45944</v>
      </c>
      <c r="DU189" s="141">
        <v>45944</v>
      </c>
      <c r="DV189" s="40"/>
      <c r="DW189" s="40"/>
      <c r="DX189" s="40"/>
      <c r="DY189" s="40"/>
      <c r="DZ189" s="40"/>
      <c r="EA189" s="40"/>
      <c r="EB189" s="40"/>
      <c r="EC189" s="40"/>
      <c r="ED189" s="267"/>
      <c r="EE189" s="35"/>
      <c r="EF189" s="344"/>
      <c r="EG189" s="345"/>
      <c r="EH189" s="344"/>
    </row>
    <row r="190" spans="2:138" ht="31.15">
      <c r="B190" s="353"/>
      <c r="C190" s="341"/>
      <c r="D190" s="343"/>
      <c r="E190" s="355"/>
      <c r="F190" s="341"/>
      <c r="G190" s="341"/>
      <c r="H190" s="325" t="s">
        <v>150</v>
      </c>
      <c r="I190" s="112">
        <v>45904</v>
      </c>
      <c r="J190" s="325"/>
      <c r="K190" s="112">
        <v>45910</v>
      </c>
      <c r="L190" s="112">
        <v>45914</v>
      </c>
      <c r="M190" s="195">
        <v>45917</v>
      </c>
      <c r="N190" s="112">
        <v>45924</v>
      </c>
      <c r="O190" s="325">
        <v>45931</v>
      </c>
      <c r="P190" s="112"/>
      <c r="Q190" s="112"/>
      <c r="R190" s="112"/>
      <c r="S190" s="325"/>
      <c r="T190" s="112"/>
      <c r="U190" s="112"/>
      <c r="V190" s="112"/>
      <c r="W190" s="46"/>
      <c r="X190" s="112"/>
      <c r="Y190" s="112"/>
      <c r="Z190" s="112"/>
      <c r="AA190" s="142"/>
      <c r="AB190" s="112"/>
      <c r="AC190" s="112"/>
      <c r="AD190" s="112"/>
      <c r="AE190" s="333"/>
      <c r="AF190" s="333"/>
      <c r="AG190" s="333"/>
      <c r="AH190" s="333"/>
      <c r="AI190" s="333"/>
      <c r="AJ190" s="333"/>
      <c r="AK190" s="333"/>
      <c r="AL190" s="333"/>
      <c r="AM190" s="333"/>
      <c r="AN190" s="333"/>
      <c r="AO190" s="333"/>
      <c r="AP190" s="333"/>
      <c r="AQ190" s="329"/>
      <c r="AR190" s="333"/>
      <c r="AS190" s="333"/>
      <c r="AT190" s="333"/>
      <c r="AU190" s="333"/>
      <c r="AV190" s="333"/>
      <c r="AW190" s="333"/>
      <c r="AX190" s="333"/>
      <c r="AY190" s="333"/>
      <c r="AZ190" s="143"/>
      <c r="BA190" s="143"/>
      <c r="BB190" s="143"/>
      <c r="BC190" s="333"/>
      <c r="BD190" s="333"/>
      <c r="BE190" s="333"/>
      <c r="BF190" s="333"/>
      <c r="BG190" s="333"/>
      <c r="BH190" s="333"/>
      <c r="BI190" s="333"/>
      <c r="BJ190" s="333"/>
      <c r="BK190" s="333"/>
      <c r="BL190" s="333"/>
      <c r="BM190" s="333"/>
      <c r="BN190" s="333"/>
      <c r="BO190" s="333"/>
      <c r="BP190" s="333"/>
      <c r="BQ190" s="333"/>
      <c r="BR190" s="333"/>
      <c r="BS190" s="333"/>
      <c r="BT190" s="333"/>
      <c r="BU190" s="333"/>
      <c r="BV190" s="333"/>
      <c r="BW190" s="333"/>
      <c r="BX190" s="333"/>
      <c r="BY190" s="333"/>
      <c r="BZ190" s="333"/>
      <c r="CA190" s="333"/>
      <c r="CB190" s="333"/>
      <c r="CC190" s="333"/>
      <c r="CD190" s="333"/>
      <c r="CE190" s="333"/>
      <c r="CF190" s="333"/>
      <c r="CG190" s="333"/>
      <c r="CH190" s="333"/>
      <c r="CI190" s="333"/>
      <c r="CJ190" s="333"/>
      <c r="CK190" s="333"/>
      <c r="CL190" s="333"/>
      <c r="CM190" s="333"/>
      <c r="CN190" s="333"/>
      <c r="CO190" s="333"/>
      <c r="CP190" s="333"/>
      <c r="CQ190" s="333"/>
      <c r="CR190" s="333"/>
      <c r="CS190" s="333"/>
      <c r="CT190" s="333"/>
      <c r="CU190" s="333"/>
      <c r="CV190" s="333"/>
      <c r="CW190" s="333"/>
      <c r="CX190" s="333"/>
      <c r="CY190" s="333"/>
      <c r="CZ190" s="333"/>
      <c r="DA190" s="333"/>
      <c r="DB190" s="333"/>
      <c r="DC190" s="333"/>
      <c r="DD190" s="333"/>
      <c r="DE190" s="333"/>
      <c r="DF190" s="333"/>
      <c r="DG190" s="333"/>
      <c r="DH190" s="333"/>
      <c r="DI190" s="333"/>
      <c r="DJ190" s="333"/>
      <c r="DK190" s="333"/>
      <c r="DL190" s="333"/>
      <c r="DM190" s="333"/>
      <c r="DN190" s="333"/>
      <c r="DO190" s="333"/>
      <c r="DP190" s="333"/>
      <c r="DQ190" s="333"/>
      <c r="DR190" s="333"/>
      <c r="DS190" s="333"/>
      <c r="DT190" s="333">
        <v>45944</v>
      </c>
      <c r="DU190" s="334">
        <v>45944</v>
      </c>
      <c r="DV190" s="46" t="s">
        <v>285</v>
      </c>
      <c r="DW190" s="46"/>
      <c r="DX190" s="46"/>
      <c r="DY190" s="46"/>
      <c r="DZ190" s="46"/>
      <c r="EA190" s="46"/>
      <c r="EB190" s="46"/>
      <c r="EC190" s="46"/>
      <c r="ED190" s="142"/>
      <c r="EE190" s="142"/>
      <c r="EF190" s="344"/>
      <c r="EG190" s="345"/>
      <c r="EH190" s="345"/>
    </row>
    <row r="191" spans="2:138" s="119" customFormat="1" ht="31.15">
      <c r="B191" s="352" t="s">
        <v>361</v>
      </c>
      <c r="C191" s="340" t="s">
        <v>383</v>
      </c>
      <c r="D191" s="342" t="s">
        <v>381</v>
      </c>
      <c r="E191" s="354" t="s">
        <v>364</v>
      </c>
      <c r="F191" s="340" t="s">
        <v>220</v>
      </c>
      <c r="G191" s="340" t="s">
        <v>206</v>
      </c>
      <c r="H191" s="40" t="s">
        <v>147</v>
      </c>
      <c r="I191" s="31">
        <v>45926</v>
      </c>
      <c r="J191" s="94"/>
      <c r="K191" s="233">
        <v>45938</v>
      </c>
      <c r="L191" s="233">
        <v>45942</v>
      </c>
      <c r="M191" s="94">
        <v>45945</v>
      </c>
      <c r="N191" s="94">
        <f>M191+7</f>
        <v>45952</v>
      </c>
      <c r="O191" s="94" t="s">
        <v>149</v>
      </c>
      <c r="P191" s="94">
        <f t="shared" ref="P191" si="1978">N191+7</f>
        <v>45959</v>
      </c>
      <c r="Q191" s="94">
        <f t="shared" ref="Q191" si="1979">P191+7</f>
        <v>45966</v>
      </c>
      <c r="R191" s="94">
        <f t="shared" ref="R191" si="1980">Q191+7</f>
        <v>45973</v>
      </c>
      <c r="S191" s="141" t="s">
        <v>149</v>
      </c>
      <c r="T191" s="141">
        <f t="shared" ref="T191" si="1981">R191+7</f>
        <v>45980</v>
      </c>
      <c r="U191" s="141">
        <f t="shared" ref="U191" si="1982">T191+7</f>
        <v>45987</v>
      </c>
      <c r="V191" s="141">
        <f t="shared" ref="V191" si="1983">U191+7</f>
        <v>45994</v>
      </c>
      <c r="W191" s="141" t="s">
        <v>149</v>
      </c>
      <c r="X191" s="141">
        <f t="shared" ref="X191" si="1984">V191+7</f>
        <v>46001</v>
      </c>
      <c r="Y191" s="141">
        <f t="shared" ref="Y191" si="1985">X191+7</f>
        <v>46008</v>
      </c>
      <c r="Z191" s="141">
        <f t="shared" ref="Z191" si="1986">Y191+7</f>
        <v>46015</v>
      </c>
      <c r="AA191" s="141" t="s">
        <v>149</v>
      </c>
      <c r="AB191" s="141">
        <f t="shared" ref="AB191" si="1987">Z191+7</f>
        <v>46022</v>
      </c>
      <c r="AC191" s="141">
        <f t="shared" ref="AC191" si="1988">AB191+7</f>
        <v>46029</v>
      </c>
      <c r="AD191" s="141">
        <f t="shared" ref="AD191" si="1989">AC191+7</f>
        <v>46036</v>
      </c>
      <c r="AE191" s="141" t="s">
        <v>149</v>
      </c>
      <c r="AF191" s="141">
        <f t="shared" ref="AF191" si="1990">AD191+7</f>
        <v>46043</v>
      </c>
      <c r="AG191" s="141">
        <f t="shared" ref="AG191" si="1991">AF191+7</f>
        <v>46050</v>
      </c>
      <c r="AH191" s="141">
        <f t="shared" ref="AH191" si="1992">AG191+7</f>
        <v>46057</v>
      </c>
      <c r="AI191" s="141" t="s">
        <v>149</v>
      </c>
      <c r="AJ191" s="141">
        <f t="shared" ref="AJ191" si="1993">AH191+7</f>
        <v>46064</v>
      </c>
      <c r="AK191" s="141">
        <f t="shared" ref="AK191" si="1994">AJ191+7</f>
        <v>46071</v>
      </c>
      <c r="AL191" s="141">
        <f t="shared" ref="AL191" si="1995">AK191+7</f>
        <v>46078</v>
      </c>
      <c r="AM191" s="141" t="s">
        <v>149</v>
      </c>
      <c r="AN191" s="141">
        <f t="shared" ref="AN191" si="1996">AL191+7</f>
        <v>46085</v>
      </c>
      <c r="AO191" s="141">
        <f t="shared" ref="AO191" si="1997">AN191+7</f>
        <v>46092</v>
      </c>
      <c r="AP191" s="141">
        <f t="shared" ref="AP191" si="1998">AO191+7</f>
        <v>46099</v>
      </c>
      <c r="AQ191" s="141" t="s">
        <v>149</v>
      </c>
      <c r="AR191" s="141">
        <f t="shared" ref="AR191" si="1999">AP191+7</f>
        <v>46106</v>
      </c>
      <c r="AS191" s="141">
        <f t="shared" ref="AS191" si="2000">AR191+7</f>
        <v>46113</v>
      </c>
      <c r="AT191" s="141">
        <f t="shared" ref="AT191" si="2001">AS191+7</f>
        <v>46120</v>
      </c>
      <c r="AU191" s="141" t="s">
        <v>149</v>
      </c>
      <c r="AV191" s="141">
        <f t="shared" ref="AV191" si="2002">AT191+7</f>
        <v>46127</v>
      </c>
      <c r="AW191" s="141">
        <f t="shared" ref="AW191" si="2003">AV191+7</f>
        <v>46134</v>
      </c>
      <c r="AX191" s="141">
        <f t="shared" ref="AX191" si="2004">AW191+7</f>
        <v>46141</v>
      </c>
      <c r="AY191" s="141" t="s">
        <v>149</v>
      </c>
      <c r="AZ191" s="141">
        <f t="shared" ref="AZ191" si="2005">AX191+7</f>
        <v>46148</v>
      </c>
      <c r="BA191" s="141">
        <f t="shared" ref="BA191" si="2006">AZ191+7</f>
        <v>46155</v>
      </c>
      <c r="BB191" s="141">
        <f t="shared" ref="BB191" si="2007">BA191+7</f>
        <v>46162</v>
      </c>
      <c r="BC191" s="141" t="s">
        <v>149</v>
      </c>
      <c r="BD191" s="141">
        <f t="shared" ref="BD191" si="2008">BB191+7</f>
        <v>46169</v>
      </c>
      <c r="BE191" s="141">
        <f t="shared" ref="BE191" si="2009">BD191+7</f>
        <v>46176</v>
      </c>
      <c r="BF191" s="141">
        <f t="shared" ref="BF191" si="2010">BE191+7</f>
        <v>46183</v>
      </c>
      <c r="BG191" s="141" t="s">
        <v>148</v>
      </c>
      <c r="BH191" s="141">
        <f t="shared" ref="BH191" si="2011">BF191+7</f>
        <v>46190</v>
      </c>
      <c r="BI191" s="141">
        <f t="shared" ref="BI191" si="2012">BH191+7</f>
        <v>46197</v>
      </c>
      <c r="BJ191" s="141">
        <f t="shared" ref="BJ191" si="2013">BI191+7</f>
        <v>46204</v>
      </c>
      <c r="BK191" s="141" t="s">
        <v>148</v>
      </c>
      <c r="BL191" s="141">
        <f t="shared" ref="BL191" si="2014">BJ191+7</f>
        <v>46211</v>
      </c>
      <c r="BM191" s="141">
        <f t="shared" ref="BM191" si="2015">BL191+7</f>
        <v>46218</v>
      </c>
      <c r="BN191" s="141">
        <f t="shared" ref="BN191" si="2016">BM191+7</f>
        <v>46225</v>
      </c>
      <c r="BO191" s="141" t="s">
        <v>149</v>
      </c>
      <c r="BP191" s="141">
        <f t="shared" ref="BP191" si="2017">BN191+7</f>
        <v>46232</v>
      </c>
      <c r="BQ191" s="141">
        <f t="shared" ref="BQ191" si="2018">BP191+7</f>
        <v>46239</v>
      </c>
      <c r="BR191" s="141">
        <f t="shared" ref="BR191" si="2019">BQ191+7</f>
        <v>46246</v>
      </c>
      <c r="BS191" s="141" t="s">
        <v>148</v>
      </c>
      <c r="BT191" s="141">
        <f t="shared" ref="BT191" si="2020">BR191+7</f>
        <v>46253</v>
      </c>
      <c r="BU191" s="141">
        <f t="shared" ref="BU191" si="2021">BT191+7</f>
        <v>46260</v>
      </c>
      <c r="BV191" s="141">
        <f t="shared" ref="BV191" si="2022">BU191+7</f>
        <v>46267</v>
      </c>
      <c r="BW191" s="141" t="s">
        <v>149</v>
      </c>
      <c r="BX191" s="141">
        <f t="shared" ref="BX191" si="2023">BV191+7</f>
        <v>46274</v>
      </c>
      <c r="BY191" s="141">
        <f t="shared" ref="BY191" si="2024">BX191+7</f>
        <v>46281</v>
      </c>
      <c r="BZ191" s="141">
        <f t="shared" ref="BZ191" si="2025">BY191+7</f>
        <v>46288</v>
      </c>
      <c r="CA191" s="141" t="s">
        <v>149</v>
      </c>
      <c r="CB191" s="141"/>
      <c r="CC191" s="141"/>
      <c r="CD191" s="141"/>
      <c r="CE191" s="141"/>
      <c r="CF191" s="141"/>
      <c r="CG191" s="141"/>
      <c r="CH191" s="141"/>
      <c r="CI191" s="141"/>
      <c r="CJ191" s="141"/>
      <c r="CK191" s="141"/>
      <c r="CL191" s="141"/>
      <c r="CM191" s="141"/>
      <c r="CN191" s="141"/>
      <c r="CO191" s="141"/>
      <c r="CP191" s="141"/>
      <c r="CQ191" s="141"/>
      <c r="CR191" s="141"/>
      <c r="CS191" s="141"/>
      <c r="CT191" s="141"/>
      <c r="CU191" s="141"/>
      <c r="CV191" s="141"/>
      <c r="CW191" s="141"/>
      <c r="CX191" s="141"/>
      <c r="CY191" s="141"/>
      <c r="CZ191" s="141"/>
      <c r="DA191" s="141"/>
      <c r="DB191" s="141"/>
      <c r="DC191" s="141"/>
      <c r="DD191" s="141"/>
      <c r="DE191" s="141"/>
      <c r="DF191" s="141"/>
      <c r="DG191" s="141"/>
      <c r="DH191" s="141"/>
      <c r="DI191" s="141"/>
      <c r="DJ191" s="141"/>
      <c r="DK191" s="141"/>
      <c r="DL191" s="141"/>
      <c r="DM191" s="141"/>
      <c r="DN191" s="141"/>
      <c r="DO191" s="141"/>
      <c r="DP191" s="141"/>
      <c r="DQ191" s="141"/>
      <c r="DR191" s="141"/>
      <c r="DS191" s="141"/>
      <c r="DT191" s="141">
        <v>45965</v>
      </c>
      <c r="DU191" s="141">
        <v>45972</v>
      </c>
      <c r="DV191" s="40"/>
      <c r="DW191" s="40"/>
      <c r="DX191" s="40"/>
      <c r="DY191" s="40"/>
      <c r="DZ191" s="40"/>
      <c r="EA191" s="40"/>
      <c r="EB191" s="40"/>
      <c r="EC191" s="40"/>
      <c r="ED191" s="267"/>
      <c r="EE191" s="35"/>
      <c r="EF191" s="344"/>
      <c r="EG191" s="345"/>
      <c r="EH191" s="344"/>
    </row>
    <row r="192" spans="2:138" s="119" customFormat="1" ht="31.15">
      <c r="B192" s="353"/>
      <c r="C192" s="341"/>
      <c r="D192" s="343"/>
      <c r="E192" s="355"/>
      <c r="F192" s="341"/>
      <c r="G192" s="341"/>
      <c r="H192" s="325" t="s">
        <v>150</v>
      </c>
      <c r="I192" s="112">
        <v>45926</v>
      </c>
      <c r="J192" s="325"/>
      <c r="K192" s="112">
        <v>45938</v>
      </c>
      <c r="L192" s="112">
        <v>45942</v>
      </c>
      <c r="M192" s="195">
        <v>45945</v>
      </c>
      <c r="N192" s="112">
        <v>45952</v>
      </c>
      <c r="O192" s="325">
        <v>45958</v>
      </c>
      <c r="P192" s="112"/>
      <c r="Q192" s="112"/>
      <c r="R192" s="112"/>
      <c r="S192" s="325"/>
      <c r="T192" s="112"/>
      <c r="U192" s="112"/>
      <c r="V192" s="112"/>
      <c r="W192" s="46"/>
      <c r="X192" s="112"/>
      <c r="Y192" s="112"/>
      <c r="Z192" s="112"/>
      <c r="AA192" s="142"/>
      <c r="AB192" s="112"/>
      <c r="AC192" s="112"/>
      <c r="AD192" s="112"/>
      <c r="AE192" s="333"/>
      <c r="AF192" s="333"/>
      <c r="AG192" s="333"/>
      <c r="AH192" s="333"/>
      <c r="AI192" s="333"/>
      <c r="AJ192" s="333"/>
      <c r="AK192" s="333"/>
      <c r="AL192" s="333"/>
      <c r="AM192" s="333"/>
      <c r="AN192" s="333"/>
      <c r="AO192" s="333"/>
      <c r="AP192" s="333"/>
      <c r="AQ192" s="329"/>
      <c r="AR192" s="333"/>
      <c r="AS192" s="333"/>
      <c r="AT192" s="333"/>
      <c r="AU192" s="333"/>
      <c r="AV192" s="333"/>
      <c r="AW192" s="333"/>
      <c r="AX192" s="333"/>
      <c r="AY192" s="333"/>
      <c r="AZ192" s="143"/>
      <c r="BA192" s="143"/>
      <c r="BB192" s="143"/>
      <c r="BC192" s="333"/>
      <c r="BD192" s="333"/>
      <c r="BE192" s="333"/>
      <c r="BF192" s="333"/>
      <c r="BG192" s="333"/>
      <c r="BH192" s="333"/>
      <c r="BI192" s="333"/>
      <c r="BJ192" s="333"/>
      <c r="BK192" s="333"/>
      <c r="BL192" s="333"/>
      <c r="BM192" s="333"/>
      <c r="BN192" s="333"/>
      <c r="BO192" s="333"/>
      <c r="BP192" s="333"/>
      <c r="BQ192" s="333"/>
      <c r="BR192" s="333"/>
      <c r="BS192" s="333"/>
      <c r="BT192" s="333"/>
      <c r="BU192" s="333"/>
      <c r="BV192" s="333"/>
      <c r="BW192" s="333"/>
      <c r="BX192" s="333"/>
      <c r="BY192" s="333"/>
      <c r="BZ192" s="333"/>
      <c r="CA192" s="333"/>
      <c r="CB192" s="333"/>
      <c r="CC192" s="333"/>
      <c r="CD192" s="333"/>
      <c r="CE192" s="333"/>
      <c r="CF192" s="333"/>
      <c r="CG192" s="333"/>
      <c r="CH192" s="333"/>
      <c r="CI192" s="333"/>
      <c r="CJ192" s="333"/>
      <c r="CK192" s="333"/>
      <c r="CL192" s="333"/>
      <c r="CM192" s="333"/>
      <c r="CN192" s="333"/>
      <c r="CO192" s="333"/>
      <c r="CP192" s="333"/>
      <c r="CQ192" s="333"/>
      <c r="CR192" s="333"/>
      <c r="CS192" s="333"/>
      <c r="CT192" s="333"/>
      <c r="CU192" s="333"/>
      <c r="CV192" s="333"/>
      <c r="CW192" s="333"/>
      <c r="CX192" s="333"/>
      <c r="CY192" s="333"/>
      <c r="CZ192" s="333"/>
      <c r="DA192" s="333"/>
      <c r="DB192" s="333"/>
      <c r="DC192" s="333"/>
      <c r="DD192" s="333"/>
      <c r="DE192" s="333"/>
      <c r="DF192" s="333"/>
      <c r="DG192" s="333"/>
      <c r="DH192" s="333"/>
      <c r="DI192" s="333"/>
      <c r="DJ192" s="333"/>
      <c r="DK192" s="333"/>
      <c r="DL192" s="333"/>
      <c r="DM192" s="333"/>
      <c r="DN192" s="333"/>
      <c r="DO192" s="333"/>
      <c r="DP192" s="333"/>
      <c r="DQ192" s="333"/>
      <c r="DR192" s="333"/>
      <c r="DS192" s="333"/>
      <c r="DT192" s="333">
        <v>45965</v>
      </c>
      <c r="DU192" s="334">
        <v>45972</v>
      </c>
      <c r="DV192" s="46">
        <v>46043</v>
      </c>
      <c r="DW192" s="46">
        <v>46125</v>
      </c>
      <c r="DX192" s="46"/>
      <c r="DY192" s="46"/>
      <c r="DZ192" s="46"/>
      <c r="EA192" s="46"/>
      <c r="EB192" s="46"/>
      <c r="EC192" s="46"/>
      <c r="ED192" s="142"/>
      <c r="EE192" s="142"/>
      <c r="EF192" s="344"/>
      <c r="EG192" s="345"/>
      <c r="EH192" s="345"/>
    </row>
    <row r="193" spans="2:138" ht="31.15">
      <c r="B193" s="356" t="s">
        <v>361</v>
      </c>
      <c r="C193" s="358" t="s">
        <v>384</v>
      </c>
      <c r="D193" s="360" t="s">
        <v>381</v>
      </c>
      <c r="E193" s="362" t="s">
        <v>364</v>
      </c>
      <c r="F193" s="358" t="s">
        <v>220</v>
      </c>
      <c r="G193" s="358" t="s">
        <v>206</v>
      </c>
      <c r="H193" s="181" t="s">
        <v>147</v>
      </c>
      <c r="I193" s="75">
        <v>45981</v>
      </c>
      <c r="J193" s="182"/>
      <c r="K193" s="249">
        <v>45986</v>
      </c>
      <c r="L193" s="249">
        <v>45991</v>
      </c>
      <c r="M193" s="182">
        <v>45993</v>
      </c>
      <c r="N193" s="182">
        <f>M193+7</f>
        <v>46000</v>
      </c>
      <c r="O193" s="182" t="s">
        <v>149</v>
      </c>
      <c r="P193" s="182">
        <f t="shared" ref="P193" si="2026">N193+7</f>
        <v>46007</v>
      </c>
      <c r="Q193" s="182">
        <f t="shared" ref="Q193" si="2027">P193+7</f>
        <v>46014</v>
      </c>
      <c r="R193" s="182">
        <f t="shared" ref="R193" si="2028">Q193+7</f>
        <v>46021</v>
      </c>
      <c r="S193" s="180" t="s">
        <v>149</v>
      </c>
      <c r="T193" s="180">
        <f t="shared" ref="T193" si="2029">R193+7</f>
        <v>46028</v>
      </c>
      <c r="U193" s="180">
        <f t="shared" ref="U193" si="2030">T193+7</f>
        <v>46035</v>
      </c>
      <c r="V193" s="180">
        <f t="shared" ref="V193" si="2031">U193+7</f>
        <v>46042</v>
      </c>
      <c r="W193" s="180" t="s">
        <v>149</v>
      </c>
      <c r="X193" s="180">
        <f t="shared" ref="X193" si="2032">V193+7</f>
        <v>46049</v>
      </c>
      <c r="Y193" s="180">
        <f t="shared" ref="Y193" si="2033">X193+7</f>
        <v>46056</v>
      </c>
      <c r="Z193" s="180">
        <f t="shared" ref="Z193" si="2034">Y193+7</f>
        <v>46063</v>
      </c>
      <c r="AA193" s="180" t="s">
        <v>149</v>
      </c>
      <c r="AB193" s="180">
        <f t="shared" ref="AB193" si="2035">Z193+7</f>
        <v>46070</v>
      </c>
      <c r="AC193" s="180">
        <f t="shared" ref="AC193" si="2036">AB193+7</f>
        <v>46077</v>
      </c>
      <c r="AD193" s="180">
        <f t="shared" ref="AD193" si="2037">AC193+7</f>
        <v>46084</v>
      </c>
      <c r="AE193" s="180" t="s">
        <v>149</v>
      </c>
      <c r="AF193" s="180">
        <f t="shared" ref="AF193" si="2038">AD193+7</f>
        <v>46091</v>
      </c>
      <c r="AG193" s="180">
        <f t="shared" ref="AG193" si="2039">AF193+7</f>
        <v>46098</v>
      </c>
      <c r="AH193" s="180">
        <f t="shared" ref="AH193" si="2040">AG193+7</f>
        <v>46105</v>
      </c>
      <c r="AI193" s="180" t="s">
        <v>149</v>
      </c>
      <c r="AJ193" s="180">
        <f t="shared" ref="AJ193" si="2041">AH193+7</f>
        <v>46112</v>
      </c>
      <c r="AK193" s="180">
        <f t="shared" ref="AK193" si="2042">AJ193+7</f>
        <v>46119</v>
      </c>
      <c r="AL193" s="180">
        <f t="shared" ref="AL193" si="2043">AK193+7</f>
        <v>46126</v>
      </c>
      <c r="AM193" s="180" t="s">
        <v>149</v>
      </c>
      <c r="AN193" s="180">
        <f t="shared" ref="AN193" si="2044">AL193+7</f>
        <v>46133</v>
      </c>
      <c r="AO193" s="180">
        <f t="shared" ref="AO193" si="2045">AN193+7</f>
        <v>46140</v>
      </c>
      <c r="AP193" s="180">
        <f t="shared" ref="AP193" si="2046">AO193+7</f>
        <v>46147</v>
      </c>
      <c r="AQ193" s="180" t="s">
        <v>149</v>
      </c>
      <c r="AR193" s="180">
        <f t="shared" ref="AR193" si="2047">AP193+7</f>
        <v>46154</v>
      </c>
      <c r="AS193" s="180">
        <f t="shared" ref="AS193" si="2048">AR193+7</f>
        <v>46161</v>
      </c>
      <c r="AT193" s="180">
        <f t="shared" ref="AT193" si="2049">AS193+7</f>
        <v>46168</v>
      </c>
      <c r="AU193" s="180" t="s">
        <v>149</v>
      </c>
      <c r="AV193" s="180">
        <f t="shared" ref="AV193" si="2050">AT193+7</f>
        <v>46175</v>
      </c>
      <c r="AW193" s="180">
        <f t="shared" ref="AW193" si="2051">AV193+7</f>
        <v>46182</v>
      </c>
      <c r="AX193" s="180">
        <f t="shared" ref="AX193" si="2052">AW193+7</f>
        <v>46189</v>
      </c>
      <c r="AY193" s="180" t="s">
        <v>149</v>
      </c>
      <c r="AZ193" s="180">
        <f t="shared" ref="AZ193" si="2053">AX193+7</f>
        <v>46196</v>
      </c>
      <c r="BA193" s="180">
        <f t="shared" ref="BA193" si="2054">AZ193+7</f>
        <v>46203</v>
      </c>
      <c r="BB193" s="180">
        <f t="shared" ref="BB193" si="2055">BA193+7</f>
        <v>46210</v>
      </c>
      <c r="BC193" s="180" t="s">
        <v>149</v>
      </c>
      <c r="BD193" s="180">
        <f t="shared" ref="BD193" si="2056">BB193+7</f>
        <v>46217</v>
      </c>
      <c r="BE193" s="180">
        <f t="shared" ref="BE193" si="2057">BD193+7</f>
        <v>46224</v>
      </c>
      <c r="BF193" s="180">
        <f t="shared" ref="BF193" si="2058">BE193+7</f>
        <v>46231</v>
      </c>
      <c r="BG193" s="180" t="s">
        <v>148</v>
      </c>
      <c r="BH193" s="180">
        <f t="shared" ref="BH193" si="2059">BF193+7</f>
        <v>46238</v>
      </c>
      <c r="BI193" s="180">
        <f t="shared" ref="BI193" si="2060">BH193+7</f>
        <v>46245</v>
      </c>
      <c r="BJ193" s="180">
        <f t="shared" ref="BJ193" si="2061">BI193+7</f>
        <v>46252</v>
      </c>
      <c r="BK193" s="180" t="s">
        <v>148</v>
      </c>
      <c r="BL193" s="180">
        <f t="shared" ref="BL193" si="2062">BJ193+7</f>
        <v>46259</v>
      </c>
      <c r="BM193" s="180">
        <f t="shared" ref="BM193" si="2063">BL193+7</f>
        <v>46266</v>
      </c>
      <c r="BN193" s="180">
        <f t="shared" ref="BN193" si="2064">BM193+7</f>
        <v>46273</v>
      </c>
      <c r="BO193" s="180" t="s">
        <v>149</v>
      </c>
      <c r="BP193" s="180">
        <f t="shared" ref="BP193" si="2065">BN193+7</f>
        <v>46280</v>
      </c>
      <c r="BQ193" s="180">
        <f t="shared" ref="BQ193" si="2066">BP193+7</f>
        <v>46287</v>
      </c>
      <c r="BR193" s="180">
        <f t="shared" ref="BR193" si="2067">BQ193+7</f>
        <v>46294</v>
      </c>
      <c r="BS193" s="180" t="s">
        <v>148</v>
      </c>
      <c r="BT193" s="180">
        <f t="shared" ref="BT193" si="2068">BR193+7</f>
        <v>46301</v>
      </c>
      <c r="BU193" s="180">
        <f t="shared" ref="BU193" si="2069">BT193+7</f>
        <v>46308</v>
      </c>
      <c r="BV193" s="180">
        <f t="shared" ref="BV193" si="2070">BU193+7</f>
        <v>46315</v>
      </c>
      <c r="BW193" s="180" t="s">
        <v>149</v>
      </c>
      <c r="BX193" s="180">
        <f t="shared" ref="BX193" si="2071">BV193+7</f>
        <v>46322</v>
      </c>
      <c r="BY193" s="180">
        <f t="shared" ref="BY193" si="2072">BX193+7</f>
        <v>46329</v>
      </c>
      <c r="BZ193" s="180">
        <f t="shared" ref="BZ193" si="2073">BY193+7</f>
        <v>46336</v>
      </c>
      <c r="CA193" s="180" t="s">
        <v>149</v>
      </c>
      <c r="CB193" s="180"/>
      <c r="CC193" s="180"/>
      <c r="CD193" s="180"/>
      <c r="CE193" s="180"/>
      <c r="CF193" s="180"/>
      <c r="CG193" s="180"/>
      <c r="CH193" s="180"/>
      <c r="CI193" s="180"/>
      <c r="CJ193" s="180"/>
      <c r="CK193" s="180"/>
      <c r="CL193" s="180"/>
      <c r="CM193" s="180"/>
      <c r="CN193" s="180"/>
      <c r="CO193" s="180"/>
      <c r="CP193" s="180"/>
      <c r="CQ193" s="180"/>
      <c r="CR193" s="180"/>
      <c r="CS193" s="180"/>
      <c r="CT193" s="180"/>
      <c r="CU193" s="180"/>
      <c r="CV193" s="180"/>
      <c r="CW193" s="180"/>
      <c r="CX193" s="180"/>
      <c r="CY193" s="180"/>
      <c r="CZ193" s="180"/>
      <c r="DA193" s="180"/>
      <c r="DB193" s="180"/>
      <c r="DC193" s="180"/>
      <c r="DD193" s="180"/>
      <c r="DE193" s="180"/>
      <c r="DF193" s="180"/>
      <c r="DG193" s="180"/>
      <c r="DH193" s="180"/>
      <c r="DI193" s="180"/>
      <c r="DJ193" s="180"/>
      <c r="DK193" s="180"/>
      <c r="DL193" s="180"/>
      <c r="DM193" s="180"/>
      <c r="DN193" s="180"/>
      <c r="DO193" s="180"/>
      <c r="DP193" s="180"/>
      <c r="DQ193" s="180"/>
      <c r="DR193" s="180"/>
      <c r="DS193" s="180"/>
      <c r="DT193" s="127">
        <v>46031</v>
      </c>
      <c r="DU193" s="127">
        <v>46045</v>
      </c>
      <c r="DV193" s="125"/>
      <c r="DW193" s="125"/>
      <c r="DX193" s="125"/>
      <c r="DY193" s="125"/>
      <c r="DZ193" s="125"/>
      <c r="EA193" s="125"/>
      <c r="EB193" s="125"/>
      <c r="EC193" s="125"/>
      <c r="ED193" s="268"/>
      <c r="EE193" s="128"/>
      <c r="EF193" s="339"/>
      <c r="EG193" s="338"/>
      <c r="EH193" s="339"/>
    </row>
    <row r="194" spans="2:138" ht="31.15">
      <c r="B194" s="357"/>
      <c r="C194" s="359"/>
      <c r="D194" s="361"/>
      <c r="E194" s="363"/>
      <c r="F194" s="359"/>
      <c r="G194" s="359"/>
      <c r="H194" s="324" t="s">
        <v>150</v>
      </c>
      <c r="I194" s="169">
        <v>45981</v>
      </c>
      <c r="J194" s="324"/>
      <c r="K194" s="169">
        <v>45986</v>
      </c>
      <c r="L194" s="169">
        <v>45991</v>
      </c>
      <c r="M194" s="202">
        <v>45993</v>
      </c>
      <c r="N194" s="169">
        <v>46000</v>
      </c>
      <c r="O194" s="324">
        <v>46006</v>
      </c>
      <c r="P194" s="169">
        <v>46010</v>
      </c>
      <c r="Q194" s="169">
        <v>46018</v>
      </c>
      <c r="R194" s="169">
        <v>46024</v>
      </c>
      <c r="S194" s="324"/>
      <c r="T194" s="169"/>
      <c r="U194" s="169"/>
      <c r="V194" s="169"/>
      <c r="W194" s="152"/>
      <c r="X194" s="169"/>
      <c r="Y194" s="169"/>
      <c r="Z194" s="169"/>
      <c r="AA194" s="176"/>
      <c r="AB194" s="169"/>
      <c r="AC194" s="169"/>
      <c r="AD194" s="169"/>
      <c r="AE194" s="177"/>
      <c r="AF194" s="177"/>
      <c r="AG194" s="177"/>
      <c r="AH194" s="177"/>
      <c r="AI194" s="177"/>
      <c r="AJ194" s="177"/>
      <c r="AK194" s="177"/>
      <c r="AL194" s="177"/>
      <c r="AM194" s="177"/>
      <c r="AN194" s="177"/>
      <c r="AO194" s="177"/>
      <c r="AP194" s="177"/>
      <c r="AQ194" s="178"/>
      <c r="AR194" s="177"/>
      <c r="AS194" s="177"/>
      <c r="AT194" s="177"/>
      <c r="AU194" s="177"/>
      <c r="AV194" s="177"/>
      <c r="AW194" s="177"/>
      <c r="AX194" s="177"/>
      <c r="AY194" s="177"/>
      <c r="AZ194" s="179"/>
      <c r="BA194" s="179"/>
      <c r="BB194" s="179"/>
      <c r="BC194" s="177"/>
      <c r="BD194" s="177"/>
      <c r="BE194" s="177"/>
      <c r="BF194" s="177"/>
      <c r="BG194" s="177"/>
      <c r="BH194" s="177"/>
      <c r="BI194" s="177"/>
      <c r="BJ194" s="177"/>
      <c r="BK194" s="177"/>
      <c r="BL194" s="177"/>
      <c r="BM194" s="177"/>
      <c r="BN194" s="177"/>
      <c r="BO194" s="177"/>
      <c r="BP194" s="177"/>
      <c r="BQ194" s="177"/>
      <c r="BR194" s="177"/>
      <c r="BS194" s="177"/>
      <c r="BT194" s="177"/>
      <c r="BU194" s="177"/>
      <c r="BV194" s="177"/>
      <c r="BW194" s="177"/>
      <c r="BX194" s="177"/>
      <c r="BY194" s="177"/>
      <c r="BZ194" s="177"/>
      <c r="CA194" s="177"/>
      <c r="CB194" s="177"/>
      <c r="CC194" s="177"/>
      <c r="CD194" s="177"/>
      <c r="CE194" s="177"/>
      <c r="CF194" s="177"/>
      <c r="CG194" s="177"/>
      <c r="CH194" s="177"/>
      <c r="CI194" s="177"/>
      <c r="CJ194" s="177"/>
      <c r="CK194" s="177"/>
      <c r="CL194" s="177"/>
      <c r="CM194" s="177"/>
      <c r="CN194" s="177"/>
      <c r="CO194" s="177"/>
      <c r="CP194" s="177"/>
      <c r="CQ194" s="177"/>
      <c r="CR194" s="177"/>
      <c r="CS194" s="177"/>
      <c r="CT194" s="177"/>
      <c r="CU194" s="177"/>
      <c r="CV194" s="177"/>
      <c r="CW194" s="177"/>
      <c r="CX194" s="177"/>
      <c r="CY194" s="177"/>
      <c r="CZ194" s="177"/>
      <c r="DA194" s="177"/>
      <c r="DB194" s="177"/>
      <c r="DC194" s="177"/>
      <c r="DD194" s="177"/>
      <c r="DE194" s="177"/>
      <c r="DF194" s="177"/>
      <c r="DG194" s="177"/>
      <c r="DH194" s="177"/>
      <c r="DI194" s="177"/>
      <c r="DJ194" s="177"/>
      <c r="DK194" s="177"/>
      <c r="DL194" s="177"/>
      <c r="DM194" s="177"/>
      <c r="DN194" s="177"/>
      <c r="DO194" s="177"/>
      <c r="DP194" s="177"/>
      <c r="DQ194" s="177"/>
      <c r="DR194" s="177"/>
      <c r="DS194" s="177"/>
      <c r="DT194" s="28">
        <v>46031</v>
      </c>
      <c r="DU194" s="132">
        <v>46045</v>
      </c>
      <c r="DV194" s="69">
        <v>46108</v>
      </c>
      <c r="DW194" s="69"/>
      <c r="DX194" s="69"/>
      <c r="DY194" s="69"/>
      <c r="DZ194" s="69"/>
      <c r="EA194" s="69"/>
      <c r="EB194" s="69"/>
      <c r="EC194" s="69"/>
      <c r="ED194" s="22"/>
      <c r="EE194" s="22"/>
      <c r="EF194" s="339"/>
      <c r="EG194" s="338"/>
      <c r="EH194" s="338"/>
    </row>
    <row r="195" spans="2:138" ht="31.15">
      <c r="B195" s="356" t="s">
        <v>368</v>
      </c>
      <c r="C195" s="358" t="s">
        <v>385</v>
      </c>
      <c r="D195" s="360" t="s">
        <v>212</v>
      </c>
      <c r="E195" s="360" t="s">
        <v>305</v>
      </c>
      <c r="F195" s="360" t="s">
        <v>220</v>
      </c>
      <c r="G195" s="360" t="s">
        <v>206</v>
      </c>
      <c r="H195" s="74" t="s">
        <v>147</v>
      </c>
      <c r="I195" s="162">
        <v>45901</v>
      </c>
      <c r="J195" s="165"/>
      <c r="K195" s="198">
        <v>45911</v>
      </c>
      <c r="L195" s="198" t="s">
        <v>149</v>
      </c>
      <c r="M195" s="198">
        <v>45925</v>
      </c>
      <c r="N195" s="76">
        <f t="shared" ref="N195" si="2074">M195+7</f>
        <v>45932</v>
      </c>
      <c r="O195" s="76" t="s">
        <v>149</v>
      </c>
      <c r="P195" s="76">
        <f t="shared" ref="P195" si="2075">N195+7</f>
        <v>45939</v>
      </c>
      <c r="Q195" s="76">
        <f t="shared" ref="Q195" si="2076">P195+7</f>
        <v>45946</v>
      </c>
      <c r="R195" s="76">
        <f t="shared" ref="R195" si="2077">Q195+7</f>
        <v>45953</v>
      </c>
      <c r="S195" s="77" t="s">
        <v>149</v>
      </c>
      <c r="T195" s="77">
        <f t="shared" ref="T195" si="2078">R195+7</f>
        <v>45960</v>
      </c>
      <c r="U195" s="77">
        <f t="shared" ref="U195" si="2079">T195+7</f>
        <v>45967</v>
      </c>
      <c r="V195" s="77">
        <f t="shared" ref="V195" si="2080">U195+7</f>
        <v>45974</v>
      </c>
      <c r="W195" s="77" t="s">
        <v>149</v>
      </c>
      <c r="X195" s="77">
        <f t="shared" ref="X195" si="2081">V195+7</f>
        <v>45981</v>
      </c>
      <c r="Y195" s="77">
        <f t="shared" ref="Y195" si="2082">X195+7</f>
        <v>45988</v>
      </c>
      <c r="Z195" s="77">
        <f t="shared" ref="Z195" si="2083">Y195+7</f>
        <v>45995</v>
      </c>
      <c r="AA195" s="77" t="s">
        <v>149</v>
      </c>
      <c r="AB195" s="77">
        <f t="shared" ref="AB195" si="2084">Z195+7</f>
        <v>46002</v>
      </c>
      <c r="AC195" s="77">
        <f t="shared" ref="AC195" si="2085">AB195+7</f>
        <v>46009</v>
      </c>
      <c r="AD195" s="77">
        <f t="shared" ref="AD195" si="2086">AC195+7</f>
        <v>46016</v>
      </c>
      <c r="AE195" s="77" t="s">
        <v>149</v>
      </c>
      <c r="AF195" s="77">
        <f t="shared" ref="AF195" si="2087">AD195+7</f>
        <v>46023</v>
      </c>
      <c r="AG195" s="77">
        <f t="shared" ref="AG195" si="2088">AF195+7</f>
        <v>46030</v>
      </c>
      <c r="AH195" s="77">
        <f t="shared" ref="AH195" si="2089">AG195+7</f>
        <v>46037</v>
      </c>
      <c r="AI195" s="77" t="s">
        <v>149</v>
      </c>
      <c r="AJ195" s="77">
        <f t="shared" ref="AJ195" si="2090">AH195+7</f>
        <v>46044</v>
      </c>
      <c r="AK195" s="77">
        <f t="shared" ref="AK195" si="2091">AJ195+7</f>
        <v>46051</v>
      </c>
      <c r="AL195" s="77">
        <f t="shared" ref="AL195" si="2092">AK195+7</f>
        <v>46058</v>
      </c>
      <c r="AM195" s="77" t="s">
        <v>149</v>
      </c>
      <c r="AN195" s="77">
        <f t="shared" ref="AN195" si="2093">AL195+7</f>
        <v>46065</v>
      </c>
      <c r="AO195" s="77">
        <f t="shared" ref="AO195" si="2094">AN195+7</f>
        <v>46072</v>
      </c>
      <c r="AP195" s="77">
        <f t="shared" ref="AP195" si="2095">AO195+7</f>
        <v>46079</v>
      </c>
      <c r="AQ195" s="77" t="s">
        <v>149</v>
      </c>
      <c r="AR195" s="77">
        <f t="shared" ref="AR195" si="2096">AP195+7</f>
        <v>46086</v>
      </c>
      <c r="AS195" s="77">
        <f t="shared" ref="AS195" si="2097">AR195+7</f>
        <v>46093</v>
      </c>
      <c r="AT195" s="77">
        <f t="shared" ref="AT195" si="2098">AS195+7</f>
        <v>46100</v>
      </c>
      <c r="AU195" s="77">
        <f t="shared" ref="AU195" si="2099">AT195+21</f>
        <v>46121</v>
      </c>
      <c r="AV195" s="77">
        <f t="shared" ref="AV195" si="2100">AT195+7</f>
        <v>46107</v>
      </c>
      <c r="AW195" s="77">
        <f t="shared" ref="AW195" si="2101">AV195+7</f>
        <v>46114</v>
      </c>
      <c r="AX195" s="77">
        <f t="shared" ref="AX195" si="2102">AW195+7</f>
        <v>46121</v>
      </c>
      <c r="AY195" s="77">
        <f t="shared" ref="AY195" si="2103">AX195+21</f>
        <v>46142</v>
      </c>
      <c r="AZ195" s="77">
        <f t="shared" ref="AZ195" si="2104">AX195+7</f>
        <v>46128</v>
      </c>
      <c r="BA195" s="77">
        <f t="shared" ref="BA195" si="2105">AZ195+7</f>
        <v>46135</v>
      </c>
      <c r="BB195" s="77">
        <f t="shared" ref="BB195" si="2106">BA195+7</f>
        <v>46142</v>
      </c>
      <c r="BC195" s="77" t="s">
        <v>148</v>
      </c>
      <c r="BD195" s="77">
        <f>BB195+7</f>
        <v>46149</v>
      </c>
      <c r="BE195" s="77">
        <f>BD195+7</f>
        <v>46156</v>
      </c>
      <c r="BF195" s="77">
        <f>BE195+7</f>
        <v>46163</v>
      </c>
      <c r="BG195" s="77" t="s">
        <v>148</v>
      </c>
      <c r="BH195" s="77">
        <f>BF195+7</f>
        <v>46170</v>
      </c>
      <c r="BI195" s="77">
        <f>BH195+7</f>
        <v>46177</v>
      </c>
      <c r="BJ195" s="77">
        <f>BI195+7</f>
        <v>46184</v>
      </c>
      <c r="BK195" s="77" t="s">
        <v>148</v>
      </c>
      <c r="BL195" s="77"/>
      <c r="BM195" s="77"/>
      <c r="BN195" s="77"/>
      <c r="BO195" s="77"/>
      <c r="BP195" s="77">
        <f>BN195+7</f>
        <v>7</v>
      </c>
      <c r="BQ195" s="77">
        <f>BP195+7</f>
        <v>14</v>
      </c>
      <c r="BR195" s="77">
        <f>BQ195+7</f>
        <v>21</v>
      </c>
      <c r="BS195" s="77" t="s">
        <v>148</v>
      </c>
      <c r="BT195" s="77"/>
      <c r="BU195" s="77"/>
      <c r="BV195" s="77"/>
      <c r="BW195" s="77"/>
      <c r="BX195" s="77"/>
      <c r="BY195" s="77"/>
      <c r="BZ195" s="77"/>
      <c r="CA195" s="77"/>
      <c r="CB195" s="77"/>
      <c r="CC195" s="77"/>
      <c r="CD195" s="77"/>
      <c r="CE195" s="77"/>
      <c r="CF195" s="77"/>
      <c r="CG195" s="77"/>
      <c r="CH195" s="77"/>
      <c r="CI195" s="77"/>
      <c r="CJ195" s="77"/>
      <c r="CK195" s="77"/>
      <c r="CL195" s="77"/>
      <c r="CM195" s="77"/>
      <c r="CN195" s="77"/>
      <c r="CO195" s="77"/>
      <c r="CP195" s="77"/>
      <c r="CQ195" s="77"/>
      <c r="CR195" s="77"/>
      <c r="CS195" s="77"/>
      <c r="CT195" s="77"/>
      <c r="CU195" s="77"/>
      <c r="CV195" s="77"/>
      <c r="CW195" s="77"/>
      <c r="CX195" s="77"/>
      <c r="CY195" s="77"/>
      <c r="CZ195" s="77"/>
      <c r="DA195" s="77"/>
      <c r="DB195" s="77"/>
      <c r="DC195" s="77"/>
      <c r="DD195" s="77"/>
      <c r="DE195" s="77"/>
      <c r="DF195" s="77"/>
      <c r="DG195" s="77"/>
      <c r="DH195" s="77"/>
      <c r="DI195" s="77"/>
      <c r="DJ195" s="77"/>
      <c r="DK195" s="77"/>
      <c r="DL195" s="77"/>
      <c r="DM195" s="77"/>
      <c r="DN195" s="77"/>
      <c r="DO195" s="77"/>
      <c r="DP195" s="77"/>
      <c r="DQ195" s="77"/>
      <c r="DR195" s="77"/>
      <c r="DS195" s="77"/>
      <c r="DT195" s="17">
        <v>45974</v>
      </c>
      <c r="DU195" s="17">
        <v>45995</v>
      </c>
      <c r="DV195" s="13"/>
      <c r="DW195" s="13"/>
      <c r="DX195" s="13"/>
      <c r="DY195" s="13"/>
      <c r="DZ195" s="13"/>
      <c r="EA195" s="13"/>
      <c r="EB195" s="13"/>
      <c r="EC195" s="13"/>
      <c r="ED195" s="24"/>
      <c r="EE195" s="24"/>
      <c r="EF195" s="339"/>
      <c r="EG195" s="338"/>
      <c r="EH195" s="338"/>
    </row>
    <row r="196" spans="2:138" ht="27.75">
      <c r="B196" s="357"/>
      <c r="C196" s="359"/>
      <c r="D196" s="361"/>
      <c r="E196" s="361"/>
      <c r="F196" s="361"/>
      <c r="G196" s="361"/>
      <c r="H196" s="330" t="s">
        <v>150</v>
      </c>
      <c r="I196" s="239">
        <v>45901</v>
      </c>
      <c r="J196" s="166"/>
      <c r="K196" s="201">
        <v>45911</v>
      </c>
      <c r="L196" s="201" t="s">
        <v>149</v>
      </c>
      <c r="M196" s="159">
        <v>45925</v>
      </c>
      <c r="N196" s="330">
        <v>45932</v>
      </c>
      <c r="O196" s="330">
        <v>45940</v>
      </c>
      <c r="P196" s="330">
        <v>45953</v>
      </c>
      <c r="Q196" s="330">
        <v>45960</v>
      </c>
      <c r="R196" s="324">
        <v>45967</v>
      </c>
      <c r="S196" s="330"/>
      <c r="T196" s="330"/>
      <c r="U196" s="154"/>
      <c r="V196" s="330"/>
      <c r="W196" s="330"/>
      <c r="X196" s="160"/>
      <c r="Y196" s="324"/>
      <c r="Z196" s="330"/>
      <c r="AA196" s="330"/>
      <c r="AB196" s="330"/>
      <c r="AC196" s="330"/>
      <c r="AD196" s="161"/>
      <c r="AE196" s="330"/>
      <c r="AF196" s="330"/>
      <c r="AG196" s="330"/>
      <c r="AH196" s="161"/>
      <c r="AI196" s="330"/>
      <c r="AJ196" s="330"/>
      <c r="AK196" s="330"/>
      <c r="AL196" s="161"/>
      <c r="AM196" s="330"/>
      <c r="AN196" s="330"/>
      <c r="AO196" s="330"/>
      <c r="AP196" s="161"/>
      <c r="AQ196" s="330"/>
      <c r="AR196" s="330"/>
      <c r="AS196" s="330"/>
      <c r="AT196" s="161"/>
      <c r="AU196" s="330"/>
      <c r="AV196" s="330"/>
      <c r="AW196" s="330"/>
      <c r="AX196" s="161"/>
      <c r="AY196" s="330"/>
      <c r="AZ196" s="330"/>
      <c r="BA196" s="330"/>
      <c r="BB196" s="161"/>
      <c r="BC196" s="330"/>
      <c r="BD196" s="330"/>
      <c r="BE196" s="330"/>
      <c r="BF196" s="330"/>
      <c r="BG196" s="330"/>
      <c r="BH196" s="330"/>
      <c r="BI196" s="330"/>
      <c r="BJ196" s="330"/>
      <c r="BK196" s="330"/>
      <c r="BL196" s="330"/>
      <c r="BM196" s="330"/>
      <c r="BN196" s="330"/>
      <c r="BO196" s="330"/>
      <c r="BP196" s="330"/>
      <c r="BQ196" s="330"/>
      <c r="BR196" s="330"/>
      <c r="BS196" s="330"/>
      <c r="BT196" s="330"/>
      <c r="BU196" s="330"/>
      <c r="BV196" s="330"/>
      <c r="BW196" s="330"/>
      <c r="BX196" s="330"/>
      <c r="BY196" s="330"/>
      <c r="BZ196" s="330"/>
      <c r="CA196" s="330"/>
      <c r="CB196" s="330"/>
      <c r="CC196" s="330"/>
      <c r="CD196" s="330"/>
      <c r="CE196" s="330"/>
      <c r="CF196" s="330"/>
      <c r="CG196" s="330"/>
      <c r="CH196" s="330"/>
      <c r="CI196" s="330"/>
      <c r="CJ196" s="330"/>
      <c r="CK196" s="330"/>
      <c r="CL196" s="330"/>
      <c r="CM196" s="330"/>
      <c r="CN196" s="330"/>
      <c r="CO196" s="330"/>
      <c r="CP196" s="330"/>
      <c r="CQ196" s="330"/>
      <c r="CR196" s="330"/>
      <c r="CS196" s="330"/>
      <c r="CT196" s="330"/>
      <c r="CU196" s="330"/>
      <c r="CV196" s="330"/>
      <c r="CW196" s="330"/>
      <c r="CX196" s="330"/>
      <c r="CY196" s="330"/>
      <c r="CZ196" s="330"/>
      <c r="DA196" s="330"/>
      <c r="DB196" s="330"/>
      <c r="DC196" s="330"/>
      <c r="DD196" s="330"/>
      <c r="DE196" s="330"/>
      <c r="DF196" s="330"/>
      <c r="DG196" s="330"/>
      <c r="DH196" s="330"/>
      <c r="DI196" s="330"/>
      <c r="DJ196" s="330"/>
      <c r="DK196" s="330"/>
      <c r="DL196" s="330"/>
      <c r="DM196" s="330"/>
      <c r="DN196" s="330"/>
      <c r="DO196" s="330"/>
      <c r="DP196" s="330"/>
      <c r="DQ196" s="330"/>
      <c r="DR196" s="330"/>
      <c r="DS196" s="330"/>
      <c r="DT196" s="321">
        <v>45974</v>
      </c>
      <c r="DU196" s="321">
        <v>45995</v>
      </c>
      <c r="DV196" s="321">
        <v>46045</v>
      </c>
      <c r="DW196" s="321">
        <v>46142</v>
      </c>
      <c r="DX196" s="321"/>
      <c r="DY196" s="321"/>
      <c r="DZ196" s="321"/>
      <c r="EA196" s="321"/>
      <c r="EB196" s="321"/>
      <c r="EC196" s="321"/>
      <c r="ED196" s="25"/>
      <c r="EE196" s="25"/>
      <c r="EF196" s="339"/>
      <c r="EG196" s="338"/>
      <c r="EH196" s="338"/>
    </row>
    <row r="197" spans="2:138" ht="27.75">
      <c r="B197" s="356" t="s">
        <v>361</v>
      </c>
      <c r="C197" s="358" t="s">
        <v>386</v>
      </c>
      <c r="D197" s="360" t="s">
        <v>363</v>
      </c>
      <c r="E197" s="358" t="s">
        <v>364</v>
      </c>
      <c r="F197" s="358" t="s">
        <v>174</v>
      </c>
      <c r="G197" s="358" t="s">
        <v>206</v>
      </c>
      <c r="H197" s="181" t="s">
        <v>147</v>
      </c>
      <c r="I197" s="75">
        <v>45979</v>
      </c>
      <c r="J197" s="182"/>
      <c r="K197" s="249">
        <v>45985</v>
      </c>
      <c r="L197" s="249">
        <v>45989</v>
      </c>
      <c r="M197" s="182">
        <v>45992</v>
      </c>
      <c r="N197" s="182">
        <f t="shared" ref="N197" si="2107">M197+7</f>
        <v>45999</v>
      </c>
      <c r="O197" s="182">
        <v>46006</v>
      </c>
      <c r="P197" s="182">
        <v>46007</v>
      </c>
      <c r="Q197" s="182">
        <f t="shared" ref="Q197" si="2108">P197+7</f>
        <v>46014</v>
      </c>
      <c r="R197" s="182">
        <f t="shared" ref="R197" si="2109">Q197+7</f>
        <v>46021</v>
      </c>
      <c r="S197" s="180" t="s">
        <v>149</v>
      </c>
      <c r="T197" s="180">
        <f t="shared" ref="T197" si="2110">R197+7</f>
        <v>46028</v>
      </c>
      <c r="U197" s="180">
        <f t="shared" ref="U197" si="2111">T197+7</f>
        <v>46035</v>
      </c>
      <c r="V197" s="180">
        <f t="shared" ref="V197" si="2112">U197+7</f>
        <v>46042</v>
      </c>
      <c r="W197" s="180" t="s">
        <v>149</v>
      </c>
      <c r="X197" s="180">
        <f t="shared" ref="X197" si="2113">V197+7</f>
        <v>46049</v>
      </c>
      <c r="Y197" s="180">
        <f t="shared" ref="Y197" si="2114">X197+7</f>
        <v>46056</v>
      </c>
      <c r="Z197" s="180">
        <f t="shared" ref="Z197" si="2115">Y197+7</f>
        <v>46063</v>
      </c>
      <c r="AA197" s="180" t="s">
        <v>149</v>
      </c>
      <c r="AB197" s="180">
        <f t="shared" ref="AB197" si="2116">Z197+7</f>
        <v>46070</v>
      </c>
      <c r="AC197" s="180">
        <f t="shared" ref="AC197" si="2117">AB197+7</f>
        <v>46077</v>
      </c>
      <c r="AD197" s="180">
        <f t="shared" ref="AD197" si="2118">AC197+7</f>
        <v>46084</v>
      </c>
      <c r="AE197" s="180" t="s">
        <v>149</v>
      </c>
      <c r="AF197" s="180">
        <f t="shared" ref="AF197" si="2119">AD197+7</f>
        <v>46091</v>
      </c>
      <c r="AG197" s="180">
        <f t="shared" ref="AG197" si="2120">AF197+7</f>
        <v>46098</v>
      </c>
      <c r="AH197" s="180">
        <f t="shared" ref="AH197" si="2121">AG197+7</f>
        <v>46105</v>
      </c>
      <c r="AI197" s="180" t="s">
        <v>149</v>
      </c>
      <c r="AJ197" s="180">
        <f t="shared" ref="AJ197" si="2122">AH197+7</f>
        <v>46112</v>
      </c>
      <c r="AK197" s="180">
        <f t="shared" ref="AK197" si="2123">AJ197+7</f>
        <v>46119</v>
      </c>
      <c r="AL197" s="180">
        <f t="shared" ref="AL197" si="2124">AK197+7</f>
        <v>46126</v>
      </c>
      <c r="AM197" s="180" t="s">
        <v>149</v>
      </c>
      <c r="AN197" s="180">
        <f t="shared" ref="AN197" si="2125">AL197+7</f>
        <v>46133</v>
      </c>
      <c r="AO197" s="180">
        <f t="shared" ref="AO197" si="2126">AN197+7</f>
        <v>46140</v>
      </c>
      <c r="AP197" s="180">
        <f t="shared" ref="AP197" si="2127">AO197+7</f>
        <v>46147</v>
      </c>
      <c r="AQ197" s="180" t="s">
        <v>149</v>
      </c>
      <c r="AR197" s="180">
        <f t="shared" ref="AR197" si="2128">AP197+7</f>
        <v>46154</v>
      </c>
      <c r="AS197" s="180">
        <f t="shared" ref="AS197" si="2129">AR197+7</f>
        <v>46161</v>
      </c>
      <c r="AT197" s="180">
        <f t="shared" ref="AT197" si="2130">AS197+7</f>
        <v>46168</v>
      </c>
      <c r="AU197" s="180" t="s">
        <v>149</v>
      </c>
      <c r="AV197" s="180">
        <f t="shared" ref="AV197" si="2131">AT197+7</f>
        <v>46175</v>
      </c>
      <c r="AW197" s="180">
        <f t="shared" ref="AW197" si="2132">AV197+7</f>
        <v>46182</v>
      </c>
      <c r="AX197" s="180">
        <f t="shared" ref="AX197" si="2133">AW197+7</f>
        <v>46189</v>
      </c>
      <c r="AY197" s="180" t="s">
        <v>149</v>
      </c>
      <c r="AZ197" s="180">
        <f t="shared" ref="AZ197" si="2134">AX197+7</f>
        <v>46196</v>
      </c>
      <c r="BA197" s="180">
        <f t="shared" ref="BA197" si="2135">AZ197+7</f>
        <v>46203</v>
      </c>
      <c r="BB197" s="180">
        <f t="shared" ref="BB197" si="2136">BA197+7</f>
        <v>46210</v>
      </c>
      <c r="BC197" s="180" t="s">
        <v>149</v>
      </c>
      <c r="BD197" s="180">
        <f t="shared" ref="BD197" si="2137">BB197+7</f>
        <v>46217</v>
      </c>
      <c r="BE197" s="180">
        <f t="shared" ref="BE197" si="2138">BD197+7</f>
        <v>46224</v>
      </c>
      <c r="BF197" s="180">
        <f t="shared" ref="BF197" si="2139">BE197+7</f>
        <v>46231</v>
      </c>
      <c r="BG197" s="180" t="s">
        <v>148</v>
      </c>
      <c r="BH197" s="180">
        <f t="shared" ref="BH197" si="2140">BF197+7</f>
        <v>46238</v>
      </c>
      <c r="BI197" s="180">
        <f t="shared" ref="BI197" si="2141">BH197+7</f>
        <v>46245</v>
      </c>
      <c r="BJ197" s="180">
        <f t="shared" ref="BJ197" si="2142">BI197+7</f>
        <v>46252</v>
      </c>
      <c r="BK197" s="180" t="s">
        <v>148</v>
      </c>
      <c r="BL197" s="180">
        <f t="shared" ref="BL197" si="2143">BJ197+7</f>
        <v>46259</v>
      </c>
      <c r="BM197" s="180">
        <f t="shared" ref="BM197" si="2144">BL197+7</f>
        <v>46266</v>
      </c>
      <c r="BN197" s="180">
        <f t="shared" ref="BN197" si="2145">BM197+7</f>
        <v>46273</v>
      </c>
      <c r="BO197" s="180" t="s">
        <v>149</v>
      </c>
      <c r="BP197" s="180">
        <f t="shared" ref="BP197" si="2146">BN197+7</f>
        <v>46280</v>
      </c>
      <c r="BQ197" s="180">
        <f t="shared" ref="BQ197" si="2147">BP197+7</f>
        <v>46287</v>
      </c>
      <c r="BR197" s="180">
        <f t="shared" ref="BR197" si="2148">BQ197+7</f>
        <v>46294</v>
      </c>
      <c r="BS197" s="180" t="s">
        <v>148</v>
      </c>
      <c r="BT197" s="180">
        <f t="shared" ref="BT197" si="2149">BR197+7</f>
        <v>46301</v>
      </c>
      <c r="BU197" s="180">
        <f t="shared" ref="BU197" si="2150">BT197+7</f>
        <v>46308</v>
      </c>
      <c r="BV197" s="180">
        <f t="shared" ref="BV197" si="2151">BU197+7</f>
        <v>46315</v>
      </c>
      <c r="BW197" s="180" t="s">
        <v>149</v>
      </c>
      <c r="BX197" s="180">
        <f t="shared" ref="BX197" si="2152">BV197+7</f>
        <v>46322</v>
      </c>
      <c r="BY197" s="180">
        <f t="shared" ref="BY197" si="2153">BX197+7</f>
        <v>46329</v>
      </c>
      <c r="BZ197" s="180">
        <f t="shared" ref="BZ197" si="2154">BY197+7</f>
        <v>46336</v>
      </c>
      <c r="CA197" s="180" t="s">
        <v>149</v>
      </c>
      <c r="CB197" s="180"/>
      <c r="CC197" s="180"/>
      <c r="CD197" s="180"/>
      <c r="CE197" s="180"/>
      <c r="CF197" s="180"/>
      <c r="CG197" s="180"/>
      <c r="CH197" s="180"/>
      <c r="CI197" s="180"/>
      <c r="CJ197" s="180"/>
      <c r="CK197" s="180"/>
      <c r="CL197" s="180"/>
      <c r="CM197" s="180"/>
      <c r="CN197" s="180"/>
      <c r="CO197" s="180"/>
      <c r="CP197" s="180"/>
      <c r="CQ197" s="180"/>
      <c r="CR197" s="180"/>
      <c r="CS197" s="180"/>
      <c r="CT197" s="180"/>
      <c r="CU197" s="180"/>
      <c r="CV197" s="180"/>
      <c r="CW197" s="180"/>
      <c r="CX197" s="180"/>
      <c r="CY197" s="180"/>
      <c r="CZ197" s="180"/>
      <c r="DA197" s="180"/>
      <c r="DB197" s="180"/>
      <c r="DC197" s="180"/>
      <c r="DD197" s="180"/>
      <c r="DE197" s="180"/>
      <c r="DF197" s="180"/>
      <c r="DG197" s="180"/>
      <c r="DH197" s="180"/>
      <c r="DI197" s="180"/>
      <c r="DJ197" s="180"/>
      <c r="DK197" s="180"/>
      <c r="DL197" s="180"/>
      <c r="DM197" s="180"/>
      <c r="DN197" s="180"/>
      <c r="DO197" s="180"/>
      <c r="DP197" s="180"/>
      <c r="DQ197" s="180"/>
      <c r="DR197" s="180"/>
      <c r="DS197" s="180"/>
      <c r="DT197" s="127">
        <v>46028</v>
      </c>
      <c r="DU197" s="127">
        <v>46042</v>
      </c>
      <c r="DV197" s="125"/>
      <c r="DW197" s="125"/>
      <c r="DX197" s="125"/>
      <c r="DY197" s="125"/>
      <c r="DZ197" s="125"/>
      <c r="EA197" s="125"/>
      <c r="EB197" s="125"/>
      <c r="EC197" s="125"/>
      <c r="ED197" s="268"/>
      <c r="EE197" s="128"/>
      <c r="EF197" s="339"/>
      <c r="EG197" s="338"/>
      <c r="EH197" s="339"/>
    </row>
    <row r="198" spans="2:138" ht="31.15">
      <c r="B198" s="357"/>
      <c r="C198" s="359"/>
      <c r="D198" s="361"/>
      <c r="E198" s="359"/>
      <c r="F198" s="359"/>
      <c r="G198" s="359"/>
      <c r="H198" s="324" t="s">
        <v>150</v>
      </c>
      <c r="I198" s="169">
        <v>45979</v>
      </c>
      <c r="J198" s="324"/>
      <c r="K198" s="169">
        <v>45985</v>
      </c>
      <c r="L198" s="169">
        <v>45989</v>
      </c>
      <c r="M198" s="202">
        <v>45992</v>
      </c>
      <c r="N198" s="169">
        <v>45999</v>
      </c>
      <c r="O198" s="324">
        <v>46006</v>
      </c>
      <c r="P198" s="169">
        <v>46007</v>
      </c>
      <c r="Q198" s="169">
        <v>46014</v>
      </c>
      <c r="R198" s="169">
        <v>46021</v>
      </c>
      <c r="S198" s="324"/>
      <c r="T198" s="169"/>
      <c r="U198" s="169"/>
      <c r="V198" s="169"/>
      <c r="W198" s="152"/>
      <c r="X198" s="169"/>
      <c r="Y198" s="169"/>
      <c r="Z198" s="169"/>
      <c r="AA198" s="176"/>
      <c r="AB198" s="169"/>
      <c r="AC198" s="169"/>
      <c r="AD198" s="169"/>
      <c r="AE198" s="177"/>
      <c r="AF198" s="177"/>
      <c r="AG198" s="177"/>
      <c r="AH198" s="177"/>
      <c r="AI198" s="177"/>
      <c r="AJ198" s="177"/>
      <c r="AK198" s="177"/>
      <c r="AL198" s="177"/>
      <c r="AM198" s="177"/>
      <c r="AN198" s="177"/>
      <c r="AO198" s="177"/>
      <c r="AP198" s="177"/>
      <c r="AQ198" s="178"/>
      <c r="AR198" s="177"/>
      <c r="AS198" s="177"/>
      <c r="AT198" s="177"/>
      <c r="AU198" s="177"/>
      <c r="AV198" s="177"/>
      <c r="AW198" s="177"/>
      <c r="AX198" s="177"/>
      <c r="AY198" s="177"/>
      <c r="AZ198" s="179"/>
      <c r="BA198" s="179"/>
      <c r="BB198" s="179"/>
      <c r="BC198" s="177"/>
      <c r="BD198" s="177"/>
      <c r="BE198" s="177"/>
      <c r="BF198" s="177"/>
      <c r="BG198" s="177"/>
      <c r="BH198" s="177"/>
      <c r="BI198" s="177"/>
      <c r="BJ198" s="177"/>
      <c r="BK198" s="177"/>
      <c r="BL198" s="177"/>
      <c r="BM198" s="177"/>
      <c r="BN198" s="177"/>
      <c r="BO198" s="177"/>
      <c r="BP198" s="177"/>
      <c r="BQ198" s="177"/>
      <c r="BR198" s="177"/>
      <c r="BS198" s="177"/>
      <c r="BT198" s="177"/>
      <c r="BU198" s="177"/>
      <c r="BV198" s="177"/>
      <c r="BW198" s="177"/>
      <c r="BX198" s="177"/>
      <c r="BY198" s="177"/>
      <c r="BZ198" s="177"/>
      <c r="CA198" s="177"/>
      <c r="CB198" s="177"/>
      <c r="CC198" s="177"/>
      <c r="CD198" s="177"/>
      <c r="CE198" s="177"/>
      <c r="CF198" s="177"/>
      <c r="CG198" s="177"/>
      <c r="CH198" s="177"/>
      <c r="CI198" s="177"/>
      <c r="CJ198" s="177"/>
      <c r="CK198" s="177"/>
      <c r="CL198" s="177"/>
      <c r="CM198" s="177"/>
      <c r="CN198" s="177"/>
      <c r="CO198" s="177"/>
      <c r="CP198" s="177"/>
      <c r="CQ198" s="177"/>
      <c r="CR198" s="177"/>
      <c r="CS198" s="177"/>
      <c r="CT198" s="177"/>
      <c r="CU198" s="177"/>
      <c r="CV198" s="177"/>
      <c r="CW198" s="177"/>
      <c r="CX198" s="177"/>
      <c r="CY198" s="177"/>
      <c r="CZ198" s="177"/>
      <c r="DA198" s="177"/>
      <c r="DB198" s="177"/>
      <c r="DC198" s="177"/>
      <c r="DD198" s="177"/>
      <c r="DE198" s="177"/>
      <c r="DF198" s="177"/>
      <c r="DG198" s="177"/>
      <c r="DH198" s="177"/>
      <c r="DI198" s="177"/>
      <c r="DJ198" s="177"/>
      <c r="DK198" s="177"/>
      <c r="DL198" s="177"/>
      <c r="DM198" s="177"/>
      <c r="DN198" s="177"/>
      <c r="DO198" s="177"/>
      <c r="DP198" s="177"/>
      <c r="DQ198" s="177"/>
      <c r="DR198" s="177"/>
      <c r="DS198" s="177"/>
      <c r="DT198" s="28">
        <v>46028</v>
      </c>
      <c r="DU198" s="132">
        <v>46042</v>
      </c>
      <c r="DV198" s="69">
        <v>46099</v>
      </c>
      <c r="DW198" s="69"/>
      <c r="DX198" s="69"/>
      <c r="DY198" s="69"/>
      <c r="DZ198" s="69"/>
      <c r="EA198" s="69"/>
      <c r="EB198" s="69"/>
      <c r="EC198" s="69"/>
      <c r="ED198" s="22"/>
      <c r="EE198" s="22"/>
      <c r="EF198" s="339"/>
      <c r="EG198" s="338"/>
      <c r="EH198" s="338"/>
    </row>
    <row r="199" spans="2:138" s="119" customFormat="1" ht="31.15">
      <c r="B199" s="352" t="s">
        <v>361</v>
      </c>
      <c r="C199" s="340" t="s">
        <v>387</v>
      </c>
      <c r="D199" s="342" t="s">
        <v>363</v>
      </c>
      <c r="E199" s="340" t="s">
        <v>364</v>
      </c>
      <c r="F199" s="340" t="s">
        <v>229</v>
      </c>
      <c r="G199" s="340" t="s">
        <v>206</v>
      </c>
      <c r="H199" s="40" t="s">
        <v>147</v>
      </c>
      <c r="I199" s="31">
        <v>45992</v>
      </c>
      <c r="J199" s="94"/>
      <c r="K199" s="233"/>
      <c r="L199" s="233"/>
      <c r="M199" s="94"/>
      <c r="N199" s="94">
        <f t="shared" ref="N199" si="2155">M199+7</f>
        <v>7</v>
      </c>
      <c r="O199" s="94" t="s">
        <v>149</v>
      </c>
      <c r="P199" s="94">
        <f t="shared" ref="P199" si="2156">N199+7</f>
        <v>14</v>
      </c>
      <c r="Q199" s="94">
        <f t="shared" ref="Q199" si="2157">P199+7</f>
        <v>21</v>
      </c>
      <c r="R199" s="94">
        <f t="shared" ref="R199" si="2158">Q199+7</f>
        <v>28</v>
      </c>
      <c r="S199" s="141" t="s">
        <v>149</v>
      </c>
      <c r="T199" s="141">
        <f t="shared" ref="T199" si="2159">R199+7</f>
        <v>35</v>
      </c>
      <c r="U199" s="141">
        <f t="shared" ref="U199" si="2160">T199+7</f>
        <v>42</v>
      </c>
      <c r="V199" s="141">
        <f t="shared" ref="V199" si="2161">U199+7</f>
        <v>49</v>
      </c>
      <c r="W199" s="141" t="s">
        <v>149</v>
      </c>
      <c r="X199" s="141">
        <f t="shared" ref="X199" si="2162">V199+7</f>
        <v>56</v>
      </c>
      <c r="Y199" s="141">
        <f t="shared" ref="Y199" si="2163">X199+7</f>
        <v>63</v>
      </c>
      <c r="Z199" s="141">
        <f t="shared" ref="Z199" si="2164">Y199+7</f>
        <v>70</v>
      </c>
      <c r="AA199" s="141" t="s">
        <v>149</v>
      </c>
      <c r="AB199" s="141">
        <f t="shared" ref="AB199" si="2165">Z199+7</f>
        <v>77</v>
      </c>
      <c r="AC199" s="141">
        <f t="shared" ref="AC199" si="2166">AB199+7</f>
        <v>84</v>
      </c>
      <c r="AD199" s="141">
        <f t="shared" ref="AD199" si="2167">AC199+7</f>
        <v>91</v>
      </c>
      <c r="AE199" s="141" t="s">
        <v>149</v>
      </c>
      <c r="AF199" s="141">
        <f t="shared" ref="AF199" si="2168">AD199+7</f>
        <v>98</v>
      </c>
      <c r="AG199" s="141">
        <f t="shared" ref="AG199" si="2169">AF199+7</f>
        <v>105</v>
      </c>
      <c r="AH199" s="141">
        <f t="shared" ref="AH199" si="2170">AG199+7</f>
        <v>112</v>
      </c>
      <c r="AI199" s="141" t="s">
        <v>149</v>
      </c>
      <c r="AJ199" s="141">
        <f t="shared" ref="AJ199" si="2171">AH199+7</f>
        <v>119</v>
      </c>
      <c r="AK199" s="141">
        <f t="shared" ref="AK199" si="2172">AJ199+7</f>
        <v>126</v>
      </c>
      <c r="AL199" s="141">
        <f t="shared" ref="AL199" si="2173">AK199+7</f>
        <v>133</v>
      </c>
      <c r="AM199" s="141" t="s">
        <v>149</v>
      </c>
      <c r="AN199" s="141">
        <f t="shared" ref="AN199" si="2174">AL199+7</f>
        <v>140</v>
      </c>
      <c r="AO199" s="141">
        <f t="shared" ref="AO199" si="2175">AN199+7</f>
        <v>147</v>
      </c>
      <c r="AP199" s="141">
        <f t="shared" ref="AP199" si="2176">AO199+7</f>
        <v>154</v>
      </c>
      <c r="AQ199" s="141" t="s">
        <v>149</v>
      </c>
      <c r="AR199" s="141">
        <f t="shared" ref="AR199" si="2177">AP199+7</f>
        <v>161</v>
      </c>
      <c r="AS199" s="141">
        <f t="shared" ref="AS199" si="2178">AR199+7</f>
        <v>168</v>
      </c>
      <c r="AT199" s="141">
        <f t="shared" ref="AT199" si="2179">AS199+7</f>
        <v>175</v>
      </c>
      <c r="AU199" s="141" t="s">
        <v>149</v>
      </c>
      <c r="AV199" s="141">
        <f t="shared" ref="AV199" si="2180">AT199+7</f>
        <v>182</v>
      </c>
      <c r="AW199" s="141">
        <f t="shared" ref="AW199" si="2181">AV199+7</f>
        <v>189</v>
      </c>
      <c r="AX199" s="141">
        <f t="shared" ref="AX199" si="2182">AW199+7</f>
        <v>196</v>
      </c>
      <c r="AY199" s="141" t="s">
        <v>149</v>
      </c>
      <c r="AZ199" s="141">
        <f t="shared" ref="AZ199" si="2183">AX199+7</f>
        <v>203</v>
      </c>
      <c r="BA199" s="141">
        <f t="shared" ref="BA199" si="2184">AZ199+7</f>
        <v>210</v>
      </c>
      <c r="BB199" s="141">
        <f t="shared" ref="BB199" si="2185">BA199+7</f>
        <v>217</v>
      </c>
      <c r="BC199" s="141" t="s">
        <v>149</v>
      </c>
      <c r="BD199" s="141">
        <f t="shared" ref="BD199" si="2186">BB199+7</f>
        <v>224</v>
      </c>
      <c r="BE199" s="141">
        <f t="shared" ref="BE199" si="2187">BD199+7</f>
        <v>231</v>
      </c>
      <c r="BF199" s="141">
        <f t="shared" ref="BF199" si="2188">BE199+7</f>
        <v>238</v>
      </c>
      <c r="BG199" s="141" t="s">
        <v>148</v>
      </c>
      <c r="BH199" s="141">
        <f t="shared" ref="BH199" si="2189">BF199+7</f>
        <v>245</v>
      </c>
      <c r="BI199" s="141">
        <f t="shared" ref="BI199" si="2190">BH199+7</f>
        <v>252</v>
      </c>
      <c r="BJ199" s="141">
        <f t="shared" ref="BJ199" si="2191">BI199+7</f>
        <v>259</v>
      </c>
      <c r="BK199" s="141" t="s">
        <v>148</v>
      </c>
      <c r="BL199" s="141">
        <f t="shared" ref="BL199" si="2192">BJ199+7</f>
        <v>266</v>
      </c>
      <c r="BM199" s="141">
        <f t="shared" ref="BM199" si="2193">BL199+7</f>
        <v>273</v>
      </c>
      <c r="BN199" s="141">
        <f t="shared" ref="BN199" si="2194">BM199+7</f>
        <v>280</v>
      </c>
      <c r="BO199" s="141" t="s">
        <v>149</v>
      </c>
      <c r="BP199" s="141">
        <f t="shared" ref="BP199" si="2195">BN199+7</f>
        <v>287</v>
      </c>
      <c r="BQ199" s="141">
        <f t="shared" ref="BQ199" si="2196">BP199+7</f>
        <v>294</v>
      </c>
      <c r="BR199" s="141">
        <f t="shared" ref="BR199" si="2197">BQ199+7</f>
        <v>301</v>
      </c>
      <c r="BS199" s="141" t="s">
        <v>148</v>
      </c>
      <c r="BT199" s="141">
        <f t="shared" ref="BT199" si="2198">BR199+7</f>
        <v>308</v>
      </c>
      <c r="BU199" s="141">
        <f t="shared" ref="BU199" si="2199">BT199+7</f>
        <v>315</v>
      </c>
      <c r="BV199" s="141">
        <f t="shared" ref="BV199" si="2200">BU199+7</f>
        <v>322</v>
      </c>
      <c r="BW199" s="141" t="s">
        <v>149</v>
      </c>
      <c r="BX199" s="141">
        <f t="shared" ref="BX199" si="2201">BV199+7</f>
        <v>329</v>
      </c>
      <c r="BY199" s="141">
        <f t="shared" ref="BY199" si="2202">BX199+7</f>
        <v>336</v>
      </c>
      <c r="BZ199" s="141">
        <f t="shared" ref="BZ199" si="2203">BY199+7</f>
        <v>343</v>
      </c>
      <c r="CA199" s="141" t="s">
        <v>149</v>
      </c>
      <c r="CB199" s="141"/>
      <c r="CC199" s="141"/>
      <c r="CD199" s="141"/>
      <c r="CE199" s="141"/>
      <c r="CF199" s="141"/>
      <c r="CG199" s="141"/>
      <c r="CH199" s="141"/>
      <c r="CI199" s="141"/>
      <c r="CJ199" s="141"/>
      <c r="CK199" s="141"/>
      <c r="CL199" s="141"/>
      <c r="CM199" s="141"/>
      <c r="CN199" s="141"/>
      <c r="CO199" s="141"/>
      <c r="CP199" s="141"/>
      <c r="CQ199" s="141"/>
      <c r="CR199" s="141"/>
      <c r="CS199" s="141"/>
      <c r="CT199" s="141"/>
      <c r="CU199" s="141"/>
      <c r="CV199" s="141"/>
      <c r="CW199" s="141"/>
      <c r="CX199" s="141"/>
      <c r="CY199" s="141"/>
      <c r="CZ199" s="141"/>
      <c r="DA199" s="141"/>
      <c r="DB199" s="141"/>
      <c r="DC199" s="141"/>
      <c r="DD199" s="141"/>
      <c r="DE199" s="141"/>
      <c r="DF199" s="141"/>
      <c r="DG199" s="141"/>
      <c r="DH199" s="141"/>
      <c r="DI199" s="141"/>
      <c r="DJ199" s="141"/>
      <c r="DK199" s="141"/>
      <c r="DL199" s="141"/>
      <c r="DM199" s="141"/>
      <c r="DN199" s="141"/>
      <c r="DO199" s="141"/>
      <c r="DP199" s="141"/>
      <c r="DQ199" s="141"/>
      <c r="DR199" s="141"/>
      <c r="DS199" s="141"/>
      <c r="DT199" s="141"/>
      <c r="DU199" s="141"/>
      <c r="DV199" s="40"/>
      <c r="DW199" s="40"/>
      <c r="DX199" s="40"/>
      <c r="DY199" s="40"/>
      <c r="DZ199" s="40"/>
      <c r="EA199" s="40"/>
      <c r="EB199" s="40"/>
      <c r="EC199" s="40"/>
      <c r="ED199" s="267"/>
      <c r="EE199" s="35"/>
      <c r="EF199" s="344"/>
      <c r="EG199" s="345"/>
      <c r="EH199" s="344"/>
    </row>
    <row r="200" spans="2:138" s="119" customFormat="1" ht="31.15">
      <c r="B200" s="353"/>
      <c r="C200" s="341"/>
      <c r="D200" s="343"/>
      <c r="E200" s="341"/>
      <c r="F200" s="341"/>
      <c r="G200" s="341"/>
      <c r="H200" s="325" t="s">
        <v>150</v>
      </c>
      <c r="I200" s="112">
        <v>45992</v>
      </c>
      <c r="J200" s="325"/>
      <c r="K200" s="112"/>
      <c r="L200" s="112"/>
      <c r="M200" s="195"/>
      <c r="N200" s="112"/>
      <c r="O200" s="325"/>
      <c r="P200" s="112"/>
      <c r="Q200" s="112"/>
      <c r="R200" s="112"/>
      <c r="S200" s="325"/>
      <c r="T200" s="112"/>
      <c r="U200" s="112"/>
      <c r="V200" s="112"/>
      <c r="W200" s="46"/>
      <c r="X200" s="112"/>
      <c r="Y200" s="112"/>
      <c r="Z200" s="112"/>
      <c r="AA200" s="142"/>
      <c r="AB200" s="112"/>
      <c r="AC200" s="112"/>
      <c r="AD200" s="112"/>
      <c r="AE200" s="333"/>
      <c r="AF200" s="333"/>
      <c r="AG200" s="333"/>
      <c r="AH200" s="333"/>
      <c r="AI200" s="333"/>
      <c r="AJ200" s="333"/>
      <c r="AK200" s="333"/>
      <c r="AL200" s="333"/>
      <c r="AM200" s="333"/>
      <c r="AN200" s="333"/>
      <c r="AO200" s="333"/>
      <c r="AP200" s="333"/>
      <c r="AQ200" s="329"/>
      <c r="AR200" s="333"/>
      <c r="AS200" s="333"/>
      <c r="AT200" s="333"/>
      <c r="AU200" s="333"/>
      <c r="AV200" s="333"/>
      <c r="AW200" s="333"/>
      <c r="AX200" s="333"/>
      <c r="AY200" s="333"/>
      <c r="AZ200" s="143"/>
      <c r="BA200" s="143"/>
      <c r="BB200" s="143"/>
      <c r="BC200" s="333"/>
      <c r="BD200" s="333"/>
      <c r="BE200" s="333"/>
      <c r="BF200" s="333"/>
      <c r="BG200" s="333"/>
      <c r="BH200" s="333"/>
      <c r="BI200" s="333"/>
      <c r="BJ200" s="333"/>
      <c r="BK200" s="333"/>
      <c r="BL200" s="333"/>
      <c r="BM200" s="333"/>
      <c r="BN200" s="333"/>
      <c r="BO200" s="333"/>
      <c r="BP200" s="333"/>
      <c r="BQ200" s="333"/>
      <c r="BR200" s="333"/>
      <c r="BS200" s="333"/>
      <c r="BT200" s="333"/>
      <c r="BU200" s="333"/>
      <c r="BV200" s="333"/>
      <c r="BW200" s="333"/>
      <c r="BX200" s="333"/>
      <c r="BY200" s="333"/>
      <c r="BZ200" s="333"/>
      <c r="CA200" s="333"/>
      <c r="CB200" s="333"/>
      <c r="CC200" s="333"/>
      <c r="CD200" s="333"/>
      <c r="CE200" s="333"/>
      <c r="CF200" s="333"/>
      <c r="CG200" s="333"/>
      <c r="CH200" s="333"/>
      <c r="CI200" s="333"/>
      <c r="CJ200" s="333"/>
      <c r="CK200" s="333"/>
      <c r="CL200" s="333"/>
      <c r="CM200" s="333"/>
      <c r="CN200" s="333"/>
      <c r="CO200" s="333"/>
      <c r="CP200" s="333"/>
      <c r="CQ200" s="333"/>
      <c r="CR200" s="333"/>
      <c r="CS200" s="333"/>
      <c r="CT200" s="333"/>
      <c r="CU200" s="333"/>
      <c r="CV200" s="333"/>
      <c r="CW200" s="333"/>
      <c r="CX200" s="333"/>
      <c r="CY200" s="333"/>
      <c r="CZ200" s="333"/>
      <c r="DA200" s="333"/>
      <c r="DB200" s="333"/>
      <c r="DC200" s="333"/>
      <c r="DD200" s="333"/>
      <c r="DE200" s="333"/>
      <c r="DF200" s="333"/>
      <c r="DG200" s="333"/>
      <c r="DH200" s="333"/>
      <c r="DI200" s="333"/>
      <c r="DJ200" s="333"/>
      <c r="DK200" s="333"/>
      <c r="DL200" s="333"/>
      <c r="DM200" s="333"/>
      <c r="DN200" s="333"/>
      <c r="DO200" s="333"/>
      <c r="DP200" s="333"/>
      <c r="DQ200" s="333"/>
      <c r="DR200" s="333"/>
      <c r="DS200" s="333"/>
      <c r="DT200" s="333"/>
      <c r="DU200" s="334"/>
      <c r="DV200" s="46"/>
      <c r="DW200" s="46"/>
      <c r="DX200" s="46"/>
      <c r="DY200" s="46"/>
      <c r="DZ200" s="46"/>
      <c r="EA200" s="46"/>
      <c r="EB200" s="46"/>
      <c r="EC200" s="46"/>
      <c r="ED200" s="142"/>
      <c r="EE200" s="142"/>
      <c r="EF200" s="344"/>
      <c r="EG200" s="345"/>
      <c r="EH200" s="345"/>
    </row>
    <row r="201" spans="2:138" ht="31.15">
      <c r="B201" s="356" t="s">
        <v>388</v>
      </c>
      <c r="C201" s="358" t="s">
        <v>389</v>
      </c>
      <c r="D201" s="360" t="s">
        <v>363</v>
      </c>
      <c r="E201" s="358" t="s">
        <v>364</v>
      </c>
      <c r="F201" s="358" t="s">
        <v>220</v>
      </c>
      <c r="G201" s="358" t="s">
        <v>206</v>
      </c>
      <c r="H201" s="181" t="s">
        <v>147</v>
      </c>
      <c r="I201" s="75">
        <v>45999</v>
      </c>
      <c r="J201" s="182"/>
      <c r="K201" s="249">
        <v>46006</v>
      </c>
      <c r="L201" s="249"/>
      <c r="M201" s="182">
        <v>46013</v>
      </c>
      <c r="N201" s="182">
        <f t="shared" ref="N201" si="2204">M201+7</f>
        <v>46020</v>
      </c>
      <c r="O201" s="182" t="s">
        <v>149</v>
      </c>
      <c r="P201" s="182">
        <f t="shared" ref="P201" si="2205">N201+7</f>
        <v>46027</v>
      </c>
      <c r="Q201" s="182">
        <f t="shared" ref="Q201" si="2206">P201+7</f>
        <v>46034</v>
      </c>
      <c r="R201" s="182">
        <f t="shared" ref="R201" si="2207">Q201+7</f>
        <v>46041</v>
      </c>
      <c r="S201" s="180" t="s">
        <v>149</v>
      </c>
      <c r="T201" s="180">
        <f t="shared" ref="T201" si="2208">R201+7</f>
        <v>46048</v>
      </c>
      <c r="U201" s="180">
        <f t="shared" ref="U201" si="2209">T201+7</f>
        <v>46055</v>
      </c>
      <c r="V201" s="180">
        <f t="shared" ref="V201" si="2210">U201+7</f>
        <v>46062</v>
      </c>
      <c r="W201" s="180" t="s">
        <v>149</v>
      </c>
      <c r="X201" s="180">
        <f t="shared" ref="X201" si="2211">V201+7</f>
        <v>46069</v>
      </c>
      <c r="Y201" s="180">
        <f t="shared" ref="Y201" si="2212">X201+7</f>
        <v>46076</v>
      </c>
      <c r="Z201" s="180">
        <f t="shared" ref="Z201" si="2213">Y201+7</f>
        <v>46083</v>
      </c>
      <c r="AA201" s="180" t="s">
        <v>149</v>
      </c>
      <c r="AB201" s="180">
        <f t="shared" ref="AB201" si="2214">Z201+7</f>
        <v>46090</v>
      </c>
      <c r="AC201" s="180">
        <f t="shared" ref="AC201" si="2215">AB201+7</f>
        <v>46097</v>
      </c>
      <c r="AD201" s="180">
        <f t="shared" ref="AD201" si="2216">AC201+7</f>
        <v>46104</v>
      </c>
      <c r="AE201" s="180" t="s">
        <v>149</v>
      </c>
      <c r="AF201" s="180">
        <f t="shared" ref="AF201" si="2217">AD201+7</f>
        <v>46111</v>
      </c>
      <c r="AG201" s="180">
        <f t="shared" ref="AG201" si="2218">AF201+7</f>
        <v>46118</v>
      </c>
      <c r="AH201" s="180">
        <f t="shared" ref="AH201" si="2219">AG201+7</f>
        <v>46125</v>
      </c>
      <c r="AI201" s="180" t="s">
        <v>149</v>
      </c>
      <c r="AJ201" s="180">
        <f t="shared" ref="AJ201" si="2220">AH201+7</f>
        <v>46132</v>
      </c>
      <c r="AK201" s="180">
        <f t="shared" ref="AK201" si="2221">AJ201+7</f>
        <v>46139</v>
      </c>
      <c r="AL201" s="180">
        <f t="shared" ref="AL201" si="2222">AK201+7</f>
        <v>46146</v>
      </c>
      <c r="AM201" s="180" t="s">
        <v>149</v>
      </c>
      <c r="AN201" s="180">
        <f t="shared" ref="AN201" si="2223">AL201+7</f>
        <v>46153</v>
      </c>
      <c r="AO201" s="180">
        <f t="shared" ref="AO201" si="2224">AN201+7</f>
        <v>46160</v>
      </c>
      <c r="AP201" s="180">
        <f t="shared" ref="AP201" si="2225">AO201+7</f>
        <v>46167</v>
      </c>
      <c r="AQ201" s="180" t="s">
        <v>149</v>
      </c>
      <c r="AR201" s="180">
        <f t="shared" ref="AR201" si="2226">AP201+7</f>
        <v>46174</v>
      </c>
      <c r="AS201" s="180">
        <f t="shared" ref="AS201" si="2227">AR201+7</f>
        <v>46181</v>
      </c>
      <c r="AT201" s="180">
        <f t="shared" ref="AT201" si="2228">AS201+7</f>
        <v>46188</v>
      </c>
      <c r="AU201" s="180" t="s">
        <v>149</v>
      </c>
      <c r="AV201" s="180">
        <f t="shared" ref="AV201" si="2229">AT201+7</f>
        <v>46195</v>
      </c>
      <c r="AW201" s="180">
        <f t="shared" ref="AW201" si="2230">AV201+7</f>
        <v>46202</v>
      </c>
      <c r="AX201" s="180">
        <f t="shared" ref="AX201" si="2231">AW201+7</f>
        <v>46209</v>
      </c>
      <c r="AY201" s="180" t="s">
        <v>149</v>
      </c>
      <c r="AZ201" s="180">
        <f t="shared" ref="AZ201" si="2232">AX201+7</f>
        <v>46216</v>
      </c>
      <c r="BA201" s="180">
        <f t="shared" ref="BA201" si="2233">AZ201+7</f>
        <v>46223</v>
      </c>
      <c r="BB201" s="180">
        <f t="shared" ref="BB201" si="2234">BA201+7</f>
        <v>46230</v>
      </c>
      <c r="BC201" s="180" t="s">
        <v>149</v>
      </c>
      <c r="BD201" s="180">
        <f t="shared" ref="BD201" si="2235">BB201+7</f>
        <v>46237</v>
      </c>
      <c r="BE201" s="180">
        <f t="shared" ref="BE201" si="2236">BD201+7</f>
        <v>46244</v>
      </c>
      <c r="BF201" s="180">
        <f t="shared" ref="BF201" si="2237">BE201+7</f>
        <v>46251</v>
      </c>
      <c r="BG201" s="180" t="s">
        <v>148</v>
      </c>
      <c r="BH201" s="180">
        <f t="shared" ref="BH201" si="2238">BF201+7</f>
        <v>46258</v>
      </c>
      <c r="BI201" s="180">
        <f t="shared" ref="BI201" si="2239">BH201+7</f>
        <v>46265</v>
      </c>
      <c r="BJ201" s="180">
        <f t="shared" ref="BJ201" si="2240">BI201+7</f>
        <v>46272</v>
      </c>
      <c r="BK201" s="180" t="s">
        <v>148</v>
      </c>
      <c r="BL201" s="180">
        <f t="shared" ref="BL201" si="2241">BJ201+7</f>
        <v>46279</v>
      </c>
      <c r="BM201" s="180">
        <f t="shared" ref="BM201" si="2242">BL201+7</f>
        <v>46286</v>
      </c>
      <c r="BN201" s="180">
        <f t="shared" ref="BN201" si="2243">BM201+7</f>
        <v>46293</v>
      </c>
      <c r="BO201" s="180" t="s">
        <v>149</v>
      </c>
      <c r="BP201" s="180">
        <f t="shared" ref="BP201" si="2244">BN201+7</f>
        <v>46300</v>
      </c>
      <c r="BQ201" s="180">
        <f t="shared" ref="BQ201" si="2245">BP201+7</f>
        <v>46307</v>
      </c>
      <c r="BR201" s="180">
        <f t="shared" ref="BR201" si="2246">BQ201+7</f>
        <v>46314</v>
      </c>
      <c r="BS201" s="180" t="s">
        <v>148</v>
      </c>
      <c r="BT201" s="180">
        <f t="shared" ref="BT201" si="2247">BR201+7</f>
        <v>46321</v>
      </c>
      <c r="BU201" s="180">
        <f t="shared" ref="BU201" si="2248">BT201+7</f>
        <v>46328</v>
      </c>
      <c r="BV201" s="180">
        <f t="shared" ref="BV201" si="2249">BU201+7</f>
        <v>46335</v>
      </c>
      <c r="BW201" s="180" t="s">
        <v>149</v>
      </c>
      <c r="BX201" s="180">
        <f t="shared" ref="BX201" si="2250">BV201+7</f>
        <v>46342</v>
      </c>
      <c r="BY201" s="180">
        <f t="shared" ref="BY201" si="2251">BX201+7</f>
        <v>46349</v>
      </c>
      <c r="BZ201" s="180">
        <f t="shared" ref="BZ201" si="2252">BY201+7</f>
        <v>46356</v>
      </c>
      <c r="CA201" s="180" t="s">
        <v>149</v>
      </c>
      <c r="CB201" s="180"/>
      <c r="CC201" s="180"/>
      <c r="CD201" s="180"/>
      <c r="CE201" s="180"/>
      <c r="CF201" s="180"/>
      <c r="CG201" s="180"/>
      <c r="CH201" s="180"/>
      <c r="CI201" s="180"/>
      <c r="CJ201" s="180"/>
      <c r="CK201" s="180"/>
      <c r="CL201" s="180"/>
      <c r="CM201" s="180"/>
      <c r="CN201" s="180"/>
      <c r="CO201" s="180"/>
      <c r="CP201" s="180"/>
      <c r="CQ201" s="180"/>
      <c r="CR201" s="180"/>
      <c r="CS201" s="180"/>
      <c r="CT201" s="180"/>
      <c r="CU201" s="180"/>
      <c r="CV201" s="180"/>
      <c r="CW201" s="180"/>
      <c r="CX201" s="180"/>
      <c r="CY201" s="180"/>
      <c r="CZ201" s="180"/>
      <c r="DA201" s="180"/>
      <c r="DB201" s="180"/>
      <c r="DC201" s="180"/>
      <c r="DD201" s="180"/>
      <c r="DE201" s="180"/>
      <c r="DF201" s="180"/>
      <c r="DG201" s="180"/>
      <c r="DH201" s="180"/>
      <c r="DI201" s="180"/>
      <c r="DJ201" s="180"/>
      <c r="DK201" s="180"/>
      <c r="DL201" s="180"/>
      <c r="DM201" s="180"/>
      <c r="DN201" s="180"/>
      <c r="DO201" s="180"/>
      <c r="DP201" s="180"/>
      <c r="DQ201" s="180"/>
      <c r="DR201" s="180"/>
      <c r="DS201" s="180"/>
      <c r="DT201" s="127">
        <v>46036</v>
      </c>
      <c r="DU201" s="127"/>
      <c r="DV201" s="125"/>
      <c r="DW201" s="125"/>
      <c r="DX201" s="125"/>
      <c r="DY201" s="125"/>
      <c r="DZ201" s="125"/>
      <c r="EA201" s="125"/>
      <c r="EB201" s="125"/>
      <c r="EC201" s="125"/>
      <c r="ED201" s="268"/>
      <c r="EE201" s="128"/>
      <c r="EF201" s="339"/>
      <c r="EG201" s="338"/>
      <c r="EH201" s="339"/>
    </row>
    <row r="202" spans="2:138" ht="31.15">
      <c r="B202" s="357"/>
      <c r="C202" s="359"/>
      <c r="D202" s="361"/>
      <c r="E202" s="359"/>
      <c r="F202" s="359"/>
      <c r="G202" s="359"/>
      <c r="H202" s="324" t="s">
        <v>150</v>
      </c>
      <c r="I202" s="169">
        <v>45999</v>
      </c>
      <c r="J202" s="324"/>
      <c r="K202" s="169">
        <v>46006</v>
      </c>
      <c r="L202" s="169"/>
      <c r="M202" s="202">
        <v>46013</v>
      </c>
      <c r="N202" s="169"/>
      <c r="O202" s="324"/>
      <c r="P202" s="169">
        <v>46028</v>
      </c>
      <c r="Q202" s="169">
        <v>46035</v>
      </c>
      <c r="R202" s="169"/>
      <c r="S202" s="324"/>
      <c r="T202" s="169"/>
      <c r="U202" s="169"/>
      <c r="V202" s="169"/>
      <c r="W202" s="152"/>
      <c r="X202" s="169"/>
      <c r="Y202" s="169"/>
      <c r="Z202" s="169"/>
      <c r="AA202" s="176"/>
      <c r="AB202" s="169"/>
      <c r="AC202" s="169"/>
      <c r="AD202" s="169"/>
      <c r="AE202" s="177"/>
      <c r="AF202" s="177"/>
      <c r="AG202" s="177"/>
      <c r="AH202" s="177"/>
      <c r="AI202" s="177"/>
      <c r="AJ202" s="177"/>
      <c r="AK202" s="177"/>
      <c r="AL202" s="177"/>
      <c r="AM202" s="177"/>
      <c r="AN202" s="177"/>
      <c r="AO202" s="177"/>
      <c r="AP202" s="177"/>
      <c r="AQ202" s="178"/>
      <c r="AR202" s="177"/>
      <c r="AS202" s="177"/>
      <c r="AT202" s="177"/>
      <c r="AU202" s="177"/>
      <c r="AV202" s="177"/>
      <c r="AW202" s="177"/>
      <c r="AX202" s="177"/>
      <c r="AY202" s="177"/>
      <c r="AZ202" s="179"/>
      <c r="BA202" s="179"/>
      <c r="BB202" s="179"/>
      <c r="BC202" s="177"/>
      <c r="BD202" s="177"/>
      <c r="BE202" s="177"/>
      <c r="BF202" s="177"/>
      <c r="BG202" s="177"/>
      <c r="BH202" s="177"/>
      <c r="BI202" s="177"/>
      <c r="BJ202" s="177"/>
      <c r="BK202" s="177"/>
      <c r="BL202" s="177"/>
      <c r="BM202" s="177"/>
      <c r="BN202" s="177"/>
      <c r="BO202" s="177"/>
      <c r="BP202" s="177"/>
      <c r="BQ202" s="177"/>
      <c r="BR202" s="177"/>
      <c r="BS202" s="177"/>
      <c r="BT202" s="177"/>
      <c r="BU202" s="177"/>
      <c r="BV202" s="177"/>
      <c r="BW202" s="177"/>
      <c r="BX202" s="177"/>
      <c r="BY202" s="177"/>
      <c r="BZ202" s="177"/>
      <c r="CA202" s="177"/>
      <c r="CB202" s="177"/>
      <c r="CC202" s="177"/>
      <c r="CD202" s="177"/>
      <c r="CE202" s="177"/>
      <c r="CF202" s="177"/>
      <c r="CG202" s="177"/>
      <c r="CH202" s="177"/>
      <c r="CI202" s="177"/>
      <c r="CJ202" s="177"/>
      <c r="CK202" s="177"/>
      <c r="CL202" s="177"/>
      <c r="CM202" s="177"/>
      <c r="CN202" s="177"/>
      <c r="CO202" s="177"/>
      <c r="CP202" s="177"/>
      <c r="CQ202" s="177"/>
      <c r="CR202" s="177"/>
      <c r="CS202" s="177"/>
      <c r="CT202" s="177"/>
      <c r="CU202" s="177"/>
      <c r="CV202" s="177"/>
      <c r="CW202" s="177"/>
      <c r="CX202" s="177"/>
      <c r="CY202" s="177"/>
      <c r="CZ202" s="177"/>
      <c r="DA202" s="177"/>
      <c r="DB202" s="177"/>
      <c r="DC202" s="177"/>
      <c r="DD202" s="177"/>
      <c r="DE202" s="177"/>
      <c r="DF202" s="177"/>
      <c r="DG202" s="177"/>
      <c r="DH202" s="177"/>
      <c r="DI202" s="177"/>
      <c r="DJ202" s="177"/>
      <c r="DK202" s="177"/>
      <c r="DL202" s="177"/>
      <c r="DM202" s="177"/>
      <c r="DN202" s="177"/>
      <c r="DO202" s="177"/>
      <c r="DP202" s="177"/>
      <c r="DQ202" s="177"/>
      <c r="DR202" s="177"/>
      <c r="DS202" s="177"/>
      <c r="DT202" s="28">
        <v>46036</v>
      </c>
      <c r="DU202" s="132">
        <v>46058</v>
      </c>
      <c r="DV202" s="69"/>
      <c r="DW202" s="69"/>
      <c r="DX202" s="69"/>
      <c r="DY202" s="69"/>
      <c r="DZ202" s="69"/>
      <c r="EA202" s="69"/>
      <c r="EB202" s="69"/>
      <c r="EC202" s="69"/>
      <c r="ED202" s="22"/>
      <c r="EE202" s="22"/>
      <c r="EF202" s="339"/>
      <c r="EG202" s="338"/>
      <c r="EH202" s="338"/>
    </row>
    <row r="203" spans="2:138" s="119" customFormat="1" ht="31.15">
      <c r="B203" s="352" t="s">
        <v>390</v>
      </c>
      <c r="C203" s="340" t="s">
        <v>391</v>
      </c>
      <c r="D203" s="342" t="s">
        <v>270</v>
      </c>
      <c r="E203" s="340" t="s">
        <v>364</v>
      </c>
      <c r="F203" s="340" t="s">
        <v>158</v>
      </c>
      <c r="G203" s="340" t="s">
        <v>206</v>
      </c>
      <c r="H203" s="40" t="s">
        <v>147</v>
      </c>
      <c r="I203" s="31">
        <v>46001</v>
      </c>
      <c r="J203" s="94"/>
      <c r="K203" s="233"/>
      <c r="L203" s="233" t="s">
        <v>148</v>
      </c>
      <c r="M203" s="94">
        <f>K203+7</f>
        <v>7</v>
      </c>
      <c r="N203" s="94">
        <f>M203+7</f>
        <v>14</v>
      </c>
      <c r="O203" s="94" t="s">
        <v>149</v>
      </c>
      <c r="P203" s="94">
        <f t="shared" ref="P203" si="2253">N203+7</f>
        <v>21</v>
      </c>
      <c r="Q203" s="94">
        <f t="shared" ref="Q203" si="2254">P203+7</f>
        <v>28</v>
      </c>
      <c r="R203" s="94">
        <f t="shared" ref="R203" si="2255">Q203+7</f>
        <v>35</v>
      </c>
      <c r="S203" s="141" t="s">
        <v>149</v>
      </c>
      <c r="T203" s="141">
        <f t="shared" ref="T203" si="2256">R203+7</f>
        <v>42</v>
      </c>
      <c r="U203" s="141">
        <f t="shared" ref="U203" si="2257">T203+7</f>
        <v>49</v>
      </c>
      <c r="V203" s="141">
        <f t="shared" ref="V203" si="2258">U203+7</f>
        <v>56</v>
      </c>
      <c r="W203" s="141" t="s">
        <v>149</v>
      </c>
      <c r="X203" s="141">
        <f t="shared" ref="X203" si="2259">V203+7</f>
        <v>63</v>
      </c>
      <c r="Y203" s="141">
        <f t="shared" ref="Y203" si="2260">X203+7</f>
        <v>70</v>
      </c>
      <c r="Z203" s="141">
        <f t="shared" ref="Z203" si="2261">Y203+7</f>
        <v>77</v>
      </c>
      <c r="AA203" s="141" t="s">
        <v>149</v>
      </c>
      <c r="AB203" s="141">
        <f t="shared" ref="AB203" si="2262">Z203+7</f>
        <v>84</v>
      </c>
      <c r="AC203" s="141">
        <f t="shared" ref="AC203" si="2263">AB203+7</f>
        <v>91</v>
      </c>
      <c r="AD203" s="141">
        <f t="shared" ref="AD203" si="2264">AC203+7</f>
        <v>98</v>
      </c>
      <c r="AE203" s="141" t="s">
        <v>149</v>
      </c>
      <c r="AF203" s="141">
        <f t="shared" ref="AF203" si="2265">AD203+7</f>
        <v>105</v>
      </c>
      <c r="AG203" s="141">
        <f t="shared" ref="AG203" si="2266">AF203+7</f>
        <v>112</v>
      </c>
      <c r="AH203" s="141">
        <f t="shared" ref="AH203" si="2267">AG203+7</f>
        <v>119</v>
      </c>
      <c r="AI203" s="141" t="s">
        <v>149</v>
      </c>
      <c r="AJ203" s="141">
        <f t="shared" ref="AJ203" si="2268">AH203+7</f>
        <v>126</v>
      </c>
      <c r="AK203" s="141">
        <f t="shared" ref="AK203" si="2269">AJ203+7</f>
        <v>133</v>
      </c>
      <c r="AL203" s="141">
        <f t="shared" ref="AL203" si="2270">AK203+7</f>
        <v>140</v>
      </c>
      <c r="AM203" s="141" t="s">
        <v>149</v>
      </c>
      <c r="AN203" s="141">
        <f t="shared" ref="AN203" si="2271">AL203+7</f>
        <v>147</v>
      </c>
      <c r="AO203" s="141">
        <f t="shared" ref="AO203" si="2272">AN203+7</f>
        <v>154</v>
      </c>
      <c r="AP203" s="141">
        <f t="shared" ref="AP203" si="2273">AO203+7</f>
        <v>161</v>
      </c>
      <c r="AQ203" s="141" t="s">
        <v>149</v>
      </c>
      <c r="AR203" s="141">
        <f t="shared" ref="AR203" si="2274">AP203+7</f>
        <v>168</v>
      </c>
      <c r="AS203" s="141">
        <f t="shared" ref="AS203" si="2275">AR203+7</f>
        <v>175</v>
      </c>
      <c r="AT203" s="141">
        <f t="shared" ref="AT203" si="2276">AS203+7</f>
        <v>182</v>
      </c>
      <c r="AU203" s="141" t="s">
        <v>149</v>
      </c>
      <c r="AV203" s="141">
        <f t="shared" ref="AV203" si="2277">AT203+7</f>
        <v>189</v>
      </c>
      <c r="AW203" s="141">
        <f t="shared" ref="AW203" si="2278">AV203+7</f>
        <v>196</v>
      </c>
      <c r="AX203" s="141">
        <f t="shared" ref="AX203" si="2279">AW203+7</f>
        <v>203</v>
      </c>
      <c r="AY203" s="141" t="s">
        <v>149</v>
      </c>
      <c r="AZ203" s="141">
        <f t="shared" ref="AZ203" si="2280">AX203+7</f>
        <v>210</v>
      </c>
      <c r="BA203" s="141">
        <f t="shared" ref="BA203" si="2281">AZ203+7</f>
        <v>217</v>
      </c>
      <c r="BB203" s="141">
        <f t="shared" ref="BB203" si="2282">BA203+7</f>
        <v>224</v>
      </c>
      <c r="BC203" s="141" t="s">
        <v>149</v>
      </c>
      <c r="BD203" s="141">
        <f t="shared" ref="BD203" si="2283">BB203+7</f>
        <v>231</v>
      </c>
      <c r="BE203" s="141">
        <f t="shared" ref="BE203" si="2284">BD203+7</f>
        <v>238</v>
      </c>
      <c r="BF203" s="141">
        <f t="shared" ref="BF203" si="2285">BE203+7</f>
        <v>245</v>
      </c>
      <c r="BG203" s="141" t="s">
        <v>148</v>
      </c>
      <c r="BH203" s="141">
        <f t="shared" ref="BH203" si="2286">BF203+7</f>
        <v>252</v>
      </c>
      <c r="BI203" s="141">
        <f t="shared" ref="BI203" si="2287">BH203+7</f>
        <v>259</v>
      </c>
      <c r="BJ203" s="141">
        <f t="shared" ref="BJ203" si="2288">BI203+7</f>
        <v>266</v>
      </c>
      <c r="BK203" s="141" t="s">
        <v>148</v>
      </c>
      <c r="BL203" s="141">
        <f t="shared" ref="BL203" si="2289">BJ203+7</f>
        <v>273</v>
      </c>
      <c r="BM203" s="141">
        <f t="shared" ref="BM203" si="2290">BL203+7</f>
        <v>280</v>
      </c>
      <c r="BN203" s="141">
        <f t="shared" ref="BN203" si="2291">BM203+7</f>
        <v>287</v>
      </c>
      <c r="BO203" s="141" t="s">
        <v>149</v>
      </c>
      <c r="BP203" s="141">
        <f t="shared" ref="BP203" si="2292">BN203+7</f>
        <v>294</v>
      </c>
      <c r="BQ203" s="141">
        <f t="shared" ref="BQ203" si="2293">BP203+7</f>
        <v>301</v>
      </c>
      <c r="BR203" s="141">
        <f t="shared" ref="BR203" si="2294">BQ203+7</f>
        <v>308</v>
      </c>
      <c r="BS203" s="141" t="s">
        <v>148</v>
      </c>
      <c r="BT203" s="141">
        <f t="shared" ref="BT203" si="2295">BR203+7</f>
        <v>315</v>
      </c>
      <c r="BU203" s="141">
        <f t="shared" ref="BU203" si="2296">BT203+7</f>
        <v>322</v>
      </c>
      <c r="BV203" s="141">
        <f t="shared" ref="BV203" si="2297">BU203+7</f>
        <v>329</v>
      </c>
      <c r="BW203" s="141" t="s">
        <v>149</v>
      </c>
      <c r="BX203" s="141">
        <f t="shared" ref="BX203" si="2298">BV203+7</f>
        <v>336</v>
      </c>
      <c r="BY203" s="141">
        <f t="shared" ref="BY203" si="2299">BX203+7</f>
        <v>343</v>
      </c>
      <c r="BZ203" s="141">
        <f t="shared" ref="BZ203" si="2300">BY203+7</f>
        <v>350</v>
      </c>
      <c r="CA203" s="141" t="s">
        <v>149</v>
      </c>
      <c r="CB203" s="141"/>
      <c r="CC203" s="141"/>
      <c r="CD203" s="141"/>
      <c r="CE203" s="141"/>
      <c r="CF203" s="141"/>
      <c r="CG203" s="141"/>
      <c r="CH203" s="141"/>
      <c r="CI203" s="141"/>
      <c r="CJ203" s="141"/>
      <c r="CK203" s="141"/>
      <c r="CL203" s="141"/>
      <c r="CM203" s="141"/>
      <c r="CN203" s="141"/>
      <c r="CO203" s="141"/>
      <c r="CP203" s="141"/>
      <c r="CQ203" s="141"/>
      <c r="CR203" s="141"/>
      <c r="CS203" s="141"/>
      <c r="CT203" s="141"/>
      <c r="CU203" s="141"/>
      <c r="CV203" s="141"/>
      <c r="CW203" s="141"/>
      <c r="CX203" s="141"/>
      <c r="CY203" s="141"/>
      <c r="CZ203" s="141"/>
      <c r="DA203" s="141"/>
      <c r="DB203" s="141"/>
      <c r="DC203" s="141"/>
      <c r="DD203" s="141"/>
      <c r="DE203" s="141"/>
      <c r="DF203" s="141"/>
      <c r="DG203" s="141"/>
      <c r="DH203" s="141"/>
      <c r="DI203" s="141"/>
      <c r="DJ203" s="141"/>
      <c r="DK203" s="141"/>
      <c r="DL203" s="141"/>
      <c r="DM203" s="141"/>
      <c r="DN203" s="141"/>
      <c r="DO203" s="141"/>
      <c r="DP203" s="141"/>
      <c r="DQ203" s="141"/>
      <c r="DR203" s="141"/>
      <c r="DS203" s="141"/>
      <c r="DT203" s="141"/>
      <c r="DU203" s="141"/>
      <c r="DV203" s="40"/>
      <c r="DW203" s="40"/>
      <c r="DX203" s="40"/>
      <c r="DY203" s="40"/>
      <c r="DZ203" s="40"/>
      <c r="EA203" s="40"/>
      <c r="EB203" s="40"/>
      <c r="EC203" s="40"/>
      <c r="ED203" s="267"/>
      <c r="EE203" s="35"/>
      <c r="EF203" s="344"/>
      <c r="EG203" s="345"/>
      <c r="EH203" s="344"/>
    </row>
    <row r="204" spans="2:138" s="119" customFormat="1" ht="31.15">
      <c r="B204" s="353"/>
      <c r="C204" s="341"/>
      <c r="D204" s="343"/>
      <c r="E204" s="341"/>
      <c r="F204" s="341"/>
      <c r="G204" s="341"/>
      <c r="H204" s="325" t="s">
        <v>150</v>
      </c>
      <c r="I204" s="112">
        <v>46001</v>
      </c>
      <c r="J204" s="325"/>
      <c r="K204" s="112"/>
      <c r="L204" s="275"/>
      <c r="M204" s="195"/>
      <c r="N204" s="112"/>
      <c r="O204" s="325"/>
      <c r="P204" s="112"/>
      <c r="Q204" s="112"/>
      <c r="R204" s="112"/>
      <c r="S204" s="325"/>
      <c r="T204" s="112"/>
      <c r="U204" s="112"/>
      <c r="V204" s="112"/>
      <c r="W204" s="46"/>
      <c r="X204" s="112"/>
      <c r="Y204" s="112"/>
      <c r="Z204" s="112"/>
      <c r="AA204" s="142"/>
      <c r="AB204" s="112"/>
      <c r="AC204" s="112"/>
      <c r="AD204" s="112"/>
      <c r="AE204" s="333"/>
      <c r="AF204" s="333"/>
      <c r="AG204" s="333"/>
      <c r="AH204" s="333"/>
      <c r="AI204" s="333"/>
      <c r="AJ204" s="333"/>
      <c r="AK204" s="333"/>
      <c r="AL204" s="333"/>
      <c r="AM204" s="333"/>
      <c r="AN204" s="333"/>
      <c r="AO204" s="333"/>
      <c r="AP204" s="333"/>
      <c r="AQ204" s="329"/>
      <c r="AR204" s="333"/>
      <c r="AS204" s="333"/>
      <c r="AT204" s="333"/>
      <c r="AU204" s="333"/>
      <c r="AV204" s="333"/>
      <c r="AW204" s="333"/>
      <c r="AX204" s="333"/>
      <c r="AY204" s="333"/>
      <c r="AZ204" s="143"/>
      <c r="BA204" s="143"/>
      <c r="BB204" s="143"/>
      <c r="BC204" s="333"/>
      <c r="BD204" s="333"/>
      <c r="BE204" s="333"/>
      <c r="BF204" s="333"/>
      <c r="BG204" s="333"/>
      <c r="BH204" s="333"/>
      <c r="BI204" s="333"/>
      <c r="BJ204" s="333"/>
      <c r="BK204" s="333"/>
      <c r="BL204" s="333"/>
      <c r="BM204" s="333"/>
      <c r="BN204" s="333"/>
      <c r="BO204" s="333"/>
      <c r="BP204" s="333"/>
      <c r="BQ204" s="333"/>
      <c r="BR204" s="333"/>
      <c r="BS204" s="333"/>
      <c r="BT204" s="333"/>
      <c r="BU204" s="333"/>
      <c r="BV204" s="333"/>
      <c r="BW204" s="333"/>
      <c r="BX204" s="333"/>
      <c r="BY204" s="333"/>
      <c r="BZ204" s="333"/>
      <c r="CA204" s="333"/>
      <c r="CB204" s="333"/>
      <c r="CC204" s="333"/>
      <c r="CD204" s="333"/>
      <c r="CE204" s="333"/>
      <c r="CF204" s="333"/>
      <c r="CG204" s="333"/>
      <c r="CH204" s="333"/>
      <c r="CI204" s="333"/>
      <c r="CJ204" s="333"/>
      <c r="CK204" s="333"/>
      <c r="CL204" s="333"/>
      <c r="CM204" s="333"/>
      <c r="CN204" s="333"/>
      <c r="CO204" s="333"/>
      <c r="CP204" s="333"/>
      <c r="CQ204" s="333"/>
      <c r="CR204" s="333"/>
      <c r="CS204" s="333"/>
      <c r="CT204" s="333"/>
      <c r="CU204" s="333"/>
      <c r="CV204" s="333"/>
      <c r="CW204" s="333"/>
      <c r="CX204" s="333"/>
      <c r="CY204" s="333"/>
      <c r="CZ204" s="333"/>
      <c r="DA204" s="333"/>
      <c r="DB204" s="333"/>
      <c r="DC204" s="333"/>
      <c r="DD204" s="333"/>
      <c r="DE204" s="333"/>
      <c r="DF204" s="333"/>
      <c r="DG204" s="333"/>
      <c r="DH204" s="333"/>
      <c r="DI204" s="333"/>
      <c r="DJ204" s="333"/>
      <c r="DK204" s="333"/>
      <c r="DL204" s="333"/>
      <c r="DM204" s="333"/>
      <c r="DN204" s="333"/>
      <c r="DO204" s="333"/>
      <c r="DP204" s="333"/>
      <c r="DQ204" s="333"/>
      <c r="DR204" s="333"/>
      <c r="DS204" s="333"/>
      <c r="DT204" s="333"/>
      <c r="DU204" s="334"/>
      <c r="DV204" s="46"/>
      <c r="DW204" s="46"/>
      <c r="DX204" s="46"/>
      <c r="DY204" s="46"/>
      <c r="DZ204" s="46"/>
      <c r="EA204" s="46"/>
      <c r="EB204" s="46"/>
      <c r="EC204" s="46"/>
      <c r="ED204" s="142"/>
      <c r="EE204" s="142"/>
      <c r="EF204" s="344"/>
      <c r="EG204" s="345"/>
      <c r="EH204" s="345"/>
    </row>
    <row r="205" spans="2:138" ht="31.15">
      <c r="B205" s="346" t="s">
        <v>392</v>
      </c>
      <c r="C205" s="348" t="s">
        <v>393</v>
      </c>
      <c r="D205" s="348" t="s">
        <v>157</v>
      </c>
      <c r="E205" s="348" t="s">
        <v>294</v>
      </c>
      <c r="F205" s="348" t="s">
        <v>315</v>
      </c>
      <c r="G205" s="348" t="s">
        <v>206</v>
      </c>
      <c r="H205" s="209" t="s">
        <v>147</v>
      </c>
      <c r="I205" s="279">
        <v>46009</v>
      </c>
      <c r="J205" s="210"/>
      <c r="K205" s="215">
        <v>46027</v>
      </c>
      <c r="L205" s="269" t="s">
        <v>148</v>
      </c>
      <c r="M205" s="216">
        <v>46042</v>
      </c>
      <c r="N205" s="216">
        <f>M205+7</f>
        <v>46049</v>
      </c>
      <c r="O205" s="216" t="s">
        <v>149</v>
      </c>
      <c r="P205" s="216">
        <f>N205+7</f>
        <v>46056</v>
      </c>
      <c r="Q205" s="216">
        <f>P205+7</f>
        <v>46063</v>
      </c>
      <c r="R205" s="216">
        <f>Q205+7</f>
        <v>46070</v>
      </c>
      <c r="S205" s="217" t="s">
        <v>149</v>
      </c>
      <c r="T205" s="217">
        <f>R205+7</f>
        <v>46077</v>
      </c>
      <c r="U205" s="217">
        <f>T205+7</f>
        <v>46084</v>
      </c>
      <c r="V205" s="217">
        <f>U205+7</f>
        <v>46091</v>
      </c>
      <c r="W205" s="217" t="s">
        <v>149</v>
      </c>
      <c r="X205" s="217">
        <f>V205+7</f>
        <v>46098</v>
      </c>
      <c r="Y205" s="217">
        <f>X205+7</f>
        <v>46105</v>
      </c>
      <c r="Z205" s="217">
        <f>Y205+7</f>
        <v>46112</v>
      </c>
      <c r="AA205" s="217" t="s">
        <v>149</v>
      </c>
      <c r="AB205" s="217">
        <f>Z205+7</f>
        <v>46119</v>
      </c>
      <c r="AC205" s="217">
        <f>AB205+7</f>
        <v>46126</v>
      </c>
      <c r="AD205" s="217">
        <f>AC205+7</f>
        <v>46133</v>
      </c>
      <c r="AE205" s="217" t="s">
        <v>149</v>
      </c>
      <c r="AF205" s="217">
        <f>AD205+7</f>
        <v>46140</v>
      </c>
      <c r="AG205" s="217">
        <f>AF205+7</f>
        <v>46147</v>
      </c>
      <c r="AH205" s="217">
        <f>AG205+7</f>
        <v>46154</v>
      </c>
      <c r="AI205" s="217" t="s">
        <v>149</v>
      </c>
      <c r="AJ205" s="217">
        <f>AH205+7</f>
        <v>46161</v>
      </c>
      <c r="AK205" s="217">
        <f>AJ205+7</f>
        <v>46168</v>
      </c>
      <c r="AL205" s="217">
        <f>AK205+7</f>
        <v>46175</v>
      </c>
      <c r="AM205" s="217" t="s">
        <v>149</v>
      </c>
      <c r="AN205" s="217">
        <f>AL205+7</f>
        <v>46182</v>
      </c>
      <c r="AO205" s="217">
        <f>AN205+7</f>
        <v>46189</v>
      </c>
      <c r="AP205" s="217">
        <f>AO205+7</f>
        <v>46196</v>
      </c>
      <c r="AQ205" s="217" t="s">
        <v>149</v>
      </c>
      <c r="AR205" s="217">
        <f>AP205+7</f>
        <v>46203</v>
      </c>
      <c r="AS205" s="217">
        <f>AR205+7</f>
        <v>46210</v>
      </c>
      <c r="AT205" s="217">
        <f>AS205+7</f>
        <v>46217</v>
      </c>
      <c r="AU205" s="218" t="s">
        <v>149</v>
      </c>
      <c r="AV205" s="217">
        <f>AT205+7</f>
        <v>46224</v>
      </c>
      <c r="AW205" s="217">
        <f>AV205+7</f>
        <v>46231</v>
      </c>
      <c r="AX205" s="217">
        <f>AW205+7</f>
        <v>46238</v>
      </c>
      <c r="AY205" s="218" t="s">
        <v>149</v>
      </c>
      <c r="AZ205" s="217">
        <f>AX205+7</f>
        <v>46245</v>
      </c>
      <c r="BA205" s="217">
        <f>AZ205+7</f>
        <v>46252</v>
      </c>
      <c r="BB205" s="217">
        <f>BA205+7</f>
        <v>46259</v>
      </c>
      <c r="BC205" s="218" t="s">
        <v>149</v>
      </c>
      <c r="BD205" s="218"/>
      <c r="BE205" s="218"/>
      <c r="BF205" s="218"/>
      <c r="BG205" s="218"/>
      <c r="BH205" s="218"/>
      <c r="BI205" s="218"/>
      <c r="BJ205" s="218"/>
      <c r="BK205" s="218"/>
      <c r="BL205" s="218"/>
      <c r="BM205" s="218"/>
      <c r="BN205" s="218"/>
      <c r="BO205" s="218"/>
      <c r="BP205" s="218"/>
      <c r="BQ205" s="218"/>
      <c r="BR205" s="218"/>
      <c r="BS205" s="218"/>
      <c r="BT205" s="218"/>
      <c r="BU205" s="218"/>
      <c r="BV205" s="218"/>
      <c r="BW205" s="218"/>
      <c r="BX205" s="218"/>
      <c r="BY205" s="218"/>
      <c r="BZ205" s="208"/>
      <c r="CA205" s="208"/>
      <c r="CB205" s="208"/>
      <c r="CC205" s="208"/>
      <c r="CD205" s="208"/>
      <c r="CE205" s="208"/>
      <c r="CF205" s="208"/>
      <c r="CG205" s="208"/>
      <c r="CH205" s="208"/>
      <c r="CI205" s="208"/>
      <c r="CJ205" s="208"/>
      <c r="CK205" s="208"/>
      <c r="CL205" s="208"/>
      <c r="CM205" s="208"/>
      <c r="CN205" s="208"/>
      <c r="CO205" s="208"/>
      <c r="CP205" s="208"/>
      <c r="CQ205" s="208"/>
      <c r="CR205" s="208"/>
      <c r="CS205" s="208"/>
      <c r="CT205" s="208"/>
      <c r="CU205" s="208"/>
      <c r="CV205" s="208"/>
      <c r="CW205" s="208"/>
      <c r="CX205" s="208"/>
      <c r="CY205" s="208"/>
      <c r="CZ205" s="208"/>
      <c r="DA205" s="208"/>
      <c r="DB205" s="208"/>
      <c r="DC205" s="208"/>
      <c r="DD205" s="208"/>
      <c r="DE205" s="208"/>
      <c r="DF205" s="208"/>
      <c r="DG205" s="208"/>
      <c r="DH205" s="208"/>
      <c r="DI205" s="208"/>
      <c r="DJ205" s="208"/>
      <c r="DK205" s="208"/>
      <c r="DL205" s="208"/>
      <c r="DM205" s="208"/>
      <c r="DN205" s="208"/>
      <c r="DO205" s="208"/>
      <c r="DP205" s="208"/>
      <c r="DQ205" s="208"/>
      <c r="DR205" s="208"/>
      <c r="DS205" s="208"/>
      <c r="DT205" s="211"/>
      <c r="DU205" s="211"/>
      <c r="DV205" s="209"/>
      <c r="DW205" s="209"/>
      <c r="DX205" s="209"/>
      <c r="DY205" s="209"/>
      <c r="DZ205" s="209"/>
      <c r="EA205" s="209"/>
      <c r="EB205" s="209"/>
      <c r="EC205" s="209"/>
      <c r="ED205" s="21"/>
      <c r="EE205" s="21"/>
      <c r="EF205" s="339"/>
      <c r="EG205" s="338"/>
      <c r="EH205" s="339"/>
    </row>
    <row r="206" spans="2:138" ht="27.75">
      <c r="B206" s="347"/>
      <c r="C206" s="349"/>
      <c r="D206" s="349"/>
      <c r="E206" s="349"/>
      <c r="F206" s="349"/>
      <c r="G206" s="349"/>
      <c r="H206" s="320" t="s">
        <v>150</v>
      </c>
      <c r="I206" s="280">
        <v>46009</v>
      </c>
      <c r="J206" s="212"/>
      <c r="K206" s="113">
        <v>46027</v>
      </c>
      <c r="L206" s="271" t="s">
        <v>148</v>
      </c>
      <c r="M206" s="113">
        <v>46042</v>
      </c>
      <c r="N206" s="113">
        <v>46230</v>
      </c>
      <c r="O206" s="320">
        <v>46055</v>
      </c>
      <c r="P206" s="113">
        <v>46062</v>
      </c>
      <c r="Q206" s="113">
        <v>46077</v>
      </c>
      <c r="R206" s="113">
        <v>46083</v>
      </c>
      <c r="S206" s="320">
        <v>46090</v>
      </c>
      <c r="T206" s="113">
        <v>46097</v>
      </c>
      <c r="U206" s="113">
        <v>46111</v>
      </c>
      <c r="V206" s="113">
        <v>46118</v>
      </c>
      <c r="W206" s="320">
        <v>46125</v>
      </c>
      <c r="X206" s="113">
        <v>46132</v>
      </c>
      <c r="Y206" s="113">
        <v>46146</v>
      </c>
      <c r="Z206" s="113">
        <v>46155</v>
      </c>
      <c r="AA206" s="320">
        <v>46160</v>
      </c>
      <c r="AB206" s="113">
        <v>46174</v>
      </c>
      <c r="AC206" s="113">
        <v>46181</v>
      </c>
      <c r="AD206" s="113">
        <v>46188</v>
      </c>
      <c r="AE206" s="320">
        <v>46195</v>
      </c>
      <c r="AF206" s="113">
        <v>46202</v>
      </c>
      <c r="AG206" s="113">
        <v>46209</v>
      </c>
      <c r="AH206" s="113">
        <v>46223</v>
      </c>
      <c r="AI206" s="320"/>
      <c r="AJ206" s="113"/>
      <c r="AK206" s="113"/>
      <c r="AL206" s="113"/>
      <c r="AM206" s="320"/>
      <c r="AN206" s="113"/>
      <c r="AO206" s="113"/>
      <c r="AP206" s="113"/>
      <c r="AQ206" s="320"/>
      <c r="AR206" s="113"/>
      <c r="AS206" s="113"/>
      <c r="AT206" s="113"/>
      <c r="AU206" s="322"/>
      <c r="AV206" s="113"/>
      <c r="AW206" s="113"/>
      <c r="AX206" s="113"/>
      <c r="AY206" s="322"/>
      <c r="AZ206" s="113"/>
      <c r="BA206" s="113"/>
      <c r="BB206" s="113"/>
      <c r="BC206" s="322"/>
      <c r="BD206" s="213"/>
      <c r="BE206" s="213"/>
      <c r="BF206" s="213"/>
      <c r="BG206" s="213"/>
      <c r="BH206" s="213"/>
      <c r="BI206" s="213"/>
      <c r="BJ206" s="213"/>
      <c r="BK206" s="213"/>
      <c r="BL206" s="213"/>
      <c r="BM206" s="213"/>
      <c r="BN206" s="213"/>
      <c r="BO206" s="213"/>
      <c r="BP206" s="213"/>
      <c r="BQ206" s="213"/>
      <c r="BR206" s="213"/>
      <c r="BS206" s="213"/>
      <c r="BT206" s="213"/>
      <c r="BU206" s="213"/>
      <c r="BV206" s="213"/>
      <c r="BW206" s="213"/>
      <c r="BX206" s="213"/>
      <c r="BY206" s="213"/>
      <c r="BZ206" s="213"/>
      <c r="CA206" s="213"/>
      <c r="CB206" s="213"/>
      <c r="CC206" s="213"/>
      <c r="CD206" s="213"/>
      <c r="CE206" s="213"/>
      <c r="CF206" s="213"/>
      <c r="CG206" s="213"/>
      <c r="CH206" s="213"/>
      <c r="CI206" s="213"/>
      <c r="CJ206" s="213"/>
      <c r="CK206" s="213"/>
      <c r="CL206" s="213"/>
      <c r="CM206" s="213"/>
      <c r="CN206" s="213"/>
      <c r="CO206" s="213"/>
      <c r="CP206" s="213"/>
      <c r="CQ206" s="213"/>
      <c r="CR206" s="213"/>
      <c r="CS206" s="213"/>
      <c r="CT206" s="213"/>
      <c r="CU206" s="213"/>
      <c r="CV206" s="213"/>
      <c r="CW206" s="213"/>
      <c r="CX206" s="213"/>
      <c r="CY206" s="213"/>
      <c r="CZ206" s="213"/>
      <c r="DA206" s="213"/>
      <c r="DB206" s="213"/>
      <c r="DC206" s="213"/>
      <c r="DD206" s="213"/>
      <c r="DE206" s="213"/>
      <c r="DF206" s="213"/>
      <c r="DG206" s="213"/>
      <c r="DH206" s="213"/>
      <c r="DI206" s="213"/>
      <c r="DJ206" s="213"/>
      <c r="DK206" s="213"/>
      <c r="DL206" s="213"/>
      <c r="DM206" s="213"/>
      <c r="DN206" s="213"/>
      <c r="DO206" s="213"/>
      <c r="DP206" s="213"/>
      <c r="DQ206" s="213"/>
      <c r="DR206" s="213"/>
      <c r="DS206" s="213"/>
      <c r="DT206" s="113"/>
      <c r="DU206" s="140"/>
      <c r="DV206" s="140"/>
      <c r="DW206" s="320"/>
      <c r="DX206" s="320"/>
      <c r="DY206" s="320"/>
      <c r="DZ206" s="320"/>
      <c r="EA206" s="320"/>
      <c r="EB206" s="320"/>
      <c r="EC206" s="320"/>
      <c r="ED206" s="214"/>
      <c r="EE206" s="214"/>
      <c r="EF206" s="339"/>
      <c r="EG206" s="338"/>
      <c r="EH206" s="338"/>
    </row>
    <row r="207" spans="2:138" ht="31.15">
      <c r="B207" s="356" t="s">
        <v>394</v>
      </c>
      <c r="C207" s="358" t="s">
        <v>395</v>
      </c>
      <c r="D207" s="360" t="s">
        <v>309</v>
      </c>
      <c r="E207" s="358" t="s">
        <v>294</v>
      </c>
      <c r="F207" s="358" t="s">
        <v>250</v>
      </c>
      <c r="G207" s="358" t="s">
        <v>206</v>
      </c>
      <c r="H207" s="181" t="s">
        <v>147</v>
      </c>
      <c r="I207" s="75">
        <v>46008</v>
      </c>
      <c r="J207" s="182"/>
      <c r="K207" s="249">
        <v>46029</v>
      </c>
      <c r="L207" s="249" t="s">
        <v>148</v>
      </c>
      <c r="M207" s="182">
        <v>46043</v>
      </c>
      <c r="N207" s="182">
        <v>46050</v>
      </c>
      <c r="O207" s="182" t="s">
        <v>149</v>
      </c>
      <c r="P207" s="182">
        <f t="shared" ref="P207" si="2301">N207+7</f>
        <v>46057</v>
      </c>
      <c r="Q207" s="182">
        <f t="shared" ref="Q207" si="2302">P207+7</f>
        <v>46064</v>
      </c>
      <c r="R207" s="182">
        <f t="shared" ref="R207" si="2303">Q207+7</f>
        <v>46071</v>
      </c>
      <c r="S207" s="180" t="s">
        <v>149</v>
      </c>
      <c r="T207" s="180">
        <f t="shared" ref="T207" si="2304">R207+7</f>
        <v>46078</v>
      </c>
      <c r="U207" s="180">
        <f t="shared" ref="U207" si="2305">T207+7</f>
        <v>46085</v>
      </c>
      <c r="V207" s="180">
        <f t="shared" ref="V207" si="2306">U207+7</f>
        <v>46092</v>
      </c>
      <c r="W207" s="180" t="s">
        <v>149</v>
      </c>
      <c r="X207" s="180">
        <f t="shared" ref="X207" si="2307">V207+7</f>
        <v>46099</v>
      </c>
      <c r="Y207" s="180">
        <f t="shared" ref="Y207" si="2308">X207+7</f>
        <v>46106</v>
      </c>
      <c r="Z207" s="180">
        <f t="shared" ref="Z207" si="2309">Y207+7</f>
        <v>46113</v>
      </c>
      <c r="AA207" s="180" t="s">
        <v>149</v>
      </c>
      <c r="AB207" s="180">
        <f t="shared" ref="AB207" si="2310">Z207+7</f>
        <v>46120</v>
      </c>
      <c r="AC207" s="180">
        <f t="shared" ref="AC207" si="2311">AB207+7</f>
        <v>46127</v>
      </c>
      <c r="AD207" s="180">
        <f t="shared" ref="AD207" si="2312">AC207+7</f>
        <v>46134</v>
      </c>
      <c r="AE207" s="180" t="s">
        <v>149</v>
      </c>
      <c r="AF207" s="180">
        <f t="shared" ref="AF207" si="2313">AD207+7</f>
        <v>46141</v>
      </c>
      <c r="AG207" s="180">
        <f t="shared" ref="AG207" si="2314">AF207+7</f>
        <v>46148</v>
      </c>
      <c r="AH207" s="180">
        <f t="shared" ref="AH207" si="2315">AG207+7</f>
        <v>46155</v>
      </c>
      <c r="AI207" s="180" t="s">
        <v>149</v>
      </c>
      <c r="AJ207" s="180">
        <f t="shared" ref="AJ207" si="2316">AH207+7</f>
        <v>46162</v>
      </c>
      <c r="AK207" s="180">
        <f t="shared" ref="AK207" si="2317">AJ207+7</f>
        <v>46169</v>
      </c>
      <c r="AL207" s="180">
        <f t="shared" ref="AL207" si="2318">AK207+7</f>
        <v>46176</v>
      </c>
      <c r="AM207" s="180" t="s">
        <v>149</v>
      </c>
      <c r="AN207" s="180">
        <f t="shared" ref="AN207" si="2319">AL207+7</f>
        <v>46183</v>
      </c>
      <c r="AO207" s="180">
        <f t="shared" ref="AO207" si="2320">AN207+7</f>
        <v>46190</v>
      </c>
      <c r="AP207" s="180">
        <f t="shared" ref="AP207" si="2321">AO207+7</f>
        <v>46197</v>
      </c>
      <c r="AQ207" s="180" t="s">
        <v>149</v>
      </c>
      <c r="AR207" s="180">
        <f t="shared" ref="AR207" si="2322">AP207+7</f>
        <v>46204</v>
      </c>
      <c r="AS207" s="180">
        <f t="shared" ref="AS207" si="2323">AR207+7</f>
        <v>46211</v>
      </c>
      <c r="AT207" s="180">
        <f t="shared" ref="AT207" si="2324">AS207+7</f>
        <v>46218</v>
      </c>
      <c r="AU207" s="180" t="s">
        <v>149</v>
      </c>
      <c r="AV207" s="180">
        <f t="shared" ref="AV207" si="2325">AT207+7</f>
        <v>46225</v>
      </c>
      <c r="AW207" s="180">
        <f t="shared" ref="AW207" si="2326">AV207+7</f>
        <v>46232</v>
      </c>
      <c r="AX207" s="180">
        <f t="shared" ref="AX207" si="2327">AW207+7</f>
        <v>46239</v>
      </c>
      <c r="AY207" s="180" t="s">
        <v>149</v>
      </c>
      <c r="AZ207" s="180">
        <f t="shared" ref="AZ207" si="2328">AX207+7</f>
        <v>46246</v>
      </c>
      <c r="BA207" s="180">
        <f t="shared" ref="BA207" si="2329">AZ207+7</f>
        <v>46253</v>
      </c>
      <c r="BB207" s="180">
        <f t="shared" ref="BB207" si="2330">BA207+7</f>
        <v>46260</v>
      </c>
      <c r="BC207" s="180" t="s">
        <v>149</v>
      </c>
      <c r="BD207" s="180">
        <f t="shared" ref="BD207" si="2331">BB207+7</f>
        <v>46267</v>
      </c>
      <c r="BE207" s="180">
        <f t="shared" ref="BE207" si="2332">BD207+7</f>
        <v>46274</v>
      </c>
      <c r="BF207" s="180">
        <f t="shared" ref="BF207" si="2333">BE207+7</f>
        <v>46281</v>
      </c>
      <c r="BG207" s="180" t="s">
        <v>148</v>
      </c>
      <c r="BH207" s="180">
        <f t="shared" ref="BH207" si="2334">BF207+7</f>
        <v>46288</v>
      </c>
      <c r="BI207" s="180">
        <f t="shared" ref="BI207" si="2335">BH207+7</f>
        <v>46295</v>
      </c>
      <c r="BJ207" s="180">
        <f t="shared" ref="BJ207" si="2336">BI207+7</f>
        <v>46302</v>
      </c>
      <c r="BK207" s="180" t="s">
        <v>148</v>
      </c>
      <c r="BL207" s="180">
        <f t="shared" ref="BL207" si="2337">BJ207+7</f>
        <v>46309</v>
      </c>
      <c r="BM207" s="180">
        <f t="shared" ref="BM207" si="2338">BL207+7</f>
        <v>46316</v>
      </c>
      <c r="BN207" s="180">
        <f t="shared" ref="BN207" si="2339">BM207+7</f>
        <v>46323</v>
      </c>
      <c r="BO207" s="180" t="s">
        <v>149</v>
      </c>
      <c r="BP207" s="180">
        <f t="shared" ref="BP207" si="2340">BN207+7</f>
        <v>46330</v>
      </c>
      <c r="BQ207" s="180">
        <f t="shared" ref="BQ207" si="2341">BP207+7</f>
        <v>46337</v>
      </c>
      <c r="BR207" s="180">
        <f t="shared" ref="BR207" si="2342">BQ207+7</f>
        <v>46344</v>
      </c>
      <c r="BS207" s="180" t="s">
        <v>148</v>
      </c>
      <c r="BT207" s="180">
        <f t="shared" ref="BT207" si="2343">BR207+7</f>
        <v>46351</v>
      </c>
      <c r="BU207" s="180">
        <f t="shared" ref="BU207" si="2344">BT207+7</f>
        <v>46358</v>
      </c>
      <c r="BV207" s="180">
        <f t="shared" ref="BV207" si="2345">BU207+7</f>
        <v>46365</v>
      </c>
      <c r="BW207" s="180" t="s">
        <v>149</v>
      </c>
      <c r="BX207" s="180">
        <f t="shared" ref="BX207" si="2346">BV207+7</f>
        <v>46372</v>
      </c>
      <c r="BY207" s="180">
        <f t="shared" ref="BY207" si="2347">BX207+7</f>
        <v>46379</v>
      </c>
      <c r="BZ207" s="180">
        <f t="shared" ref="BZ207" si="2348">BY207+7</f>
        <v>46386</v>
      </c>
      <c r="CA207" s="180" t="s">
        <v>149</v>
      </c>
      <c r="CB207" s="180"/>
      <c r="CC207" s="180"/>
      <c r="CD207" s="180"/>
      <c r="CE207" s="180"/>
      <c r="CF207" s="180"/>
      <c r="CG207" s="180"/>
      <c r="CH207" s="180"/>
      <c r="CI207" s="180"/>
      <c r="CJ207" s="180"/>
      <c r="CK207" s="180"/>
      <c r="CL207" s="180"/>
      <c r="CM207" s="180"/>
      <c r="CN207" s="180"/>
      <c r="CO207" s="180"/>
      <c r="CP207" s="180"/>
      <c r="CQ207" s="180"/>
      <c r="CR207" s="180"/>
      <c r="CS207" s="180"/>
      <c r="CT207" s="180"/>
      <c r="CU207" s="180"/>
      <c r="CV207" s="180"/>
      <c r="CW207" s="180"/>
      <c r="CX207" s="180"/>
      <c r="CY207" s="180"/>
      <c r="CZ207" s="180"/>
      <c r="DA207" s="180"/>
      <c r="DB207" s="180"/>
      <c r="DC207" s="180"/>
      <c r="DD207" s="180"/>
      <c r="DE207" s="180"/>
      <c r="DF207" s="180"/>
      <c r="DG207" s="180"/>
      <c r="DH207" s="180"/>
      <c r="DI207" s="180"/>
      <c r="DJ207" s="180"/>
      <c r="DK207" s="180"/>
      <c r="DL207" s="180"/>
      <c r="DM207" s="180"/>
      <c r="DN207" s="180"/>
      <c r="DO207" s="180"/>
      <c r="DP207" s="180"/>
      <c r="DQ207" s="180"/>
      <c r="DR207" s="180"/>
      <c r="DS207" s="180"/>
      <c r="DT207" s="127">
        <v>46155</v>
      </c>
      <c r="DU207" s="127"/>
      <c r="DV207" s="125"/>
      <c r="DW207" s="125"/>
      <c r="DX207" s="125"/>
      <c r="DY207" s="125"/>
      <c r="DZ207" s="125"/>
      <c r="EA207" s="125"/>
      <c r="EB207" s="125"/>
      <c r="EC207" s="125"/>
      <c r="ED207" s="268"/>
      <c r="EE207" s="128"/>
      <c r="EF207" s="339"/>
      <c r="EG207" s="338"/>
      <c r="EH207" s="339"/>
    </row>
    <row r="208" spans="2:138" ht="31.15">
      <c r="B208" s="357"/>
      <c r="C208" s="359"/>
      <c r="D208" s="361"/>
      <c r="E208" s="359"/>
      <c r="F208" s="359"/>
      <c r="G208" s="359"/>
      <c r="H208" s="324" t="s">
        <v>150</v>
      </c>
      <c r="I208" s="169">
        <v>46008</v>
      </c>
      <c r="J208" s="324"/>
      <c r="K208" s="169">
        <v>46029</v>
      </c>
      <c r="L208" s="272" t="s">
        <v>148</v>
      </c>
      <c r="M208" s="202">
        <v>46043</v>
      </c>
      <c r="N208" s="169">
        <v>46050</v>
      </c>
      <c r="O208" s="324">
        <v>46057</v>
      </c>
      <c r="P208" s="169">
        <v>46064</v>
      </c>
      <c r="Q208" s="169">
        <v>46073</v>
      </c>
      <c r="R208" s="169">
        <v>46080</v>
      </c>
      <c r="S208" s="324">
        <v>46087</v>
      </c>
      <c r="T208" s="169">
        <v>46099</v>
      </c>
      <c r="U208" s="169">
        <v>46113</v>
      </c>
      <c r="V208" s="169">
        <v>46120</v>
      </c>
      <c r="W208" s="152">
        <v>46127</v>
      </c>
      <c r="X208" s="169">
        <v>46134</v>
      </c>
      <c r="Y208" s="169"/>
      <c r="Z208" s="169"/>
      <c r="AA208" s="176"/>
      <c r="AB208" s="169"/>
      <c r="AC208" s="169"/>
      <c r="AD208" s="169"/>
      <c r="AE208" s="177"/>
      <c r="AF208" s="177"/>
      <c r="AG208" s="177"/>
      <c r="AH208" s="177"/>
      <c r="AI208" s="177"/>
      <c r="AJ208" s="177"/>
      <c r="AK208" s="177"/>
      <c r="AL208" s="177"/>
      <c r="AM208" s="177"/>
      <c r="AN208" s="177"/>
      <c r="AO208" s="177"/>
      <c r="AP208" s="177"/>
      <c r="AQ208" s="178"/>
      <c r="AR208" s="177"/>
      <c r="AS208" s="177"/>
      <c r="AT208" s="177"/>
      <c r="AU208" s="177"/>
      <c r="AV208" s="177"/>
      <c r="AW208" s="177"/>
      <c r="AX208" s="177"/>
      <c r="AY208" s="177"/>
      <c r="AZ208" s="179"/>
      <c r="BA208" s="179"/>
      <c r="BB208" s="179"/>
      <c r="BC208" s="177"/>
      <c r="BD208" s="177"/>
      <c r="BE208" s="177"/>
      <c r="BF208" s="177"/>
      <c r="BG208" s="177"/>
      <c r="BH208" s="177"/>
      <c r="BI208" s="177"/>
      <c r="BJ208" s="177"/>
      <c r="BK208" s="177"/>
      <c r="BL208" s="177"/>
      <c r="BM208" s="177"/>
      <c r="BN208" s="177"/>
      <c r="BO208" s="177"/>
      <c r="BP208" s="177"/>
      <c r="BQ208" s="177"/>
      <c r="BR208" s="177"/>
      <c r="BS208" s="177"/>
      <c r="BT208" s="177"/>
      <c r="BU208" s="177"/>
      <c r="BV208" s="177"/>
      <c r="BW208" s="177"/>
      <c r="BX208" s="177"/>
      <c r="BY208" s="177"/>
      <c r="BZ208" s="177"/>
      <c r="CA208" s="177"/>
      <c r="CB208" s="177"/>
      <c r="CC208" s="177"/>
      <c r="CD208" s="177"/>
      <c r="CE208" s="177"/>
      <c r="CF208" s="177"/>
      <c r="CG208" s="177"/>
      <c r="CH208" s="177"/>
      <c r="CI208" s="177"/>
      <c r="CJ208" s="177"/>
      <c r="CK208" s="177"/>
      <c r="CL208" s="177"/>
      <c r="CM208" s="177"/>
      <c r="CN208" s="177"/>
      <c r="CO208" s="177"/>
      <c r="CP208" s="177"/>
      <c r="CQ208" s="177"/>
      <c r="CR208" s="177"/>
      <c r="CS208" s="177"/>
      <c r="CT208" s="177"/>
      <c r="CU208" s="177"/>
      <c r="CV208" s="177"/>
      <c r="CW208" s="177"/>
      <c r="CX208" s="177"/>
      <c r="CY208" s="177"/>
      <c r="CZ208" s="177"/>
      <c r="DA208" s="177"/>
      <c r="DB208" s="177"/>
      <c r="DC208" s="177"/>
      <c r="DD208" s="177"/>
      <c r="DE208" s="177"/>
      <c r="DF208" s="177"/>
      <c r="DG208" s="177"/>
      <c r="DH208" s="177"/>
      <c r="DI208" s="177"/>
      <c r="DJ208" s="177"/>
      <c r="DK208" s="177"/>
      <c r="DL208" s="177"/>
      <c r="DM208" s="177"/>
      <c r="DN208" s="177"/>
      <c r="DO208" s="177"/>
      <c r="DP208" s="177"/>
      <c r="DQ208" s="177"/>
      <c r="DR208" s="177"/>
      <c r="DS208" s="177"/>
      <c r="DT208" s="28">
        <v>46155</v>
      </c>
      <c r="DU208" s="132" t="s">
        <v>285</v>
      </c>
      <c r="DV208" s="69"/>
      <c r="DW208" s="69"/>
      <c r="DX208" s="69"/>
      <c r="DY208" s="69"/>
      <c r="DZ208" s="69"/>
      <c r="EA208" s="69"/>
      <c r="EB208" s="69"/>
      <c r="EC208" s="69"/>
      <c r="ED208" s="22"/>
      <c r="EE208" s="22"/>
      <c r="EF208" s="339"/>
      <c r="EG208" s="338"/>
      <c r="EH208" s="338"/>
    </row>
    <row r="209" spans="2:138" ht="31.15">
      <c r="B209" s="356" t="s">
        <v>396</v>
      </c>
      <c r="C209" s="358" t="s">
        <v>397</v>
      </c>
      <c r="D209" s="360" t="s">
        <v>270</v>
      </c>
      <c r="E209" s="358" t="s">
        <v>294</v>
      </c>
      <c r="F209" s="358" t="s">
        <v>250</v>
      </c>
      <c r="G209" s="358" t="s">
        <v>206</v>
      </c>
      <c r="H209" s="181" t="s">
        <v>147</v>
      </c>
      <c r="I209" s="75">
        <v>46041</v>
      </c>
      <c r="J209" s="182"/>
      <c r="K209" s="249">
        <v>46055</v>
      </c>
      <c r="L209" s="249" t="s">
        <v>148</v>
      </c>
      <c r="M209" s="182">
        <f>K209+7</f>
        <v>46062</v>
      </c>
      <c r="N209" s="182">
        <f>M209+7</f>
        <v>46069</v>
      </c>
      <c r="O209" s="182" t="s">
        <v>149</v>
      </c>
      <c r="P209" s="182">
        <f t="shared" ref="P209" si="2349">N209+7</f>
        <v>46076</v>
      </c>
      <c r="Q209" s="182">
        <f>P209+7</f>
        <v>46083</v>
      </c>
      <c r="R209" s="182">
        <f t="shared" ref="R209" si="2350">Q209+7</f>
        <v>46090</v>
      </c>
      <c r="S209" s="180" t="s">
        <v>149</v>
      </c>
      <c r="T209" s="180">
        <f t="shared" ref="T209" si="2351">R209+7</f>
        <v>46097</v>
      </c>
      <c r="U209" s="180">
        <f t="shared" ref="U209" si="2352">T209+7</f>
        <v>46104</v>
      </c>
      <c r="V209" s="180">
        <f t="shared" ref="V209" si="2353">U209+7</f>
        <v>46111</v>
      </c>
      <c r="W209" s="180" t="s">
        <v>149</v>
      </c>
      <c r="X209" s="180">
        <f t="shared" ref="X209" si="2354">V209+7</f>
        <v>46118</v>
      </c>
      <c r="Y209" s="180">
        <f t="shared" ref="Y209" si="2355">X209+7</f>
        <v>46125</v>
      </c>
      <c r="Z209" s="180">
        <f t="shared" ref="Z209" si="2356">Y209+7</f>
        <v>46132</v>
      </c>
      <c r="AA209" s="180" t="s">
        <v>149</v>
      </c>
      <c r="AB209" s="180">
        <f t="shared" ref="AB209" si="2357">Z209+7</f>
        <v>46139</v>
      </c>
      <c r="AC209" s="180">
        <f t="shared" ref="AC209" si="2358">AB209+7</f>
        <v>46146</v>
      </c>
      <c r="AD209" s="180">
        <f t="shared" ref="AD209" si="2359">AC209+7</f>
        <v>46153</v>
      </c>
      <c r="AE209" s="180" t="s">
        <v>149</v>
      </c>
      <c r="AF209" s="180">
        <f t="shared" ref="AF209" si="2360">AD209+7</f>
        <v>46160</v>
      </c>
      <c r="AG209" s="180">
        <f t="shared" ref="AG209" si="2361">AF209+7</f>
        <v>46167</v>
      </c>
      <c r="AH209" s="180">
        <f t="shared" ref="AH209" si="2362">AG209+7</f>
        <v>46174</v>
      </c>
      <c r="AI209" s="180" t="s">
        <v>149</v>
      </c>
      <c r="AJ209" s="180">
        <f t="shared" ref="AJ209" si="2363">AH209+7</f>
        <v>46181</v>
      </c>
      <c r="AK209" s="180">
        <f t="shared" ref="AK209" si="2364">AJ209+7</f>
        <v>46188</v>
      </c>
      <c r="AL209" s="180">
        <f t="shared" ref="AL209" si="2365">AK209+7</f>
        <v>46195</v>
      </c>
      <c r="AM209" s="180" t="s">
        <v>149</v>
      </c>
      <c r="AN209" s="180">
        <f t="shared" ref="AN209" si="2366">AL209+7</f>
        <v>46202</v>
      </c>
      <c r="AO209" s="180">
        <f t="shared" ref="AO209" si="2367">AN209+7</f>
        <v>46209</v>
      </c>
      <c r="AP209" s="180">
        <f t="shared" ref="AP209" si="2368">AO209+7</f>
        <v>46216</v>
      </c>
      <c r="AQ209" s="180" t="s">
        <v>149</v>
      </c>
      <c r="AR209" s="180">
        <f t="shared" ref="AR209" si="2369">AP209+7</f>
        <v>46223</v>
      </c>
      <c r="AS209" s="180">
        <f t="shared" ref="AS209" si="2370">AR209+7</f>
        <v>46230</v>
      </c>
      <c r="AT209" s="180">
        <f t="shared" ref="AT209" si="2371">AS209+7</f>
        <v>46237</v>
      </c>
      <c r="AU209" s="180" t="s">
        <v>149</v>
      </c>
      <c r="AV209" s="180">
        <f t="shared" ref="AV209" si="2372">AT209+7</f>
        <v>46244</v>
      </c>
      <c r="AW209" s="180">
        <f t="shared" ref="AW209" si="2373">AV209+7</f>
        <v>46251</v>
      </c>
      <c r="AX209" s="180">
        <f t="shared" ref="AX209" si="2374">AW209+7</f>
        <v>46258</v>
      </c>
      <c r="AY209" s="180" t="s">
        <v>149</v>
      </c>
      <c r="AZ209" s="180">
        <f t="shared" ref="AZ209" si="2375">AX209+7</f>
        <v>46265</v>
      </c>
      <c r="BA209" s="180">
        <f t="shared" ref="BA209" si="2376">AZ209+7</f>
        <v>46272</v>
      </c>
      <c r="BB209" s="180">
        <f t="shared" ref="BB209" si="2377">BA209+7</f>
        <v>46279</v>
      </c>
      <c r="BC209" s="180" t="s">
        <v>149</v>
      </c>
      <c r="BD209" s="180">
        <f t="shared" ref="BD209" si="2378">BB209+7</f>
        <v>46286</v>
      </c>
      <c r="BE209" s="180">
        <f t="shared" ref="BE209" si="2379">BD209+7</f>
        <v>46293</v>
      </c>
      <c r="BF209" s="180">
        <f t="shared" ref="BF209" si="2380">BE209+7</f>
        <v>46300</v>
      </c>
      <c r="BG209" s="180" t="s">
        <v>148</v>
      </c>
      <c r="BH209" s="180">
        <f t="shared" ref="BH209" si="2381">BF209+7</f>
        <v>46307</v>
      </c>
      <c r="BI209" s="180">
        <f t="shared" ref="BI209" si="2382">BH209+7</f>
        <v>46314</v>
      </c>
      <c r="BJ209" s="180">
        <f t="shared" ref="BJ209" si="2383">BI209+7</f>
        <v>46321</v>
      </c>
      <c r="BK209" s="180" t="s">
        <v>148</v>
      </c>
      <c r="BL209" s="180">
        <f t="shared" ref="BL209" si="2384">BJ209+7</f>
        <v>46328</v>
      </c>
      <c r="BM209" s="180">
        <f t="shared" ref="BM209" si="2385">BL209+7</f>
        <v>46335</v>
      </c>
      <c r="BN209" s="180">
        <f t="shared" ref="BN209" si="2386">BM209+7</f>
        <v>46342</v>
      </c>
      <c r="BO209" s="180" t="s">
        <v>149</v>
      </c>
      <c r="BP209" s="180">
        <f t="shared" ref="BP209" si="2387">BN209+7</f>
        <v>46349</v>
      </c>
      <c r="BQ209" s="180">
        <f t="shared" ref="BQ209" si="2388">BP209+7</f>
        <v>46356</v>
      </c>
      <c r="BR209" s="180">
        <f t="shared" ref="BR209" si="2389">BQ209+7</f>
        <v>46363</v>
      </c>
      <c r="BS209" s="180" t="s">
        <v>148</v>
      </c>
      <c r="BT209" s="180">
        <f t="shared" ref="BT209" si="2390">BR209+7</f>
        <v>46370</v>
      </c>
      <c r="BU209" s="180">
        <f t="shared" ref="BU209" si="2391">BT209+7</f>
        <v>46377</v>
      </c>
      <c r="BV209" s="180">
        <f t="shared" ref="BV209" si="2392">BU209+7</f>
        <v>46384</v>
      </c>
      <c r="BW209" s="180" t="s">
        <v>149</v>
      </c>
      <c r="BX209" s="180">
        <f t="shared" ref="BX209" si="2393">BV209+7</f>
        <v>46391</v>
      </c>
      <c r="BY209" s="180">
        <f t="shared" ref="BY209" si="2394">BX209+7</f>
        <v>46398</v>
      </c>
      <c r="BZ209" s="180">
        <f t="shared" ref="BZ209" si="2395">BY209+7</f>
        <v>46405</v>
      </c>
      <c r="CA209" s="180" t="s">
        <v>149</v>
      </c>
      <c r="CB209" s="180"/>
      <c r="CC209" s="180"/>
      <c r="CD209" s="180"/>
      <c r="CE209" s="180"/>
      <c r="CF209" s="180"/>
      <c r="CG209" s="180"/>
      <c r="CH209" s="180"/>
      <c r="CI209" s="180"/>
      <c r="CJ209" s="180"/>
      <c r="CK209" s="180"/>
      <c r="CL209" s="180"/>
      <c r="CM209" s="180"/>
      <c r="CN209" s="180"/>
      <c r="CO209" s="180"/>
      <c r="CP209" s="180"/>
      <c r="CQ209" s="180"/>
      <c r="CR209" s="180"/>
      <c r="CS209" s="180"/>
      <c r="CT209" s="180"/>
      <c r="CU209" s="180"/>
      <c r="CV209" s="180"/>
      <c r="CW209" s="180"/>
      <c r="CX209" s="180"/>
      <c r="CY209" s="180"/>
      <c r="CZ209" s="180"/>
      <c r="DA209" s="180"/>
      <c r="DB209" s="180"/>
      <c r="DC209" s="180"/>
      <c r="DD209" s="180"/>
      <c r="DE209" s="180"/>
      <c r="DF209" s="180"/>
      <c r="DG209" s="180"/>
      <c r="DH209" s="180"/>
      <c r="DI209" s="180"/>
      <c r="DJ209" s="180"/>
      <c r="DK209" s="180"/>
      <c r="DL209" s="180"/>
      <c r="DM209" s="180"/>
      <c r="DN209" s="180"/>
      <c r="DO209" s="180"/>
      <c r="DP209" s="180"/>
      <c r="DQ209" s="180"/>
      <c r="DR209" s="180"/>
      <c r="DS209" s="180"/>
      <c r="DT209" s="127">
        <v>46112</v>
      </c>
      <c r="DU209" s="127"/>
      <c r="DV209" s="125"/>
      <c r="DW209" s="125"/>
      <c r="DX209" s="125"/>
      <c r="DY209" s="125"/>
      <c r="DZ209" s="125"/>
      <c r="EA209" s="125"/>
      <c r="EB209" s="125"/>
      <c r="EC209" s="125"/>
      <c r="ED209" s="268"/>
      <c r="EE209" s="128"/>
      <c r="EF209" s="339"/>
      <c r="EG209" s="338"/>
      <c r="EH209" s="339"/>
    </row>
    <row r="210" spans="2:138" ht="27.75">
      <c r="B210" s="357"/>
      <c r="C210" s="359"/>
      <c r="D210" s="361"/>
      <c r="E210" s="359"/>
      <c r="F210" s="359"/>
      <c r="G210" s="359"/>
      <c r="H210" s="324" t="s">
        <v>150</v>
      </c>
      <c r="I210" s="169">
        <v>46041</v>
      </c>
      <c r="J210" s="324"/>
      <c r="K210" s="169">
        <v>46055</v>
      </c>
      <c r="L210" s="272" t="s">
        <v>148</v>
      </c>
      <c r="M210" s="202">
        <v>46066</v>
      </c>
      <c r="N210" s="169">
        <v>46076</v>
      </c>
      <c r="O210" s="324">
        <v>46084</v>
      </c>
      <c r="P210" s="169">
        <v>46090</v>
      </c>
      <c r="Q210" s="169">
        <v>46097</v>
      </c>
      <c r="R210" s="169">
        <v>46104</v>
      </c>
      <c r="S210" s="324"/>
      <c r="T210" s="169"/>
      <c r="U210" s="169"/>
      <c r="V210" s="169"/>
      <c r="W210" s="152"/>
      <c r="X210" s="169"/>
      <c r="Y210" s="169"/>
      <c r="Z210" s="169"/>
      <c r="AA210" s="176"/>
      <c r="AB210" s="169"/>
      <c r="AC210" s="169"/>
      <c r="AD210" s="169"/>
      <c r="AE210" s="177"/>
      <c r="AF210" s="177"/>
      <c r="AG210" s="177"/>
      <c r="AH210" s="177"/>
      <c r="AI210" s="177"/>
      <c r="AJ210" s="177"/>
      <c r="AK210" s="177"/>
      <c r="AL210" s="177"/>
      <c r="AM210" s="177"/>
      <c r="AN210" s="177"/>
      <c r="AO210" s="177"/>
      <c r="AP210" s="177"/>
      <c r="AQ210" s="178"/>
      <c r="AR210" s="177"/>
      <c r="AS210" s="177"/>
      <c r="AT210" s="177"/>
      <c r="AU210" s="177"/>
      <c r="AV210" s="177"/>
      <c r="AW210" s="177"/>
      <c r="AX210" s="177"/>
      <c r="AY210" s="177"/>
      <c r="AZ210" s="179"/>
      <c r="BA210" s="179"/>
      <c r="BB210" s="179"/>
      <c r="BC210" s="177"/>
      <c r="BD210" s="177"/>
      <c r="BE210" s="177"/>
      <c r="BF210" s="177"/>
      <c r="BG210" s="177"/>
      <c r="BH210" s="177"/>
      <c r="BI210" s="177"/>
      <c r="BJ210" s="177"/>
      <c r="BK210" s="177"/>
      <c r="BL210" s="177"/>
      <c r="BM210" s="177"/>
      <c r="BN210" s="177"/>
      <c r="BO210" s="177"/>
      <c r="BP210" s="177"/>
      <c r="BQ210" s="177"/>
      <c r="BR210" s="177"/>
      <c r="BS210" s="177"/>
      <c r="BT210" s="177"/>
      <c r="BU210" s="177"/>
      <c r="BV210" s="177"/>
      <c r="BW210" s="177"/>
      <c r="BX210" s="177"/>
      <c r="BY210" s="177"/>
      <c r="BZ210" s="177"/>
      <c r="CA210" s="177"/>
      <c r="CB210" s="177"/>
      <c r="CC210" s="177"/>
      <c r="CD210" s="177"/>
      <c r="CE210" s="177"/>
      <c r="CF210" s="177"/>
      <c r="CG210" s="177"/>
      <c r="CH210" s="177"/>
      <c r="CI210" s="177"/>
      <c r="CJ210" s="177"/>
      <c r="CK210" s="177"/>
      <c r="CL210" s="177"/>
      <c r="CM210" s="177"/>
      <c r="CN210" s="177"/>
      <c r="CO210" s="177"/>
      <c r="CP210" s="177"/>
      <c r="CQ210" s="177"/>
      <c r="CR210" s="177"/>
      <c r="CS210" s="177"/>
      <c r="CT210" s="177"/>
      <c r="CU210" s="177"/>
      <c r="CV210" s="177"/>
      <c r="CW210" s="177"/>
      <c r="CX210" s="177"/>
      <c r="CY210" s="177"/>
      <c r="CZ210" s="177"/>
      <c r="DA210" s="177"/>
      <c r="DB210" s="177"/>
      <c r="DC210" s="177"/>
      <c r="DD210" s="177"/>
      <c r="DE210" s="177"/>
      <c r="DF210" s="177"/>
      <c r="DG210" s="177"/>
      <c r="DH210" s="177"/>
      <c r="DI210" s="177"/>
      <c r="DJ210" s="177"/>
      <c r="DK210" s="177"/>
      <c r="DL210" s="177"/>
      <c r="DM210" s="177"/>
      <c r="DN210" s="177"/>
      <c r="DO210" s="177"/>
      <c r="DP210" s="177"/>
      <c r="DQ210" s="177"/>
      <c r="DR210" s="177"/>
      <c r="DS210" s="177"/>
      <c r="DT210" s="28">
        <v>46112</v>
      </c>
      <c r="DU210" s="303"/>
      <c r="DV210" s="69">
        <v>46196</v>
      </c>
      <c r="DW210" s="69"/>
      <c r="DX210" s="69"/>
      <c r="DY210" s="69"/>
      <c r="DZ210" s="69"/>
      <c r="EA210" s="69"/>
      <c r="EB210" s="69"/>
      <c r="EC210" s="69"/>
      <c r="ED210" s="22"/>
      <c r="EE210" s="22"/>
      <c r="EF210" s="339"/>
      <c r="EG210" s="338"/>
      <c r="EH210" s="338"/>
    </row>
    <row r="211" spans="2:138" ht="31.15">
      <c r="B211" s="346" t="s">
        <v>398</v>
      </c>
      <c r="C211" s="348" t="s">
        <v>399</v>
      </c>
      <c r="D211" s="350" t="s">
        <v>208</v>
      </c>
      <c r="E211" s="350" t="s">
        <v>367</v>
      </c>
      <c r="F211" s="348" t="s">
        <v>315</v>
      </c>
      <c r="G211" s="350" t="s">
        <v>148</v>
      </c>
      <c r="H211" s="13" t="s">
        <v>147</v>
      </c>
      <c r="I211" s="145">
        <v>46051</v>
      </c>
      <c r="J211" s="126"/>
      <c r="K211" s="240">
        <v>46065</v>
      </c>
      <c r="L211" s="269" t="s">
        <v>148</v>
      </c>
      <c r="M211" s="146">
        <f>K212+7</f>
        <v>46072</v>
      </c>
      <c r="N211" s="16">
        <f t="shared" ref="N211" si="2396">M211+7</f>
        <v>46079</v>
      </c>
      <c r="O211" s="16" t="s">
        <v>149</v>
      </c>
      <c r="P211" s="16">
        <v>45526</v>
      </c>
      <c r="Q211" s="16">
        <f t="shared" ref="Q211" si="2397">P211+7</f>
        <v>45533</v>
      </c>
      <c r="R211" s="16">
        <f t="shared" ref="R211" si="2398">Q211+7</f>
        <v>45540</v>
      </c>
      <c r="S211" s="17" t="s">
        <v>149</v>
      </c>
      <c r="T211" s="17">
        <f t="shared" ref="T211" si="2399">R211+7</f>
        <v>45547</v>
      </c>
      <c r="U211" s="17">
        <f t="shared" ref="U211" si="2400">T211+7</f>
        <v>45554</v>
      </c>
      <c r="V211" s="17">
        <f t="shared" ref="V211" si="2401">U211+7</f>
        <v>45561</v>
      </c>
      <c r="W211" s="17" t="s">
        <v>149</v>
      </c>
      <c r="X211" s="17">
        <f t="shared" ref="X211" si="2402">V211+7</f>
        <v>45568</v>
      </c>
      <c r="Y211" s="17">
        <f t="shared" ref="Y211" si="2403">X211+7</f>
        <v>45575</v>
      </c>
      <c r="Z211" s="17">
        <f t="shared" ref="Z211" si="2404">Y211+7</f>
        <v>45582</v>
      </c>
      <c r="AA211" s="17" t="s">
        <v>149</v>
      </c>
      <c r="AB211" s="17">
        <f t="shared" ref="AB211" si="2405">Z211+7</f>
        <v>45589</v>
      </c>
      <c r="AC211" s="17">
        <f t="shared" ref="AC211" si="2406">AB211+7</f>
        <v>45596</v>
      </c>
      <c r="AD211" s="17">
        <f t="shared" ref="AD211" si="2407">AC211+7</f>
        <v>45603</v>
      </c>
      <c r="AE211" s="17" t="s">
        <v>149</v>
      </c>
      <c r="AF211" s="17">
        <f t="shared" ref="AF211" si="2408">AD211+7</f>
        <v>45610</v>
      </c>
      <c r="AG211" s="17">
        <f t="shared" ref="AG211" si="2409">AF211+7</f>
        <v>45617</v>
      </c>
      <c r="AH211" s="17">
        <f t="shared" ref="AH211" si="2410">AG211+7</f>
        <v>45624</v>
      </c>
      <c r="AI211" s="17" t="s">
        <v>149</v>
      </c>
      <c r="AJ211" s="17">
        <f t="shared" ref="AJ211" si="2411">AH211+7</f>
        <v>45631</v>
      </c>
      <c r="AK211" s="17">
        <f t="shared" ref="AK211" si="2412">AJ211+7</f>
        <v>45638</v>
      </c>
      <c r="AL211" s="17">
        <f t="shared" ref="AL211" si="2413">AK211+7</f>
        <v>45645</v>
      </c>
      <c r="AM211" s="17" t="s">
        <v>149</v>
      </c>
      <c r="AN211" s="17">
        <f t="shared" ref="AN211" si="2414">AL211+7</f>
        <v>45652</v>
      </c>
      <c r="AO211" s="17">
        <f t="shared" ref="AO211" si="2415">AN211+7</f>
        <v>45659</v>
      </c>
      <c r="AP211" s="17">
        <f t="shared" ref="AP211" si="2416">AO211+7</f>
        <v>45666</v>
      </c>
      <c r="AQ211" s="17" t="s">
        <v>149</v>
      </c>
      <c r="AR211" s="17">
        <f t="shared" ref="AR211" si="2417">AP211+7</f>
        <v>45673</v>
      </c>
      <c r="AS211" s="17">
        <f t="shared" ref="AS211" si="2418">AR211+7</f>
        <v>45680</v>
      </c>
      <c r="AT211" s="17">
        <f t="shared" ref="AT211" si="2419">AS211+7</f>
        <v>45687</v>
      </c>
      <c r="AU211" s="17">
        <f t="shared" ref="AU211" si="2420">AT211+21</f>
        <v>45708</v>
      </c>
      <c r="AV211" s="17">
        <f t="shared" ref="AV211" si="2421">AT211+7</f>
        <v>45694</v>
      </c>
      <c r="AW211" s="17">
        <f t="shared" ref="AW211" si="2422">AV211+7</f>
        <v>45701</v>
      </c>
      <c r="AX211" s="17">
        <f t="shared" ref="AX211" si="2423">AW211+7</f>
        <v>45708</v>
      </c>
      <c r="AY211" s="17">
        <f t="shared" ref="AY211" si="2424">AX211+21</f>
        <v>45729</v>
      </c>
      <c r="AZ211" s="17">
        <f t="shared" ref="AZ211" si="2425">AX211+7</f>
        <v>45715</v>
      </c>
      <c r="BA211" s="17">
        <f t="shared" ref="BA211" si="2426">AZ211+7</f>
        <v>45722</v>
      </c>
      <c r="BB211" s="17">
        <f t="shared" ref="BB211" si="2427">BA211+7</f>
        <v>45729</v>
      </c>
      <c r="BC211" s="17" t="s">
        <v>148</v>
      </c>
      <c r="BD211" s="17">
        <f>BB211+7</f>
        <v>45736</v>
      </c>
      <c r="BE211" s="17">
        <f>BD211+7</f>
        <v>45743</v>
      </c>
      <c r="BF211" s="17">
        <f>BE211+7</f>
        <v>45750</v>
      </c>
      <c r="BG211" s="17" t="s">
        <v>148</v>
      </c>
      <c r="BH211" s="17">
        <f>BF211+7</f>
        <v>45757</v>
      </c>
      <c r="BI211" s="17">
        <f>BH211+7</f>
        <v>45764</v>
      </c>
      <c r="BJ211" s="17">
        <f>BI211+7</f>
        <v>45771</v>
      </c>
      <c r="BK211" s="17" t="s">
        <v>148</v>
      </c>
      <c r="BL211" s="17">
        <f>BJ211+7</f>
        <v>45778</v>
      </c>
      <c r="BM211" s="17">
        <f>BL211+7</f>
        <v>45785</v>
      </c>
      <c r="BN211" s="17">
        <f>BM211+7</f>
        <v>45792</v>
      </c>
      <c r="BO211" s="17" t="s">
        <v>149</v>
      </c>
      <c r="BP211" s="17">
        <f>BN211+7</f>
        <v>45799</v>
      </c>
      <c r="BQ211" s="17">
        <f>BP211+7</f>
        <v>45806</v>
      </c>
      <c r="BR211" s="17">
        <f>BQ211+7</f>
        <v>45813</v>
      </c>
      <c r="BS211" s="17" t="s">
        <v>148</v>
      </c>
      <c r="BT211" s="17">
        <f>BR211+7</f>
        <v>45820</v>
      </c>
      <c r="BU211" s="17">
        <f>BT211+7</f>
        <v>45827</v>
      </c>
      <c r="BV211" s="17">
        <f>BU211+7</f>
        <v>45834</v>
      </c>
      <c r="BW211" s="17" t="s">
        <v>149</v>
      </c>
      <c r="BX211" s="17">
        <f>BV211+7</f>
        <v>45841</v>
      </c>
      <c r="BY211" s="17">
        <f>BX211+7</f>
        <v>45848</v>
      </c>
      <c r="BZ211" s="17">
        <f>BY211+7</f>
        <v>45855</v>
      </c>
      <c r="CA211" s="17" t="s">
        <v>149</v>
      </c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3"/>
      <c r="DW211" s="13"/>
      <c r="DX211" s="13"/>
      <c r="DY211" s="13"/>
      <c r="DZ211" s="13"/>
      <c r="EA211" s="13"/>
      <c r="EB211" s="13"/>
      <c r="EC211" s="13"/>
      <c r="ED211" s="24"/>
      <c r="EE211" s="24"/>
      <c r="EF211" s="339"/>
      <c r="EG211" s="338"/>
      <c r="EH211" s="338"/>
    </row>
    <row r="212" spans="2:138" ht="27.75">
      <c r="B212" s="347"/>
      <c r="C212" s="349"/>
      <c r="D212" s="351"/>
      <c r="E212" s="351"/>
      <c r="F212" s="349"/>
      <c r="G212" s="351"/>
      <c r="H212" s="321" t="s">
        <v>150</v>
      </c>
      <c r="I212" s="183">
        <v>46051</v>
      </c>
      <c r="J212" s="184"/>
      <c r="K212" s="185">
        <v>46065</v>
      </c>
      <c r="L212" s="271" t="s">
        <v>148</v>
      </c>
      <c r="M212" s="147">
        <v>46072</v>
      </c>
      <c r="N212" s="321">
        <v>46086</v>
      </c>
      <c r="O212" s="321">
        <v>46093</v>
      </c>
      <c r="P212" s="321">
        <v>46100</v>
      </c>
      <c r="Q212" s="321">
        <v>46114</v>
      </c>
      <c r="R212" s="320">
        <v>46121</v>
      </c>
      <c r="S212" s="321">
        <v>46128</v>
      </c>
      <c r="T212" s="321">
        <v>46136</v>
      </c>
      <c r="U212" s="149">
        <v>46149</v>
      </c>
      <c r="V212" s="321">
        <v>46156</v>
      </c>
      <c r="W212" s="12">
        <v>46163</v>
      </c>
      <c r="X212" s="321">
        <v>46170</v>
      </c>
      <c r="Y212" s="320">
        <v>46177</v>
      </c>
      <c r="Z212" s="321">
        <v>46184</v>
      </c>
      <c r="AA212" s="302" t="s">
        <v>149</v>
      </c>
      <c r="AB212" s="321">
        <v>46198</v>
      </c>
      <c r="AC212" s="321">
        <v>46205</v>
      </c>
      <c r="AD212" s="320">
        <v>46212</v>
      </c>
      <c r="AE212" s="321"/>
      <c r="AF212" s="321"/>
      <c r="AG212" s="321"/>
      <c r="AH212" s="23"/>
      <c r="AI212" s="321"/>
      <c r="AJ212" s="321"/>
      <c r="AK212" s="321"/>
      <c r="AL212" s="23"/>
      <c r="AM212" s="321"/>
      <c r="AN212" s="321"/>
      <c r="AO212" s="321"/>
      <c r="AP212" s="23"/>
      <c r="AQ212" s="321"/>
      <c r="AR212" s="321"/>
      <c r="AS212" s="321"/>
      <c r="AT212" s="23"/>
      <c r="AU212" s="321"/>
      <c r="AV212" s="321"/>
      <c r="AW212" s="321"/>
      <c r="AX212" s="23"/>
      <c r="AY212" s="321"/>
      <c r="AZ212" s="321"/>
      <c r="BA212" s="321"/>
      <c r="BB212" s="23"/>
      <c r="BC212" s="321"/>
      <c r="BD212" s="321"/>
      <c r="BE212" s="321"/>
      <c r="BF212" s="321"/>
      <c r="BG212" s="321"/>
      <c r="BH212" s="321"/>
      <c r="BI212" s="321"/>
      <c r="BJ212" s="321"/>
      <c r="BK212" s="321"/>
      <c r="BL212" s="321"/>
      <c r="BM212" s="321"/>
      <c r="BN212" s="321"/>
      <c r="BO212" s="321"/>
      <c r="BP212" s="321"/>
      <c r="BQ212" s="321"/>
      <c r="BR212" s="321"/>
      <c r="BS212" s="321"/>
      <c r="BT212" s="321"/>
      <c r="BU212" s="321"/>
      <c r="BV212" s="321"/>
      <c r="BW212" s="321"/>
      <c r="BX212" s="321"/>
      <c r="BY212" s="321"/>
      <c r="BZ212" s="321"/>
      <c r="CA212" s="321"/>
      <c r="CB212" s="321"/>
      <c r="CC212" s="321"/>
      <c r="CD212" s="321"/>
      <c r="CE212" s="321"/>
      <c r="CF212" s="321"/>
      <c r="CG212" s="321"/>
      <c r="CH212" s="321"/>
      <c r="CI212" s="321"/>
      <c r="CJ212" s="321"/>
      <c r="CK212" s="321"/>
      <c r="CL212" s="321"/>
      <c r="CM212" s="321"/>
      <c r="CN212" s="321"/>
      <c r="CO212" s="321"/>
      <c r="CP212" s="321"/>
      <c r="CQ212" s="321"/>
      <c r="CR212" s="321"/>
      <c r="CS212" s="321"/>
      <c r="CT212" s="321"/>
      <c r="CU212" s="321"/>
      <c r="CV212" s="321"/>
      <c r="CW212" s="321"/>
      <c r="CX212" s="321"/>
      <c r="CY212" s="321"/>
      <c r="CZ212" s="321"/>
      <c r="DA212" s="321"/>
      <c r="DB212" s="321"/>
      <c r="DC212" s="321"/>
      <c r="DD212" s="321"/>
      <c r="DE212" s="321"/>
      <c r="DF212" s="321"/>
      <c r="DG212" s="321"/>
      <c r="DH212" s="321"/>
      <c r="DI212" s="321"/>
      <c r="DJ212" s="321"/>
      <c r="DK212" s="321"/>
      <c r="DL212" s="321"/>
      <c r="DM212" s="321"/>
      <c r="DN212" s="321"/>
      <c r="DO212" s="321"/>
      <c r="DP212" s="321"/>
      <c r="DQ212" s="321"/>
      <c r="DR212" s="321"/>
      <c r="DS212" s="321"/>
      <c r="DT212" s="321"/>
      <c r="DU212" s="148"/>
      <c r="DV212" s="321"/>
      <c r="DW212" s="321"/>
      <c r="DX212" s="321"/>
      <c r="DY212" s="321"/>
      <c r="DZ212" s="321"/>
      <c r="EA212" s="321"/>
      <c r="EB212" s="321"/>
      <c r="EC212" s="321"/>
      <c r="ED212" s="25"/>
      <c r="EE212" s="25"/>
      <c r="EF212" s="339"/>
      <c r="EG212" s="338"/>
      <c r="EH212" s="338"/>
    </row>
    <row r="213" spans="2:138" s="119" customFormat="1" ht="31.15">
      <c r="B213" s="352" t="s">
        <v>400</v>
      </c>
      <c r="C213" s="340" t="s">
        <v>401</v>
      </c>
      <c r="D213" s="342" t="s">
        <v>402</v>
      </c>
      <c r="E213" s="342" t="s">
        <v>364</v>
      </c>
      <c r="F213" s="340" t="s">
        <v>315</v>
      </c>
      <c r="G213" s="342" t="s">
        <v>206</v>
      </c>
      <c r="H213" s="32" t="s">
        <v>147</v>
      </c>
      <c r="I213" s="93">
        <v>46062</v>
      </c>
      <c r="J213" s="94"/>
      <c r="K213" s="298">
        <v>46076</v>
      </c>
      <c r="L213" s="233">
        <v>46080</v>
      </c>
      <c r="M213" s="96">
        <v>46083</v>
      </c>
      <c r="N213" s="33">
        <f t="shared" ref="N213" si="2428">M213+7</f>
        <v>46090</v>
      </c>
      <c r="O213" s="33" t="s">
        <v>149</v>
      </c>
      <c r="P213" s="33">
        <v>45526</v>
      </c>
      <c r="Q213" s="33">
        <f t="shared" ref="Q213" si="2429">P213+7</f>
        <v>45533</v>
      </c>
      <c r="R213" s="33">
        <f t="shared" ref="R213" si="2430">Q213+7</f>
        <v>45540</v>
      </c>
      <c r="S213" s="34" t="s">
        <v>149</v>
      </c>
      <c r="T213" s="34">
        <f t="shared" ref="T213" si="2431">R213+7</f>
        <v>45547</v>
      </c>
      <c r="U213" s="34">
        <f t="shared" ref="U213" si="2432">T213+7</f>
        <v>45554</v>
      </c>
      <c r="V213" s="34">
        <f t="shared" ref="V213" si="2433">U213+7</f>
        <v>45561</v>
      </c>
      <c r="W213" s="34" t="s">
        <v>149</v>
      </c>
      <c r="X213" s="34">
        <f t="shared" ref="X213" si="2434">V213+7</f>
        <v>45568</v>
      </c>
      <c r="Y213" s="34">
        <f t="shared" ref="Y213" si="2435">X213+7</f>
        <v>45575</v>
      </c>
      <c r="Z213" s="34">
        <f t="shared" ref="Z213" si="2436">Y213+7</f>
        <v>45582</v>
      </c>
      <c r="AA213" s="34" t="s">
        <v>149</v>
      </c>
      <c r="AB213" s="34">
        <f t="shared" ref="AB213" si="2437">Z213+7</f>
        <v>45589</v>
      </c>
      <c r="AC213" s="34">
        <f t="shared" ref="AC213" si="2438">AB213+7</f>
        <v>45596</v>
      </c>
      <c r="AD213" s="34">
        <f t="shared" ref="AD213" si="2439">AC213+7</f>
        <v>45603</v>
      </c>
      <c r="AE213" s="34" t="s">
        <v>149</v>
      </c>
      <c r="AF213" s="34">
        <f t="shared" ref="AF213" si="2440">AD213+7</f>
        <v>45610</v>
      </c>
      <c r="AG213" s="34">
        <f t="shared" ref="AG213" si="2441">AF213+7</f>
        <v>45617</v>
      </c>
      <c r="AH213" s="34">
        <f t="shared" ref="AH213" si="2442">AG213+7</f>
        <v>45624</v>
      </c>
      <c r="AI213" s="34" t="s">
        <v>149</v>
      </c>
      <c r="AJ213" s="34">
        <f t="shared" ref="AJ213" si="2443">AH213+7</f>
        <v>45631</v>
      </c>
      <c r="AK213" s="34">
        <f t="shared" ref="AK213" si="2444">AJ213+7</f>
        <v>45638</v>
      </c>
      <c r="AL213" s="34">
        <f t="shared" ref="AL213" si="2445">AK213+7</f>
        <v>45645</v>
      </c>
      <c r="AM213" s="34" t="s">
        <v>149</v>
      </c>
      <c r="AN213" s="34">
        <f t="shared" ref="AN213" si="2446">AL213+7</f>
        <v>45652</v>
      </c>
      <c r="AO213" s="34">
        <f t="shared" ref="AO213" si="2447">AN213+7</f>
        <v>45659</v>
      </c>
      <c r="AP213" s="34">
        <f t="shared" ref="AP213" si="2448">AO213+7</f>
        <v>45666</v>
      </c>
      <c r="AQ213" s="34" t="s">
        <v>149</v>
      </c>
      <c r="AR213" s="34">
        <f t="shared" ref="AR213" si="2449">AP213+7</f>
        <v>45673</v>
      </c>
      <c r="AS213" s="34">
        <f t="shared" ref="AS213" si="2450">AR213+7</f>
        <v>45680</v>
      </c>
      <c r="AT213" s="34">
        <f t="shared" ref="AT213" si="2451">AS213+7</f>
        <v>45687</v>
      </c>
      <c r="AU213" s="34">
        <f t="shared" ref="AU213" si="2452">AT213+21</f>
        <v>45708</v>
      </c>
      <c r="AV213" s="34">
        <f t="shared" ref="AV213" si="2453">AT213+7</f>
        <v>45694</v>
      </c>
      <c r="AW213" s="34">
        <f t="shared" ref="AW213" si="2454">AV213+7</f>
        <v>45701</v>
      </c>
      <c r="AX213" s="34">
        <f t="shared" ref="AX213" si="2455">AW213+7</f>
        <v>45708</v>
      </c>
      <c r="AY213" s="34">
        <f t="shared" ref="AY213" si="2456">AX213+21</f>
        <v>45729</v>
      </c>
      <c r="AZ213" s="34">
        <f t="shared" ref="AZ213" si="2457">AX213+7</f>
        <v>45715</v>
      </c>
      <c r="BA213" s="34">
        <f t="shared" ref="BA213" si="2458">AZ213+7</f>
        <v>45722</v>
      </c>
      <c r="BB213" s="34">
        <f t="shared" ref="BB213" si="2459">BA213+7</f>
        <v>45729</v>
      </c>
      <c r="BC213" s="34" t="s">
        <v>148</v>
      </c>
      <c r="BD213" s="34">
        <f>BB213+7</f>
        <v>45736</v>
      </c>
      <c r="BE213" s="34">
        <f>BD213+7</f>
        <v>45743</v>
      </c>
      <c r="BF213" s="34">
        <f>BE213+7</f>
        <v>45750</v>
      </c>
      <c r="BG213" s="34" t="s">
        <v>148</v>
      </c>
      <c r="BH213" s="34">
        <f>BF213+7</f>
        <v>45757</v>
      </c>
      <c r="BI213" s="34">
        <f>BH213+7</f>
        <v>45764</v>
      </c>
      <c r="BJ213" s="34">
        <f>BI213+7</f>
        <v>45771</v>
      </c>
      <c r="BK213" s="34" t="s">
        <v>148</v>
      </c>
      <c r="BL213" s="34">
        <f>BJ213+7</f>
        <v>45778</v>
      </c>
      <c r="BM213" s="34">
        <f>BL213+7</f>
        <v>45785</v>
      </c>
      <c r="BN213" s="34">
        <f>BM213+7</f>
        <v>45792</v>
      </c>
      <c r="BO213" s="34" t="s">
        <v>149</v>
      </c>
      <c r="BP213" s="34">
        <f>BN213+7</f>
        <v>45799</v>
      </c>
      <c r="BQ213" s="34">
        <f>BP213+7</f>
        <v>45806</v>
      </c>
      <c r="BR213" s="34">
        <f>BQ213+7</f>
        <v>45813</v>
      </c>
      <c r="BS213" s="34" t="s">
        <v>148</v>
      </c>
      <c r="BT213" s="34">
        <f>BR213+7</f>
        <v>45820</v>
      </c>
      <c r="BU213" s="34">
        <f>BT213+7</f>
        <v>45827</v>
      </c>
      <c r="BV213" s="34">
        <f>BU213+7</f>
        <v>45834</v>
      </c>
      <c r="BW213" s="34" t="s">
        <v>149</v>
      </c>
      <c r="BX213" s="34">
        <f>BV213+7</f>
        <v>45841</v>
      </c>
      <c r="BY213" s="34">
        <f>BX213+7</f>
        <v>45848</v>
      </c>
      <c r="BZ213" s="34">
        <f>BY213+7</f>
        <v>45855</v>
      </c>
      <c r="CA213" s="34" t="s">
        <v>149</v>
      </c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  <c r="CO213" s="34"/>
      <c r="CP213" s="34"/>
      <c r="CQ213" s="34"/>
      <c r="CR213" s="34"/>
      <c r="CS213" s="34"/>
      <c r="CT213" s="34"/>
      <c r="CU213" s="34"/>
      <c r="CV213" s="34"/>
      <c r="CW213" s="34"/>
      <c r="CX213" s="34"/>
      <c r="CY213" s="34"/>
      <c r="CZ213" s="34"/>
      <c r="DA213" s="34"/>
      <c r="DB213" s="34"/>
      <c r="DC213" s="34"/>
      <c r="DD213" s="34"/>
      <c r="DE213" s="34"/>
      <c r="DF213" s="34"/>
      <c r="DG213" s="34"/>
      <c r="DH213" s="34"/>
      <c r="DI213" s="34"/>
      <c r="DJ213" s="34"/>
      <c r="DK213" s="34"/>
      <c r="DL213" s="34"/>
      <c r="DM213" s="34"/>
      <c r="DN213" s="34"/>
      <c r="DO213" s="34"/>
      <c r="DP213" s="34"/>
      <c r="DQ213" s="34"/>
      <c r="DR213" s="34"/>
      <c r="DS213" s="34"/>
      <c r="DT213" s="34">
        <v>46142</v>
      </c>
      <c r="DU213" s="34"/>
      <c r="DV213" s="32"/>
      <c r="DW213" s="32"/>
      <c r="DX213" s="32"/>
      <c r="DY213" s="32"/>
      <c r="DZ213" s="32"/>
      <c r="EA213" s="32"/>
      <c r="EB213" s="32"/>
      <c r="EC213" s="32"/>
      <c r="ED213" s="123"/>
      <c r="EE213" s="123"/>
      <c r="EF213" s="344"/>
      <c r="EG213" s="345"/>
      <c r="EH213" s="345"/>
    </row>
    <row r="214" spans="2:138" s="119" customFormat="1" ht="31.15">
      <c r="B214" s="353"/>
      <c r="C214" s="341"/>
      <c r="D214" s="343"/>
      <c r="E214" s="343"/>
      <c r="F214" s="341"/>
      <c r="G214" s="343"/>
      <c r="H214" s="327" t="s">
        <v>150</v>
      </c>
      <c r="I214" s="97">
        <v>46062</v>
      </c>
      <c r="J214" s="193"/>
      <c r="K214" s="98">
        <v>46076</v>
      </c>
      <c r="L214" s="112" t="s">
        <v>403</v>
      </c>
      <c r="M214" s="83">
        <v>46083</v>
      </c>
      <c r="N214" s="327">
        <v>46090</v>
      </c>
      <c r="O214" s="327">
        <v>46093</v>
      </c>
      <c r="P214" s="327">
        <v>46100</v>
      </c>
      <c r="Q214" s="327">
        <v>46112</v>
      </c>
      <c r="R214" s="325">
        <v>46114</v>
      </c>
      <c r="S214" s="327">
        <v>46119</v>
      </c>
      <c r="T214" s="327">
        <v>46121</v>
      </c>
      <c r="U214" s="331">
        <v>46128</v>
      </c>
      <c r="V214" s="327">
        <v>46133</v>
      </c>
      <c r="W214" s="327">
        <v>46140</v>
      </c>
      <c r="X214" s="65"/>
      <c r="Y214" s="325"/>
      <c r="Z214" s="327"/>
      <c r="AA214" s="327"/>
      <c r="AB214" s="327"/>
      <c r="AC214" s="327"/>
      <c r="AD214" s="325"/>
      <c r="AE214" s="327"/>
      <c r="AF214" s="327"/>
      <c r="AG214" s="327"/>
      <c r="AH214" s="58"/>
      <c r="AI214" s="327"/>
      <c r="AJ214" s="327"/>
      <c r="AK214" s="327"/>
      <c r="AL214" s="58"/>
      <c r="AM214" s="327"/>
      <c r="AN214" s="327"/>
      <c r="AO214" s="327"/>
      <c r="AP214" s="58"/>
      <c r="AQ214" s="327"/>
      <c r="AR214" s="327"/>
      <c r="AS214" s="327"/>
      <c r="AT214" s="58"/>
      <c r="AU214" s="327"/>
      <c r="AV214" s="327"/>
      <c r="AW214" s="327"/>
      <c r="AX214" s="58"/>
      <c r="AY214" s="327"/>
      <c r="AZ214" s="327"/>
      <c r="BA214" s="327"/>
      <c r="BB214" s="58"/>
      <c r="BC214" s="327"/>
      <c r="BD214" s="327"/>
      <c r="BE214" s="327"/>
      <c r="BF214" s="327"/>
      <c r="BG214" s="327"/>
      <c r="BH214" s="327"/>
      <c r="BI214" s="327"/>
      <c r="BJ214" s="327"/>
      <c r="BK214" s="327"/>
      <c r="BL214" s="327"/>
      <c r="BM214" s="327"/>
      <c r="BN214" s="327"/>
      <c r="BO214" s="327"/>
      <c r="BP214" s="327"/>
      <c r="BQ214" s="327"/>
      <c r="BR214" s="327"/>
      <c r="BS214" s="327"/>
      <c r="BT214" s="327"/>
      <c r="BU214" s="327"/>
      <c r="BV214" s="327"/>
      <c r="BW214" s="327"/>
      <c r="BX214" s="327"/>
      <c r="BY214" s="327"/>
      <c r="BZ214" s="327"/>
      <c r="CA214" s="327"/>
      <c r="CB214" s="327"/>
      <c r="CC214" s="327"/>
      <c r="CD214" s="327"/>
      <c r="CE214" s="327"/>
      <c r="CF214" s="327"/>
      <c r="CG214" s="327"/>
      <c r="CH214" s="327"/>
      <c r="CI214" s="327"/>
      <c r="CJ214" s="327"/>
      <c r="CK214" s="327"/>
      <c r="CL214" s="327"/>
      <c r="CM214" s="327"/>
      <c r="CN214" s="327"/>
      <c r="CO214" s="327"/>
      <c r="CP214" s="327"/>
      <c r="CQ214" s="327"/>
      <c r="CR214" s="327"/>
      <c r="CS214" s="327"/>
      <c r="CT214" s="327"/>
      <c r="CU214" s="327"/>
      <c r="CV214" s="327"/>
      <c r="CW214" s="327"/>
      <c r="CX214" s="327"/>
      <c r="CY214" s="327"/>
      <c r="CZ214" s="327"/>
      <c r="DA214" s="327"/>
      <c r="DB214" s="327"/>
      <c r="DC214" s="327"/>
      <c r="DD214" s="327"/>
      <c r="DE214" s="327"/>
      <c r="DF214" s="327"/>
      <c r="DG214" s="327"/>
      <c r="DH214" s="327"/>
      <c r="DI214" s="327"/>
      <c r="DJ214" s="327"/>
      <c r="DK214" s="327"/>
      <c r="DL214" s="327"/>
      <c r="DM214" s="327"/>
      <c r="DN214" s="327"/>
      <c r="DO214" s="327"/>
      <c r="DP214" s="327"/>
      <c r="DQ214" s="327"/>
      <c r="DR214" s="327"/>
      <c r="DS214" s="327"/>
      <c r="DT214" s="327">
        <v>46142</v>
      </c>
      <c r="DU214" s="52"/>
      <c r="DV214" s="327">
        <v>46149</v>
      </c>
      <c r="DW214" s="327"/>
      <c r="DX214" s="327"/>
      <c r="DY214" s="327"/>
      <c r="DZ214" s="327"/>
      <c r="EA214" s="327"/>
      <c r="EB214" s="327"/>
      <c r="EC214" s="327"/>
      <c r="ED214" s="124"/>
      <c r="EE214" s="124"/>
      <c r="EF214" s="344"/>
      <c r="EG214" s="345"/>
      <c r="EH214" s="345"/>
    </row>
    <row r="215" spans="2:138" ht="31.15">
      <c r="B215" s="346" t="s">
        <v>396</v>
      </c>
      <c r="C215" s="348" t="s">
        <v>404</v>
      </c>
      <c r="D215" s="350" t="s">
        <v>270</v>
      </c>
      <c r="E215" s="348" t="s">
        <v>405</v>
      </c>
      <c r="F215" s="348" t="s">
        <v>315</v>
      </c>
      <c r="G215" s="348" t="s">
        <v>206</v>
      </c>
      <c r="H215" s="125" t="s">
        <v>147</v>
      </c>
      <c r="I215" s="12">
        <v>46062</v>
      </c>
      <c r="J215" s="126"/>
      <c r="K215" s="232">
        <v>46079</v>
      </c>
      <c r="L215" s="269" t="s">
        <v>148</v>
      </c>
      <c r="M215" s="126">
        <f>K215+7</f>
        <v>46086</v>
      </c>
      <c r="N215" s="126">
        <f>M215+7</f>
        <v>46093</v>
      </c>
      <c r="O215" s="126" t="s">
        <v>149</v>
      </c>
      <c r="P215" s="126">
        <f t="shared" ref="P215" si="2460">N215+7</f>
        <v>46100</v>
      </c>
      <c r="Q215" s="126">
        <f t="shared" ref="Q215" si="2461">P215+7</f>
        <v>46107</v>
      </c>
      <c r="R215" s="126">
        <f t="shared" ref="R215" si="2462">Q215+7</f>
        <v>46114</v>
      </c>
      <c r="S215" s="127" t="s">
        <v>149</v>
      </c>
      <c r="T215" s="127">
        <f t="shared" ref="T215" si="2463">R215+7</f>
        <v>46121</v>
      </c>
      <c r="U215" s="127">
        <f t="shared" ref="U215" si="2464">T215+7</f>
        <v>46128</v>
      </c>
      <c r="V215" s="127">
        <f t="shared" ref="V215" si="2465">U215+7</f>
        <v>46135</v>
      </c>
      <c r="W215" s="127" t="s">
        <v>149</v>
      </c>
      <c r="X215" s="127">
        <f t="shared" ref="X215" si="2466">V215+7</f>
        <v>46142</v>
      </c>
      <c r="Y215" s="127">
        <f t="shared" ref="Y215" si="2467">X215+7</f>
        <v>46149</v>
      </c>
      <c r="Z215" s="127">
        <f t="shared" ref="Z215" si="2468">Y215+7</f>
        <v>46156</v>
      </c>
      <c r="AA215" s="127" t="s">
        <v>149</v>
      </c>
      <c r="AB215" s="127">
        <f t="shared" ref="AB215" si="2469">Z215+7</f>
        <v>46163</v>
      </c>
      <c r="AC215" s="127">
        <f t="shared" ref="AC215" si="2470">AB215+7</f>
        <v>46170</v>
      </c>
      <c r="AD215" s="127">
        <f t="shared" ref="AD215" si="2471">AC215+7</f>
        <v>46177</v>
      </c>
      <c r="AE215" s="127" t="s">
        <v>149</v>
      </c>
      <c r="AF215" s="127">
        <f t="shared" ref="AF215" si="2472">AD215+7</f>
        <v>46184</v>
      </c>
      <c r="AG215" s="127">
        <f t="shared" ref="AG215" si="2473">AF215+7</f>
        <v>46191</v>
      </c>
      <c r="AH215" s="127">
        <f t="shared" ref="AH215" si="2474">AG215+7</f>
        <v>46198</v>
      </c>
      <c r="AI215" s="127" t="s">
        <v>149</v>
      </c>
      <c r="AJ215" s="127">
        <f t="shared" ref="AJ215" si="2475">AH215+7</f>
        <v>46205</v>
      </c>
      <c r="AK215" s="127">
        <f t="shared" ref="AK215" si="2476">AJ215+7</f>
        <v>46212</v>
      </c>
      <c r="AL215" s="127">
        <f t="shared" ref="AL215" si="2477">AK215+7</f>
        <v>46219</v>
      </c>
      <c r="AM215" s="127" t="s">
        <v>149</v>
      </c>
      <c r="AN215" s="127">
        <f t="shared" ref="AN215" si="2478">AL215+7</f>
        <v>46226</v>
      </c>
      <c r="AO215" s="127">
        <f t="shared" ref="AO215" si="2479">AN215+7</f>
        <v>46233</v>
      </c>
      <c r="AP215" s="127">
        <f t="shared" ref="AP215" si="2480">AO215+7</f>
        <v>46240</v>
      </c>
      <c r="AQ215" s="127" t="s">
        <v>149</v>
      </c>
      <c r="AR215" s="127">
        <f t="shared" ref="AR215" si="2481">AP215+7</f>
        <v>46247</v>
      </c>
      <c r="AS215" s="127">
        <f t="shared" ref="AS215" si="2482">AR215+7</f>
        <v>46254</v>
      </c>
      <c r="AT215" s="127">
        <f t="shared" ref="AT215" si="2483">AS215+7</f>
        <v>46261</v>
      </c>
      <c r="AU215" s="127" t="s">
        <v>149</v>
      </c>
      <c r="AV215" s="127">
        <f t="shared" ref="AV215" si="2484">AT215+7</f>
        <v>46268</v>
      </c>
      <c r="AW215" s="127">
        <f t="shared" ref="AW215" si="2485">AV215+7</f>
        <v>46275</v>
      </c>
      <c r="AX215" s="127">
        <f t="shared" ref="AX215" si="2486">AW215+7</f>
        <v>46282</v>
      </c>
      <c r="AY215" s="127" t="s">
        <v>149</v>
      </c>
      <c r="AZ215" s="127">
        <f t="shared" ref="AZ215" si="2487">AX215+7</f>
        <v>46289</v>
      </c>
      <c r="BA215" s="127">
        <f t="shared" ref="BA215" si="2488">AZ215+7</f>
        <v>46296</v>
      </c>
      <c r="BB215" s="127">
        <f t="shared" ref="BB215" si="2489">BA215+7</f>
        <v>46303</v>
      </c>
      <c r="BC215" s="127" t="s">
        <v>149</v>
      </c>
      <c r="BD215" s="127">
        <f t="shared" ref="BD215" si="2490">BB215+7</f>
        <v>46310</v>
      </c>
      <c r="BE215" s="127">
        <f t="shared" ref="BE215" si="2491">BD215+7</f>
        <v>46317</v>
      </c>
      <c r="BF215" s="127">
        <f t="shared" ref="BF215" si="2492">BE215+7</f>
        <v>46324</v>
      </c>
      <c r="BG215" s="127" t="s">
        <v>148</v>
      </c>
      <c r="BH215" s="127">
        <f t="shared" ref="BH215" si="2493">BF215+7</f>
        <v>46331</v>
      </c>
      <c r="BI215" s="127">
        <f t="shared" ref="BI215" si="2494">BH215+7</f>
        <v>46338</v>
      </c>
      <c r="BJ215" s="127">
        <f t="shared" ref="BJ215" si="2495">BI215+7</f>
        <v>46345</v>
      </c>
      <c r="BK215" s="127" t="s">
        <v>148</v>
      </c>
      <c r="BL215" s="127">
        <f t="shared" ref="BL215" si="2496">BJ215+7</f>
        <v>46352</v>
      </c>
      <c r="BM215" s="127">
        <f t="shared" ref="BM215" si="2497">BL215+7</f>
        <v>46359</v>
      </c>
      <c r="BN215" s="127">
        <f t="shared" ref="BN215" si="2498">BM215+7</f>
        <v>46366</v>
      </c>
      <c r="BO215" s="127" t="s">
        <v>149</v>
      </c>
      <c r="BP215" s="127">
        <f t="shared" ref="BP215" si="2499">BN215+7</f>
        <v>46373</v>
      </c>
      <c r="BQ215" s="127">
        <f t="shared" ref="BQ215" si="2500">BP215+7</f>
        <v>46380</v>
      </c>
      <c r="BR215" s="127">
        <f t="shared" ref="BR215" si="2501">BQ215+7</f>
        <v>46387</v>
      </c>
      <c r="BS215" s="127" t="s">
        <v>148</v>
      </c>
      <c r="BT215" s="127">
        <f t="shared" ref="BT215" si="2502">BR215+7</f>
        <v>46394</v>
      </c>
      <c r="BU215" s="127">
        <f t="shared" ref="BU215" si="2503">BT215+7</f>
        <v>46401</v>
      </c>
      <c r="BV215" s="127">
        <f t="shared" ref="BV215" si="2504">BU215+7</f>
        <v>46408</v>
      </c>
      <c r="BW215" s="127" t="s">
        <v>149</v>
      </c>
      <c r="BX215" s="127">
        <f t="shared" ref="BX215" si="2505">BV215+7</f>
        <v>46415</v>
      </c>
      <c r="BY215" s="127">
        <f t="shared" ref="BY215" si="2506">BX215+7</f>
        <v>46422</v>
      </c>
      <c r="BZ215" s="127">
        <f t="shared" ref="BZ215" si="2507">BY215+7</f>
        <v>46429</v>
      </c>
      <c r="CA215" s="127" t="s">
        <v>149</v>
      </c>
      <c r="CB215" s="127"/>
      <c r="CC215" s="127"/>
      <c r="CD215" s="127"/>
      <c r="CE215" s="127"/>
      <c r="CF215" s="127"/>
      <c r="CG215" s="127"/>
      <c r="CH215" s="127"/>
      <c r="CI215" s="127"/>
      <c r="CJ215" s="127"/>
      <c r="CK215" s="127"/>
      <c r="CL215" s="127"/>
      <c r="CM215" s="127"/>
      <c r="CN215" s="127"/>
      <c r="CO215" s="127"/>
      <c r="CP215" s="127"/>
      <c r="CQ215" s="127"/>
      <c r="CR215" s="127"/>
      <c r="CS215" s="127"/>
      <c r="CT215" s="127"/>
      <c r="CU215" s="127"/>
      <c r="CV215" s="127"/>
      <c r="CW215" s="127"/>
      <c r="CX215" s="127"/>
      <c r="CY215" s="127"/>
      <c r="CZ215" s="127"/>
      <c r="DA215" s="127"/>
      <c r="DB215" s="127"/>
      <c r="DC215" s="127"/>
      <c r="DD215" s="127"/>
      <c r="DE215" s="127"/>
      <c r="DF215" s="127"/>
      <c r="DG215" s="127"/>
      <c r="DH215" s="127"/>
      <c r="DI215" s="127"/>
      <c r="DJ215" s="127"/>
      <c r="DK215" s="127"/>
      <c r="DL215" s="127"/>
      <c r="DM215" s="127"/>
      <c r="DN215" s="127"/>
      <c r="DO215" s="127"/>
      <c r="DP215" s="127"/>
      <c r="DQ215" s="127"/>
      <c r="DR215" s="127"/>
      <c r="DS215" s="127"/>
      <c r="DT215" s="127"/>
      <c r="DU215" s="127"/>
      <c r="DV215" s="125"/>
      <c r="DW215" s="125"/>
      <c r="DX215" s="125"/>
      <c r="DY215" s="125"/>
      <c r="DZ215" s="125"/>
      <c r="EA215" s="125"/>
      <c r="EB215" s="125"/>
      <c r="EC215" s="125"/>
      <c r="ED215" s="268"/>
      <c r="EE215" s="128"/>
      <c r="EF215" s="339"/>
      <c r="EG215" s="338"/>
      <c r="EH215" s="339"/>
    </row>
    <row r="216" spans="2:138" ht="27.75">
      <c r="B216" s="347"/>
      <c r="C216" s="349"/>
      <c r="D216" s="351"/>
      <c r="E216" s="349"/>
      <c r="F216" s="349"/>
      <c r="G216" s="349"/>
      <c r="H216" s="320" t="s">
        <v>150</v>
      </c>
      <c r="I216" s="113">
        <v>46062</v>
      </c>
      <c r="J216" s="320"/>
      <c r="K216" s="113">
        <v>46079</v>
      </c>
      <c r="L216" s="271" t="s">
        <v>148</v>
      </c>
      <c r="M216" s="194">
        <v>46090</v>
      </c>
      <c r="N216" s="113">
        <v>46097</v>
      </c>
      <c r="O216" s="320">
        <v>46104</v>
      </c>
      <c r="P216" s="113">
        <v>46111</v>
      </c>
      <c r="Q216" s="113">
        <v>46118</v>
      </c>
      <c r="R216" s="113">
        <v>46125</v>
      </c>
      <c r="S216" s="320">
        <v>46132</v>
      </c>
      <c r="T216" s="113">
        <v>46139</v>
      </c>
      <c r="U216" s="113">
        <v>46146</v>
      </c>
      <c r="V216" s="113">
        <v>46162</v>
      </c>
      <c r="W216" s="69">
        <v>46169</v>
      </c>
      <c r="X216" s="301">
        <v>46185</v>
      </c>
      <c r="Y216" s="113">
        <v>46192</v>
      </c>
      <c r="Z216" s="113">
        <v>46202</v>
      </c>
      <c r="AA216" s="22">
        <v>46209</v>
      </c>
      <c r="AB216" s="113"/>
      <c r="AC216" s="113"/>
      <c r="AD216" s="113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323"/>
      <c r="AR216" s="28"/>
      <c r="AS216" s="28"/>
      <c r="AT216" s="28"/>
      <c r="AU216" s="28"/>
      <c r="AV216" s="28"/>
      <c r="AW216" s="28"/>
      <c r="AX216" s="28"/>
      <c r="AY216" s="28"/>
      <c r="AZ216" s="122"/>
      <c r="BA216" s="122"/>
      <c r="BB216" s="122"/>
      <c r="BC216" s="28"/>
      <c r="BD216" s="28"/>
      <c r="BE216" s="28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28"/>
      <c r="BV216" s="28"/>
      <c r="BW216" s="28"/>
      <c r="BX216" s="28"/>
      <c r="BY216" s="28"/>
      <c r="BZ216" s="28"/>
      <c r="CA216" s="28"/>
      <c r="CB216" s="28"/>
      <c r="CC216" s="28"/>
      <c r="CD216" s="28"/>
      <c r="CE216" s="28"/>
      <c r="CF216" s="28"/>
      <c r="CG216" s="28"/>
      <c r="CH216" s="28"/>
      <c r="CI216" s="28"/>
      <c r="CJ216" s="28"/>
      <c r="CK216" s="28"/>
      <c r="CL216" s="28"/>
      <c r="CM216" s="28"/>
      <c r="CN216" s="28"/>
      <c r="CO216" s="28"/>
      <c r="CP216" s="28"/>
      <c r="CQ216" s="28"/>
      <c r="CR216" s="28"/>
      <c r="CS216" s="28"/>
      <c r="CT216" s="28"/>
      <c r="CU216" s="28"/>
      <c r="CV216" s="28"/>
      <c r="CW216" s="28"/>
      <c r="CX216" s="28"/>
      <c r="CY216" s="28"/>
      <c r="CZ216" s="28"/>
      <c r="DA216" s="28"/>
      <c r="DB216" s="28"/>
      <c r="DC216" s="28"/>
      <c r="DD216" s="28"/>
      <c r="DE216" s="28"/>
      <c r="DF216" s="28"/>
      <c r="DG216" s="28"/>
      <c r="DH216" s="28"/>
      <c r="DI216" s="28"/>
      <c r="DJ216" s="28"/>
      <c r="DK216" s="28"/>
      <c r="DL216" s="28"/>
      <c r="DM216" s="28"/>
      <c r="DN216" s="28"/>
      <c r="DO216" s="28"/>
      <c r="DP216" s="28"/>
      <c r="DQ216" s="28"/>
      <c r="DR216" s="28"/>
      <c r="DS216" s="28"/>
      <c r="DT216" s="28"/>
      <c r="DU216" s="132"/>
      <c r="DV216" s="69"/>
      <c r="DW216" s="69"/>
      <c r="DX216" s="69"/>
      <c r="DY216" s="69"/>
      <c r="DZ216" s="69"/>
      <c r="EA216" s="69"/>
      <c r="EB216" s="69"/>
      <c r="EC216" s="69"/>
      <c r="ED216" s="22"/>
      <c r="EE216" s="22"/>
      <c r="EF216" s="339"/>
      <c r="EG216" s="338"/>
      <c r="EH216" s="338"/>
    </row>
    <row r="217" spans="2:138" s="119" customFormat="1" ht="31.15">
      <c r="B217" s="352" t="s">
        <v>406</v>
      </c>
      <c r="C217" s="340" t="s">
        <v>407</v>
      </c>
      <c r="D217" s="340" t="s">
        <v>157</v>
      </c>
      <c r="E217" s="340"/>
      <c r="F217" s="340" t="s">
        <v>229</v>
      </c>
      <c r="G217" s="340" t="s">
        <v>206</v>
      </c>
      <c r="H217" s="106" t="s">
        <v>147</v>
      </c>
      <c r="I217" s="107">
        <v>46009</v>
      </c>
      <c r="J217" s="108"/>
      <c r="K217" s="219">
        <v>46027</v>
      </c>
      <c r="L217" s="233" t="s">
        <v>148</v>
      </c>
      <c r="M217" s="220">
        <v>46042</v>
      </c>
      <c r="N217" s="220">
        <f>M217+7</f>
        <v>46049</v>
      </c>
      <c r="O217" s="220" t="s">
        <v>149</v>
      </c>
      <c r="P217" s="220">
        <f>N217+7</f>
        <v>46056</v>
      </c>
      <c r="Q217" s="220">
        <f>P217+7</f>
        <v>46063</v>
      </c>
      <c r="R217" s="220">
        <f>Q217+7</f>
        <v>46070</v>
      </c>
      <c r="S217" s="221" t="s">
        <v>149</v>
      </c>
      <c r="T217" s="221">
        <f>R217+7</f>
        <v>46077</v>
      </c>
      <c r="U217" s="221">
        <f>T217+7</f>
        <v>46084</v>
      </c>
      <c r="V217" s="221">
        <f>U217+7</f>
        <v>46091</v>
      </c>
      <c r="W217" s="221" t="s">
        <v>149</v>
      </c>
      <c r="X217" s="221">
        <f>V217+7</f>
        <v>46098</v>
      </c>
      <c r="Y217" s="221">
        <f>X217+7</f>
        <v>46105</v>
      </c>
      <c r="Z217" s="221">
        <f>Y217+7</f>
        <v>46112</v>
      </c>
      <c r="AA217" s="221" t="s">
        <v>149</v>
      </c>
      <c r="AB217" s="221">
        <f>Z217+7</f>
        <v>46119</v>
      </c>
      <c r="AC217" s="221">
        <f>AB217+7</f>
        <v>46126</v>
      </c>
      <c r="AD217" s="221">
        <f>AC217+7</f>
        <v>46133</v>
      </c>
      <c r="AE217" s="221" t="s">
        <v>149</v>
      </c>
      <c r="AF217" s="221">
        <f>AD217+7</f>
        <v>46140</v>
      </c>
      <c r="AG217" s="221">
        <f>AF217+7</f>
        <v>46147</v>
      </c>
      <c r="AH217" s="221">
        <f>AG217+7</f>
        <v>46154</v>
      </c>
      <c r="AI217" s="221" t="s">
        <v>149</v>
      </c>
      <c r="AJ217" s="221">
        <f>AH217+7</f>
        <v>46161</v>
      </c>
      <c r="AK217" s="221">
        <f>AJ217+7</f>
        <v>46168</v>
      </c>
      <c r="AL217" s="221">
        <f>AK217+7</f>
        <v>46175</v>
      </c>
      <c r="AM217" s="221" t="s">
        <v>149</v>
      </c>
      <c r="AN217" s="221">
        <f>AL217+7</f>
        <v>46182</v>
      </c>
      <c r="AO217" s="221">
        <f>AN217+7</f>
        <v>46189</v>
      </c>
      <c r="AP217" s="221">
        <f>AO217+7</f>
        <v>46196</v>
      </c>
      <c r="AQ217" s="221" t="s">
        <v>149</v>
      </c>
      <c r="AR217" s="221">
        <f>AP217+7</f>
        <v>46203</v>
      </c>
      <c r="AS217" s="221">
        <f>AR217+7</f>
        <v>46210</v>
      </c>
      <c r="AT217" s="221">
        <f>AS217+7</f>
        <v>46217</v>
      </c>
      <c r="AU217" s="222" t="s">
        <v>149</v>
      </c>
      <c r="AV217" s="221">
        <f>AT217+7</f>
        <v>46224</v>
      </c>
      <c r="AW217" s="221">
        <f>AV217+7</f>
        <v>46231</v>
      </c>
      <c r="AX217" s="221">
        <f>AW217+7</f>
        <v>46238</v>
      </c>
      <c r="AY217" s="222" t="s">
        <v>149</v>
      </c>
      <c r="AZ217" s="221">
        <f>AX217+7</f>
        <v>46245</v>
      </c>
      <c r="BA217" s="221">
        <f>AZ217+7</f>
        <v>46252</v>
      </c>
      <c r="BB217" s="221">
        <f>BA217+7</f>
        <v>46259</v>
      </c>
      <c r="BC217" s="222" t="s">
        <v>149</v>
      </c>
      <c r="BD217" s="222"/>
      <c r="BE217" s="222"/>
      <c r="BF217" s="222"/>
      <c r="BG217" s="222"/>
      <c r="BH217" s="222"/>
      <c r="BI217" s="222"/>
      <c r="BJ217" s="222"/>
      <c r="BK217" s="222"/>
      <c r="BL217" s="222"/>
      <c r="BM217" s="222"/>
      <c r="BN217" s="222"/>
      <c r="BO217" s="222"/>
      <c r="BP217" s="222"/>
      <c r="BQ217" s="222"/>
      <c r="BR217" s="222"/>
      <c r="BS217" s="222"/>
      <c r="BT217" s="222"/>
      <c r="BU217" s="222"/>
      <c r="BV217" s="222"/>
      <c r="BW217" s="222"/>
      <c r="BX217" s="222"/>
      <c r="BY217" s="222"/>
      <c r="BZ217" s="332"/>
      <c r="CA217" s="332"/>
      <c r="CB217" s="332"/>
      <c r="CC217" s="332"/>
      <c r="CD217" s="332"/>
      <c r="CE217" s="332"/>
      <c r="CF217" s="332"/>
      <c r="CG217" s="332"/>
      <c r="CH217" s="332"/>
      <c r="CI217" s="332"/>
      <c r="CJ217" s="332"/>
      <c r="CK217" s="332"/>
      <c r="CL217" s="332"/>
      <c r="CM217" s="332"/>
      <c r="CN217" s="332"/>
      <c r="CO217" s="332"/>
      <c r="CP217" s="332"/>
      <c r="CQ217" s="332"/>
      <c r="CR217" s="332"/>
      <c r="CS217" s="332"/>
      <c r="CT217" s="332"/>
      <c r="CU217" s="332"/>
      <c r="CV217" s="332"/>
      <c r="CW217" s="332"/>
      <c r="CX217" s="332"/>
      <c r="CY217" s="332"/>
      <c r="CZ217" s="332"/>
      <c r="DA217" s="332"/>
      <c r="DB217" s="332"/>
      <c r="DC217" s="332"/>
      <c r="DD217" s="332"/>
      <c r="DE217" s="332"/>
      <c r="DF217" s="332"/>
      <c r="DG217" s="332"/>
      <c r="DH217" s="332"/>
      <c r="DI217" s="332"/>
      <c r="DJ217" s="332"/>
      <c r="DK217" s="332"/>
      <c r="DL217" s="332"/>
      <c r="DM217" s="332"/>
      <c r="DN217" s="332"/>
      <c r="DO217" s="332"/>
      <c r="DP217" s="332"/>
      <c r="DQ217" s="332"/>
      <c r="DR217" s="332"/>
      <c r="DS217" s="332"/>
      <c r="DT217" s="53"/>
      <c r="DU217" s="53"/>
      <c r="DV217" s="106"/>
      <c r="DW217" s="106"/>
      <c r="DX217" s="106"/>
      <c r="DY217" s="106"/>
      <c r="DZ217" s="106"/>
      <c r="EA217" s="106"/>
      <c r="EB217" s="106"/>
      <c r="EC217" s="106"/>
      <c r="ED217" s="54"/>
      <c r="EE217" s="54"/>
      <c r="EF217" s="344"/>
      <c r="EG217" s="345"/>
      <c r="EH217" s="344"/>
    </row>
    <row r="218" spans="2:138" s="119" customFormat="1" ht="31.15">
      <c r="B218" s="353"/>
      <c r="C218" s="341"/>
      <c r="D218" s="341"/>
      <c r="E218" s="341"/>
      <c r="F218" s="341"/>
      <c r="G218" s="341"/>
      <c r="H218" s="325" t="s">
        <v>150</v>
      </c>
      <c r="I218" s="110">
        <v>46009</v>
      </c>
      <c r="J218" s="111"/>
      <c r="K218" s="112"/>
      <c r="L218" s="275"/>
      <c r="M218" s="112"/>
      <c r="N218" s="112"/>
      <c r="O218" s="325"/>
      <c r="P218" s="112"/>
      <c r="Q218" s="112"/>
      <c r="R218" s="112"/>
      <c r="S218" s="325"/>
      <c r="T218" s="112"/>
      <c r="U218" s="112"/>
      <c r="V218" s="112"/>
      <c r="W218" s="325"/>
      <c r="X218" s="112"/>
      <c r="Y218" s="112"/>
      <c r="Z218" s="112"/>
      <c r="AA218" s="325"/>
      <c r="AB218" s="112"/>
      <c r="AC218" s="112"/>
      <c r="AD218" s="112"/>
      <c r="AE218" s="325"/>
      <c r="AF218" s="112"/>
      <c r="AG218" s="112"/>
      <c r="AH218" s="112"/>
      <c r="AI218" s="325"/>
      <c r="AJ218" s="112"/>
      <c r="AK218" s="112"/>
      <c r="AL218" s="112"/>
      <c r="AM218" s="325"/>
      <c r="AN218" s="112"/>
      <c r="AO218" s="112"/>
      <c r="AP218" s="112"/>
      <c r="AQ218" s="325"/>
      <c r="AR218" s="112"/>
      <c r="AS218" s="112"/>
      <c r="AT218" s="112"/>
      <c r="AU218" s="328"/>
      <c r="AV218" s="112"/>
      <c r="AW218" s="112"/>
      <c r="AX218" s="112"/>
      <c r="AY218" s="328"/>
      <c r="AZ218" s="112"/>
      <c r="BA218" s="112"/>
      <c r="BB218" s="112"/>
      <c r="BC218" s="328"/>
      <c r="BD218" s="121"/>
      <c r="BE218" s="121"/>
      <c r="BF218" s="121"/>
      <c r="BG218" s="121"/>
      <c r="BH218" s="121"/>
      <c r="BI218" s="121"/>
      <c r="BJ218" s="121"/>
      <c r="BK218" s="121"/>
      <c r="BL218" s="121"/>
      <c r="BM218" s="121"/>
      <c r="BN218" s="121"/>
      <c r="BO218" s="121"/>
      <c r="BP218" s="121"/>
      <c r="BQ218" s="121"/>
      <c r="BR218" s="121"/>
      <c r="BS218" s="121"/>
      <c r="BT218" s="121"/>
      <c r="BU218" s="121"/>
      <c r="BV218" s="121"/>
      <c r="BW218" s="121"/>
      <c r="BX218" s="121"/>
      <c r="BY218" s="121"/>
      <c r="BZ218" s="121"/>
      <c r="CA218" s="121"/>
      <c r="CB218" s="121"/>
      <c r="CC218" s="121"/>
      <c r="CD218" s="121"/>
      <c r="CE218" s="121"/>
      <c r="CF218" s="121"/>
      <c r="CG218" s="121"/>
      <c r="CH218" s="121"/>
      <c r="CI218" s="121"/>
      <c r="CJ218" s="121"/>
      <c r="CK218" s="121"/>
      <c r="CL218" s="121"/>
      <c r="CM218" s="121"/>
      <c r="CN218" s="121"/>
      <c r="CO218" s="121"/>
      <c r="CP218" s="121"/>
      <c r="CQ218" s="121"/>
      <c r="CR218" s="121"/>
      <c r="CS218" s="121"/>
      <c r="CT218" s="121"/>
      <c r="CU218" s="121"/>
      <c r="CV218" s="121"/>
      <c r="CW218" s="121"/>
      <c r="CX218" s="121"/>
      <c r="CY218" s="121"/>
      <c r="CZ218" s="121"/>
      <c r="DA218" s="121"/>
      <c r="DB218" s="121"/>
      <c r="DC218" s="121"/>
      <c r="DD218" s="121"/>
      <c r="DE218" s="121"/>
      <c r="DF218" s="121"/>
      <c r="DG218" s="121"/>
      <c r="DH218" s="121"/>
      <c r="DI218" s="121"/>
      <c r="DJ218" s="121"/>
      <c r="DK218" s="121"/>
      <c r="DL218" s="121"/>
      <c r="DM218" s="121"/>
      <c r="DN218" s="121"/>
      <c r="DO218" s="121"/>
      <c r="DP218" s="121"/>
      <c r="DQ218" s="121"/>
      <c r="DR218" s="121"/>
      <c r="DS218" s="121"/>
      <c r="DT218" s="112"/>
      <c r="DU218" s="134"/>
      <c r="DV218" s="134"/>
      <c r="DW218" s="325"/>
      <c r="DX218" s="325"/>
      <c r="DY218" s="325"/>
      <c r="DZ218" s="325"/>
      <c r="EA218" s="325"/>
      <c r="EB218" s="325"/>
      <c r="EC218" s="325"/>
      <c r="ED218" s="61"/>
      <c r="EE218" s="61"/>
      <c r="EF218" s="344"/>
      <c r="EG218" s="345"/>
      <c r="EH218" s="345"/>
    </row>
    <row r="219" spans="2:138" ht="31.15">
      <c r="B219" s="352" t="s">
        <v>406</v>
      </c>
      <c r="C219" s="340" t="s">
        <v>408</v>
      </c>
      <c r="D219" s="340" t="s">
        <v>157</v>
      </c>
      <c r="E219" s="340"/>
      <c r="F219" s="340" t="s">
        <v>229</v>
      </c>
      <c r="G219" s="340" t="s">
        <v>206</v>
      </c>
      <c r="H219" s="106" t="s">
        <v>147</v>
      </c>
      <c r="I219" s="107">
        <v>45915</v>
      </c>
      <c r="J219" s="108"/>
      <c r="K219" s="219">
        <v>46027</v>
      </c>
      <c r="L219" s="233" t="s">
        <v>148</v>
      </c>
      <c r="M219" s="220">
        <v>46042</v>
      </c>
      <c r="N219" s="220">
        <f>M219+7</f>
        <v>46049</v>
      </c>
      <c r="O219" s="220" t="s">
        <v>149</v>
      </c>
      <c r="P219" s="220">
        <f>N219+7</f>
        <v>46056</v>
      </c>
      <c r="Q219" s="220">
        <f>P219+7</f>
        <v>46063</v>
      </c>
      <c r="R219" s="220">
        <f>Q219+7</f>
        <v>46070</v>
      </c>
      <c r="S219" s="221" t="s">
        <v>149</v>
      </c>
      <c r="T219" s="221">
        <f>R219+7</f>
        <v>46077</v>
      </c>
      <c r="U219" s="221">
        <f>T219+7</f>
        <v>46084</v>
      </c>
      <c r="V219" s="221">
        <f>U219+7</f>
        <v>46091</v>
      </c>
      <c r="W219" s="221" t="s">
        <v>149</v>
      </c>
      <c r="X219" s="221">
        <f>V219+7</f>
        <v>46098</v>
      </c>
      <c r="Y219" s="221">
        <f>X219+7</f>
        <v>46105</v>
      </c>
      <c r="Z219" s="221">
        <f>Y219+7</f>
        <v>46112</v>
      </c>
      <c r="AA219" s="221" t="s">
        <v>149</v>
      </c>
      <c r="AB219" s="221">
        <f>Z219+7</f>
        <v>46119</v>
      </c>
      <c r="AC219" s="221">
        <f>AB219+7</f>
        <v>46126</v>
      </c>
      <c r="AD219" s="221">
        <f>AC219+7</f>
        <v>46133</v>
      </c>
      <c r="AE219" s="221" t="s">
        <v>149</v>
      </c>
      <c r="AF219" s="221">
        <f>AD219+7</f>
        <v>46140</v>
      </c>
      <c r="AG219" s="221">
        <f>AF219+7</f>
        <v>46147</v>
      </c>
      <c r="AH219" s="221">
        <f>AG219+7</f>
        <v>46154</v>
      </c>
      <c r="AI219" s="221" t="s">
        <v>149</v>
      </c>
      <c r="AJ219" s="221">
        <f>AH219+7</f>
        <v>46161</v>
      </c>
      <c r="AK219" s="221">
        <f>AJ219+7</f>
        <v>46168</v>
      </c>
      <c r="AL219" s="221">
        <f>AK219+7</f>
        <v>46175</v>
      </c>
      <c r="AM219" s="221" t="s">
        <v>149</v>
      </c>
      <c r="AN219" s="221">
        <f>AL219+7</f>
        <v>46182</v>
      </c>
      <c r="AO219" s="221">
        <f>AN219+7</f>
        <v>46189</v>
      </c>
      <c r="AP219" s="221">
        <f>AO219+7</f>
        <v>46196</v>
      </c>
      <c r="AQ219" s="221" t="s">
        <v>149</v>
      </c>
      <c r="AR219" s="221">
        <f>AP219+7</f>
        <v>46203</v>
      </c>
      <c r="AS219" s="221">
        <f>AR219+7</f>
        <v>46210</v>
      </c>
      <c r="AT219" s="221">
        <f>AS219+7</f>
        <v>46217</v>
      </c>
      <c r="AU219" s="222" t="s">
        <v>149</v>
      </c>
      <c r="AV219" s="221">
        <f>AT219+7</f>
        <v>46224</v>
      </c>
      <c r="AW219" s="221">
        <f>AV219+7</f>
        <v>46231</v>
      </c>
      <c r="AX219" s="221">
        <f>AW219+7</f>
        <v>46238</v>
      </c>
      <c r="AY219" s="222" t="s">
        <v>149</v>
      </c>
      <c r="AZ219" s="221">
        <f>AX219+7</f>
        <v>46245</v>
      </c>
      <c r="BA219" s="221">
        <f>AZ219+7</f>
        <v>46252</v>
      </c>
      <c r="BB219" s="221">
        <f>BA219+7</f>
        <v>46259</v>
      </c>
      <c r="BC219" s="222" t="s">
        <v>149</v>
      </c>
      <c r="BD219" s="222"/>
      <c r="BE219" s="222"/>
      <c r="BF219" s="222"/>
      <c r="BG219" s="222"/>
      <c r="BH219" s="222"/>
      <c r="BI219" s="222"/>
      <c r="BJ219" s="222"/>
      <c r="BK219" s="222"/>
      <c r="BL219" s="222"/>
      <c r="BM219" s="222"/>
      <c r="BN219" s="222"/>
      <c r="BO219" s="222"/>
      <c r="BP219" s="222"/>
      <c r="BQ219" s="222"/>
      <c r="BR219" s="222"/>
      <c r="BS219" s="222"/>
      <c r="BT219" s="222"/>
      <c r="BU219" s="222"/>
      <c r="BV219" s="222"/>
      <c r="BW219" s="222"/>
      <c r="BX219" s="222"/>
      <c r="BY219" s="222"/>
      <c r="BZ219" s="332"/>
      <c r="CA219" s="332"/>
      <c r="CB219" s="332"/>
      <c r="CC219" s="332"/>
      <c r="CD219" s="332"/>
      <c r="CE219" s="332"/>
      <c r="CF219" s="332"/>
      <c r="CG219" s="332"/>
      <c r="CH219" s="332"/>
      <c r="CI219" s="332"/>
      <c r="CJ219" s="332"/>
      <c r="CK219" s="332"/>
      <c r="CL219" s="332"/>
      <c r="CM219" s="332"/>
      <c r="CN219" s="332"/>
      <c r="CO219" s="332"/>
      <c r="CP219" s="332"/>
      <c r="CQ219" s="332"/>
      <c r="CR219" s="332"/>
      <c r="CS219" s="332"/>
      <c r="CT219" s="332"/>
      <c r="CU219" s="332"/>
      <c r="CV219" s="332"/>
      <c r="CW219" s="332"/>
      <c r="CX219" s="332"/>
      <c r="CY219" s="332"/>
      <c r="CZ219" s="332"/>
      <c r="DA219" s="332"/>
      <c r="DB219" s="332"/>
      <c r="DC219" s="332"/>
      <c r="DD219" s="332"/>
      <c r="DE219" s="332"/>
      <c r="DF219" s="332"/>
      <c r="DG219" s="332"/>
      <c r="DH219" s="332"/>
      <c r="DI219" s="332"/>
      <c r="DJ219" s="332"/>
      <c r="DK219" s="332"/>
      <c r="DL219" s="332"/>
      <c r="DM219" s="332"/>
      <c r="DN219" s="332"/>
      <c r="DO219" s="332"/>
      <c r="DP219" s="332"/>
      <c r="DQ219" s="332"/>
      <c r="DR219" s="332"/>
      <c r="DS219" s="332"/>
      <c r="DT219" s="53"/>
      <c r="DU219" s="53"/>
      <c r="DV219" s="106"/>
      <c r="DW219" s="106"/>
      <c r="DX219" s="106"/>
      <c r="DY219" s="106"/>
      <c r="DZ219" s="106"/>
      <c r="EA219" s="106"/>
      <c r="EB219" s="106"/>
      <c r="EC219" s="106"/>
      <c r="ED219" s="54"/>
      <c r="EE219" s="54"/>
      <c r="EF219" s="344"/>
      <c r="EG219" s="345"/>
      <c r="EH219" s="344"/>
    </row>
    <row r="220" spans="2:138" ht="31.15">
      <c r="B220" s="353"/>
      <c r="C220" s="341"/>
      <c r="D220" s="341"/>
      <c r="E220" s="341"/>
      <c r="F220" s="341"/>
      <c r="G220" s="341"/>
      <c r="H220" s="325" t="s">
        <v>150</v>
      </c>
      <c r="I220" s="110">
        <v>45915</v>
      </c>
      <c r="J220" s="111"/>
      <c r="K220" s="112"/>
      <c r="L220" s="275"/>
      <c r="M220" s="112"/>
      <c r="N220" s="112"/>
      <c r="O220" s="325"/>
      <c r="P220" s="112"/>
      <c r="Q220" s="112"/>
      <c r="R220" s="112"/>
      <c r="S220" s="325"/>
      <c r="T220" s="112"/>
      <c r="U220" s="112"/>
      <c r="V220" s="112"/>
      <c r="W220" s="325"/>
      <c r="X220" s="112"/>
      <c r="Y220" s="112"/>
      <c r="Z220" s="112"/>
      <c r="AA220" s="325"/>
      <c r="AB220" s="112"/>
      <c r="AC220" s="112"/>
      <c r="AD220" s="112"/>
      <c r="AE220" s="325"/>
      <c r="AF220" s="112"/>
      <c r="AG220" s="112"/>
      <c r="AH220" s="112"/>
      <c r="AI220" s="325"/>
      <c r="AJ220" s="112"/>
      <c r="AK220" s="112"/>
      <c r="AL220" s="112"/>
      <c r="AM220" s="325"/>
      <c r="AN220" s="112"/>
      <c r="AO220" s="112"/>
      <c r="AP220" s="112"/>
      <c r="AQ220" s="325"/>
      <c r="AR220" s="112"/>
      <c r="AS220" s="112"/>
      <c r="AT220" s="112"/>
      <c r="AU220" s="328"/>
      <c r="AV220" s="112"/>
      <c r="AW220" s="112"/>
      <c r="AX220" s="112"/>
      <c r="AY220" s="328"/>
      <c r="AZ220" s="112"/>
      <c r="BA220" s="112"/>
      <c r="BB220" s="112"/>
      <c r="BC220" s="328"/>
      <c r="BD220" s="121"/>
      <c r="BE220" s="121"/>
      <c r="BF220" s="121"/>
      <c r="BG220" s="121"/>
      <c r="BH220" s="121"/>
      <c r="BI220" s="121"/>
      <c r="BJ220" s="121"/>
      <c r="BK220" s="121"/>
      <c r="BL220" s="121"/>
      <c r="BM220" s="121"/>
      <c r="BN220" s="121"/>
      <c r="BO220" s="121"/>
      <c r="BP220" s="121"/>
      <c r="BQ220" s="121"/>
      <c r="BR220" s="121"/>
      <c r="BS220" s="121"/>
      <c r="BT220" s="121"/>
      <c r="BU220" s="121"/>
      <c r="BV220" s="121"/>
      <c r="BW220" s="121"/>
      <c r="BX220" s="121"/>
      <c r="BY220" s="121"/>
      <c r="BZ220" s="121"/>
      <c r="CA220" s="121"/>
      <c r="CB220" s="121"/>
      <c r="CC220" s="121"/>
      <c r="CD220" s="121"/>
      <c r="CE220" s="121"/>
      <c r="CF220" s="121"/>
      <c r="CG220" s="121"/>
      <c r="CH220" s="121"/>
      <c r="CI220" s="121"/>
      <c r="CJ220" s="121"/>
      <c r="CK220" s="121"/>
      <c r="CL220" s="121"/>
      <c r="CM220" s="121"/>
      <c r="CN220" s="121"/>
      <c r="CO220" s="121"/>
      <c r="CP220" s="121"/>
      <c r="CQ220" s="121"/>
      <c r="CR220" s="121"/>
      <c r="CS220" s="121"/>
      <c r="CT220" s="121"/>
      <c r="CU220" s="121"/>
      <c r="CV220" s="121"/>
      <c r="CW220" s="121"/>
      <c r="CX220" s="121"/>
      <c r="CY220" s="121"/>
      <c r="CZ220" s="121"/>
      <c r="DA220" s="121"/>
      <c r="DB220" s="121"/>
      <c r="DC220" s="121"/>
      <c r="DD220" s="121"/>
      <c r="DE220" s="121"/>
      <c r="DF220" s="121"/>
      <c r="DG220" s="121"/>
      <c r="DH220" s="121"/>
      <c r="DI220" s="121"/>
      <c r="DJ220" s="121"/>
      <c r="DK220" s="121"/>
      <c r="DL220" s="121"/>
      <c r="DM220" s="121"/>
      <c r="DN220" s="121"/>
      <c r="DO220" s="121"/>
      <c r="DP220" s="121"/>
      <c r="DQ220" s="121"/>
      <c r="DR220" s="121"/>
      <c r="DS220" s="121"/>
      <c r="DT220" s="112"/>
      <c r="DU220" s="134"/>
      <c r="DV220" s="134"/>
      <c r="DW220" s="325"/>
      <c r="DX220" s="325"/>
      <c r="DY220" s="325"/>
      <c r="DZ220" s="325"/>
      <c r="EA220" s="325"/>
      <c r="EB220" s="325"/>
      <c r="EC220" s="325"/>
      <c r="ED220" s="61"/>
      <c r="EE220" s="61"/>
      <c r="EF220" s="344"/>
      <c r="EG220" s="345"/>
      <c r="EH220" s="345"/>
    </row>
    <row r="221" spans="2:138" ht="27.75">
      <c r="B221" s="356" t="s">
        <v>409</v>
      </c>
      <c r="C221" s="358" t="s">
        <v>410</v>
      </c>
      <c r="D221" s="358" t="s">
        <v>157</v>
      </c>
      <c r="E221" s="358" t="s">
        <v>411</v>
      </c>
      <c r="F221" s="358" t="s">
        <v>210</v>
      </c>
      <c r="G221" s="358" t="s">
        <v>206</v>
      </c>
      <c r="H221" s="164" t="s">
        <v>147</v>
      </c>
      <c r="I221" s="171">
        <v>46071</v>
      </c>
      <c r="J221" s="172"/>
      <c r="K221" s="228">
        <v>46090</v>
      </c>
      <c r="L221" s="249" t="s">
        <v>148</v>
      </c>
      <c r="M221" s="229">
        <v>46097</v>
      </c>
      <c r="N221" s="229">
        <f>M221+7</f>
        <v>46104</v>
      </c>
      <c r="O221" s="229" t="s">
        <v>149</v>
      </c>
      <c r="P221" s="229">
        <f>N221+7</f>
        <v>46111</v>
      </c>
      <c r="Q221" s="229">
        <f>P221+7</f>
        <v>46118</v>
      </c>
      <c r="R221" s="229">
        <f>Q221+7</f>
        <v>46125</v>
      </c>
      <c r="S221" s="230" t="s">
        <v>149</v>
      </c>
      <c r="T221" s="230">
        <f>R221+7</f>
        <v>46132</v>
      </c>
      <c r="U221" s="230">
        <f>T221+7</f>
        <v>46139</v>
      </c>
      <c r="V221" s="230">
        <f>U221+7</f>
        <v>46146</v>
      </c>
      <c r="W221" s="230" t="s">
        <v>149</v>
      </c>
      <c r="X221" s="230">
        <f>V221+7</f>
        <v>46153</v>
      </c>
      <c r="Y221" s="230">
        <f>X221+7</f>
        <v>46160</v>
      </c>
      <c r="Z221" s="230">
        <f>Y221+7</f>
        <v>46167</v>
      </c>
      <c r="AA221" s="230" t="s">
        <v>149</v>
      </c>
      <c r="AB221" s="230">
        <f>Z221+7</f>
        <v>46174</v>
      </c>
      <c r="AC221" s="230">
        <f>AB221+7</f>
        <v>46181</v>
      </c>
      <c r="AD221" s="230">
        <f>AC221+7</f>
        <v>46188</v>
      </c>
      <c r="AE221" s="230" t="s">
        <v>149</v>
      </c>
      <c r="AF221" s="230">
        <f>AD221+7</f>
        <v>46195</v>
      </c>
      <c r="AG221" s="230">
        <f>AF221+7</f>
        <v>46202</v>
      </c>
      <c r="AH221" s="230">
        <f>AG221+7</f>
        <v>46209</v>
      </c>
      <c r="AI221" s="230" t="s">
        <v>149</v>
      </c>
      <c r="AJ221" s="230">
        <f>AH221+7</f>
        <v>46216</v>
      </c>
      <c r="AK221" s="230">
        <f>AJ221+7</f>
        <v>46223</v>
      </c>
      <c r="AL221" s="230">
        <f>AK221+7</f>
        <v>46230</v>
      </c>
      <c r="AM221" s="230" t="s">
        <v>149</v>
      </c>
      <c r="AN221" s="230">
        <f>AL221+7</f>
        <v>46237</v>
      </c>
      <c r="AO221" s="230">
        <f>AN221+7</f>
        <v>46244</v>
      </c>
      <c r="AP221" s="230">
        <f>AO221+7</f>
        <v>46251</v>
      </c>
      <c r="AQ221" s="230" t="s">
        <v>149</v>
      </c>
      <c r="AR221" s="230">
        <f>AP221+7</f>
        <v>46258</v>
      </c>
      <c r="AS221" s="230">
        <f>AR221+7</f>
        <v>46265</v>
      </c>
      <c r="AT221" s="230">
        <f>AS221+7</f>
        <v>46272</v>
      </c>
      <c r="AU221" s="231" t="s">
        <v>149</v>
      </c>
      <c r="AV221" s="230">
        <f>AT221+7</f>
        <v>46279</v>
      </c>
      <c r="AW221" s="230">
        <f>AV221+7</f>
        <v>46286</v>
      </c>
      <c r="AX221" s="230">
        <f>AW221+7</f>
        <v>46293</v>
      </c>
      <c r="AY221" s="231" t="s">
        <v>149</v>
      </c>
      <c r="AZ221" s="230">
        <f>AX221+7</f>
        <v>46300</v>
      </c>
      <c r="BA221" s="230">
        <f>AZ221+7</f>
        <v>46307</v>
      </c>
      <c r="BB221" s="230">
        <f>BA221+7</f>
        <v>46314</v>
      </c>
      <c r="BC221" s="231" t="s">
        <v>149</v>
      </c>
      <c r="BD221" s="231"/>
      <c r="BE221" s="231"/>
      <c r="BF221" s="231"/>
      <c r="BG221" s="231"/>
      <c r="BH221" s="231"/>
      <c r="BI221" s="231"/>
      <c r="BJ221" s="231"/>
      <c r="BK221" s="231"/>
      <c r="BL221" s="231"/>
      <c r="BM221" s="231"/>
      <c r="BN221" s="231"/>
      <c r="BO221" s="231"/>
      <c r="BP221" s="231"/>
      <c r="BQ221" s="231"/>
      <c r="BR221" s="231"/>
      <c r="BS221" s="231"/>
      <c r="BT221" s="231"/>
      <c r="BU221" s="231"/>
      <c r="BV221" s="231"/>
      <c r="BW221" s="231"/>
      <c r="BX221" s="231"/>
      <c r="BY221" s="231"/>
      <c r="BZ221" s="168"/>
      <c r="CA221" s="168"/>
      <c r="CB221" s="168"/>
      <c r="CC221" s="168"/>
      <c r="CD221" s="168"/>
      <c r="CE221" s="168"/>
      <c r="CF221" s="168"/>
      <c r="CG221" s="168"/>
      <c r="CH221" s="168"/>
      <c r="CI221" s="168"/>
      <c r="CJ221" s="168"/>
      <c r="CK221" s="168"/>
      <c r="CL221" s="168"/>
      <c r="CM221" s="168"/>
      <c r="CN221" s="168"/>
      <c r="CO221" s="168"/>
      <c r="CP221" s="168"/>
      <c r="CQ221" s="168"/>
      <c r="CR221" s="168"/>
      <c r="CS221" s="168"/>
      <c r="CT221" s="168"/>
      <c r="CU221" s="168"/>
      <c r="CV221" s="168"/>
      <c r="CW221" s="168"/>
      <c r="CX221" s="168"/>
      <c r="CY221" s="168"/>
      <c r="CZ221" s="168"/>
      <c r="DA221" s="168"/>
      <c r="DB221" s="168"/>
      <c r="DC221" s="168"/>
      <c r="DD221" s="168"/>
      <c r="DE221" s="168"/>
      <c r="DF221" s="168"/>
      <c r="DG221" s="168"/>
      <c r="DH221" s="168"/>
      <c r="DI221" s="168"/>
      <c r="DJ221" s="168"/>
      <c r="DK221" s="168"/>
      <c r="DL221" s="168"/>
      <c r="DM221" s="168"/>
      <c r="DN221" s="168"/>
      <c r="DO221" s="168"/>
      <c r="DP221" s="168"/>
      <c r="DQ221" s="168"/>
      <c r="DR221" s="168"/>
      <c r="DS221" s="168"/>
      <c r="DT221" s="211">
        <v>46195</v>
      </c>
      <c r="DU221" s="211"/>
      <c r="DV221" s="209"/>
      <c r="DW221" s="209"/>
      <c r="DX221" s="209"/>
      <c r="DY221" s="209"/>
      <c r="DZ221" s="209"/>
      <c r="EA221" s="209"/>
      <c r="EB221" s="209"/>
      <c r="EC221" s="209"/>
      <c r="ED221" s="21"/>
      <c r="EE221" s="21"/>
      <c r="EF221" s="339"/>
      <c r="EG221" s="338"/>
      <c r="EH221" s="339"/>
    </row>
    <row r="222" spans="2:138" ht="27.75">
      <c r="B222" s="357"/>
      <c r="C222" s="359"/>
      <c r="D222" s="359"/>
      <c r="E222" s="359"/>
      <c r="F222" s="359"/>
      <c r="G222" s="359"/>
      <c r="H222" s="324" t="s">
        <v>150</v>
      </c>
      <c r="I222" s="174">
        <v>46071</v>
      </c>
      <c r="J222" s="175"/>
      <c r="K222" s="169">
        <v>46090</v>
      </c>
      <c r="L222" s="272" t="s">
        <v>148</v>
      </c>
      <c r="M222" s="169">
        <v>46097</v>
      </c>
      <c r="N222" s="169">
        <v>46104</v>
      </c>
      <c r="O222" s="324" t="s">
        <v>148</v>
      </c>
      <c r="P222" s="169">
        <v>46111</v>
      </c>
      <c r="Q222" s="169">
        <v>46118</v>
      </c>
      <c r="R222" s="169">
        <v>46125</v>
      </c>
      <c r="S222" s="324" t="s">
        <v>148</v>
      </c>
      <c r="T222" s="169">
        <v>46132</v>
      </c>
      <c r="U222" s="169">
        <v>46139</v>
      </c>
      <c r="V222" s="169">
        <v>46146</v>
      </c>
      <c r="W222" s="324" t="s">
        <v>149</v>
      </c>
      <c r="X222" s="169">
        <v>46153</v>
      </c>
      <c r="Y222" s="169">
        <v>46160</v>
      </c>
      <c r="Z222" s="169">
        <v>46168</v>
      </c>
      <c r="AA222" s="324" t="s">
        <v>148</v>
      </c>
      <c r="AB222" s="169">
        <v>46174</v>
      </c>
      <c r="AC222" s="169">
        <v>46181</v>
      </c>
      <c r="AD222" s="169">
        <v>46188</v>
      </c>
      <c r="AE222" s="324" t="s">
        <v>149</v>
      </c>
      <c r="AF222" s="169"/>
      <c r="AG222" s="169"/>
      <c r="AH222" s="169"/>
      <c r="AI222" s="324"/>
      <c r="AJ222" s="169"/>
      <c r="AK222" s="169"/>
      <c r="AL222" s="169"/>
      <c r="AM222" s="324"/>
      <c r="AN222" s="169"/>
      <c r="AO222" s="169"/>
      <c r="AP222" s="169"/>
      <c r="AQ222" s="324"/>
      <c r="AR222" s="169"/>
      <c r="AS222" s="169"/>
      <c r="AT222" s="169"/>
      <c r="AU222" s="80"/>
      <c r="AV222" s="169"/>
      <c r="AW222" s="169"/>
      <c r="AX222" s="169"/>
      <c r="AY222" s="80"/>
      <c r="AZ222" s="169"/>
      <c r="BA222" s="169"/>
      <c r="BB222" s="169"/>
      <c r="BC222" s="80"/>
      <c r="BD222" s="170"/>
      <c r="BE222" s="170"/>
      <c r="BF222" s="170"/>
      <c r="BG222" s="170"/>
      <c r="BH222" s="170"/>
      <c r="BI222" s="170"/>
      <c r="BJ222" s="170"/>
      <c r="BK222" s="170"/>
      <c r="BL222" s="170"/>
      <c r="BM222" s="170"/>
      <c r="BN222" s="170"/>
      <c r="BO222" s="170"/>
      <c r="BP222" s="170"/>
      <c r="BQ222" s="170"/>
      <c r="BR222" s="170"/>
      <c r="BS222" s="170"/>
      <c r="BT222" s="170"/>
      <c r="BU222" s="170"/>
      <c r="BV222" s="170"/>
      <c r="BW222" s="170"/>
      <c r="BX222" s="170"/>
      <c r="BY222" s="170"/>
      <c r="BZ222" s="170"/>
      <c r="CA222" s="170"/>
      <c r="CB222" s="170"/>
      <c r="CC222" s="170"/>
      <c r="CD222" s="170"/>
      <c r="CE222" s="170"/>
      <c r="CF222" s="170"/>
      <c r="CG222" s="170"/>
      <c r="CH222" s="170"/>
      <c r="CI222" s="170"/>
      <c r="CJ222" s="170"/>
      <c r="CK222" s="170"/>
      <c r="CL222" s="170"/>
      <c r="CM222" s="170"/>
      <c r="CN222" s="170"/>
      <c r="CO222" s="170"/>
      <c r="CP222" s="170"/>
      <c r="CQ222" s="170"/>
      <c r="CR222" s="170"/>
      <c r="CS222" s="170"/>
      <c r="CT222" s="170"/>
      <c r="CU222" s="170"/>
      <c r="CV222" s="170"/>
      <c r="CW222" s="170"/>
      <c r="CX222" s="170"/>
      <c r="CY222" s="170"/>
      <c r="CZ222" s="170"/>
      <c r="DA222" s="170"/>
      <c r="DB222" s="170"/>
      <c r="DC222" s="170"/>
      <c r="DD222" s="170"/>
      <c r="DE222" s="170"/>
      <c r="DF222" s="170"/>
      <c r="DG222" s="170"/>
      <c r="DH222" s="170"/>
      <c r="DI222" s="170"/>
      <c r="DJ222" s="170"/>
      <c r="DK222" s="170"/>
      <c r="DL222" s="170"/>
      <c r="DM222" s="170"/>
      <c r="DN222" s="170"/>
      <c r="DO222" s="170"/>
      <c r="DP222" s="170"/>
      <c r="DQ222" s="170"/>
      <c r="DR222" s="170"/>
      <c r="DS222" s="170"/>
      <c r="DT222" s="113">
        <v>46195</v>
      </c>
      <c r="DU222" s="140"/>
      <c r="DV222" s="140"/>
      <c r="DW222" s="320"/>
      <c r="DX222" s="320"/>
      <c r="DY222" s="320"/>
      <c r="DZ222" s="320"/>
      <c r="EA222" s="320"/>
      <c r="EB222" s="320"/>
      <c r="EC222" s="320"/>
      <c r="ED222" s="214"/>
      <c r="EE222" s="214"/>
      <c r="EF222" s="339"/>
      <c r="EG222" s="338"/>
      <c r="EH222" s="338"/>
    </row>
    <row r="223" spans="2:138" s="119" customFormat="1" ht="31.15">
      <c r="B223" s="352" t="s">
        <v>412</v>
      </c>
      <c r="C223" s="340" t="s">
        <v>413</v>
      </c>
      <c r="D223" s="340" t="s">
        <v>157</v>
      </c>
      <c r="E223" s="340"/>
      <c r="F223" s="340" t="s">
        <v>229</v>
      </c>
      <c r="G223" s="340" t="s">
        <v>206</v>
      </c>
      <c r="H223" s="106" t="s">
        <v>147</v>
      </c>
      <c r="I223" s="107">
        <v>46097</v>
      </c>
      <c r="J223" s="108"/>
      <c r="K223" s="219">
        <v>46027</v>
      </c>
      <c r="L223" s="233" t="s">
        <v>148</v>
      </c>
      <c r="M223" s="220">
        <v>46042</v>
      </c>
      <c r="N223" s="220">
        <f>M223+7</f>
        <v>46049</v>
      </c>
      <c r="O223" s="220" t="s">
        <v>149</v>
      </c>
      <c r="P223" s="220">
        <f>N223+7</f>
        <v>46056</v>
      </c>
      <c r="Q223" s="220">
        <f>P223+7</f>
        <v>46063</v>
      </c>
      <c r="R223" s="220">
        <f>Q223+7</f>
        <v>46070</v>
      </c>
      <c r="S223" s="221" t="s">
        <v>149</v>
      </c>
      <c r="T223" s="221">
        <f>R223+7</f>
        <v>46077</v>
      </c>
      <c r="U223" s="221">
        <f>T223+7</f>
        <v>46084</v>
      </c>
      <c r="V223" s="221">
        <f>U223+7</f>
        <v>46091</v>
      </c>
      <c r="W223" s="221" t="s">
        <v>149</v>
      </c>
      <c r="X223" s="221">
        <f>V223+7</f>
        <v>46098</v>
      </c>
      <c r="Y223" s="221">
        <f>X223+7</f>
        <v>46105</v>
      </c>
      <c r="Z223" s="221">
        <f>Y223+7</f>
        <v>46112</v>
      </c>
      <c r="AA223" s="221" t="s">
        <v>149</v>
      </c>
      <c r="AB223" s="221">
        <f>Z223+7</f>
        <v>46119</v>
      </c>
      <c r="AC223" s="221">
        <f>AB223+7</f>
        <v>46126</v>
      </c>
      <c r="AD223" s="221">
        <f>AC223+7</f>
        <v>46133</v>
      </c>
      <c r="AE223" s="221" t="s">
        <v>149</v>
      </c>
      <c r="AF223" s="221">
        <f>AD223+7</f>
        <v>46140</v>
      </c>
      <c r="AG223" s="221">
        <f>AF223+7</f>
        <v>46147</v>
      </c>
      <c r="AH223" s="221">
        <f>AG223+7</f>
        <v>46154</v>
      </c>
      <c r="AI223" s="221" t="s">
        <v>149</v>
      </c>
      <c r="AJ223" s="221">
        <f>AH223+7</f>
        <v>46161</v>
      </c>
      <c r="AK223" s="221">
        <f>AJ223+7</f>
        <v>46168</v>
      </c>
      <c r="AL223" s="221">
        <f>AK223+7</f>
        <v>46175</v>
      </c>
      <c r="AM223" s="221" t="s">
        <v>149</v>
      </c>
      <c r="AN223" s="221">
        <f>AL223+7</f>
        <v>46182</v>
      </c>
      <c r="AO223" s="221">
        <f>AN223+7</f>
        <v>46189</v>
      </c>
      <c r="AP223" s="221">
        <f>AO223+7</f>
        <v>46196</v>
      </c>
      <c r="AQ223" s="221" t="s">
        <v>149</v>
      </c>
      <c r="AR223" s="221">
        <f>AP223+7</f>
        <v>46203</v>
      </c>
      <c r="AS223" s="221">
        <f>AR223+7</f>
        <v>46210</v>
      </c>
      <c r="AT223" s="221">
        <f>AS223+7</f>
        <v>46217</v>
      </c>
      <c r="AU223" s="222" t="s">
        <v>149</v>
      </c>
      <c r="AV223" s="221">
        <f>AT223+7</f>
        <v>46224</v>
      </c>
      <c r="AW223" s="221">
        <f>AV223+7</f>
        <v>46231</v>
      </c>
      <c r="AX223" s="221">
        <f>AW223+7</f>
        <v>46238</v>
      </c>
      <c r="AY223" s="222" t="s">
        <v>149</v>
      </c>
      <c r="AZ223" s="221">
        <f>AX223+7</f>
        <v>46245</v>
      </c>
      <c r="BA223" s="221">
        <f>AZ223+7</f>
        <v>46252</v>
      </c>
      <c r="BB223" s="221">
        <f>BA223+7</f>
        <v>46259</v>
      </c>
      <c r="BC223" s="222" t="s">
        <v>149</v>
      </c>
      <c r="BD223" s="222"/>
      <c r="BE223" s="222"/>
      <c r="BF223" s="222"/>
      <c r="BG223" s="222"/>
      <c r="BH223" s="222"/>
      <c r="BI223" s="222"/>
      <c r="BJ223" s="222"/>
      <c r="BK223" s="222"/>
      <c r="BL223" s="222"/>
      <c r="BM223" s="222"/>
      <c r="BN223" s="222"/>
      <c r="BO223" s="222"/>
      <c r="BP223" s="222"/>
      <c r="BQ223" s="222"/>
      <c r="BR223" s="222"/>
      <c r="BS223" s="222"/>
      <c r="BT223" s="222"/>
      <c r="BU223" s="222"/>
      <c r="BV223" s="222"/>
      <c r="BW223" s="222"/>
      <c r="BX223" s="222"/>
      <c r="BY223" s="222"/>
      <c r="BZ223" s="332"/>
      <c r="CA223" s="332"/>
      <c r="CB223" s="332"/>
      <c r="CC223" s="332"/>
      <c r="CD223" s="332"/>
      <c r="CE223" s="332"/>
      <c r="CF223" s="332"/>
      <c r="CG223" s="332"/>
      <c r="CH223" s="332"/>
      <c r="CI223" s="332"/>
      <c r="CJ223" s="332"/>
      <c r="CK223" s="332"/>
      <c r="CL223" s="332"/>
      <c r="CM223" s="332"/>
      <c r="CN223" s="332"/>
      <c r="CO223" s="332"/>
      <c r="CP223" s="332"/>
      <c r="CQ223" s="332"/>
      <c r="CR223" s="332"/>
      <c r="CS223" s="332"/>
      <c r="CT223" s="332"/>
      <c r="CU223" s="332"/>
      <c r="CV223" s="332"/>
      <c r="CW223" s="332"/>
      <c r="CX223" s="332"/>
      <c r="CY223" s="332"/>
      <c r="CZ223" s="332"/>
      <c r="DA223" s="332"/>
      <c r="DB223" s="332"/>
      <c r="DC223" s="332"/>
      <c r="DD223" s="332"/>
      <c r="DE223" s="332"/>
      <c r="DF223" s="332"/>
      <c r="DG223" s="332"/>
      <c r="DH223" s="332"/>
      <c r="DI223" s="332"/>
      <c r="DJ223" s="332"/>
      <c r="DK223" s="332"/>
      <c r="DL223" s="332"/>
      <c r="DM223" s="332"/>
      <c r="DN223" s="332"/>
      <c r="DO223" s="332"/>
      <c r="DP223" s="332"/>
      <c r="DQ223" s="332"/>
      <c r="DR223" s="332"/>
      <c r="DS223" s="332"/>
      <c r="DT223" s="53"/>
      <c r="DU223" s="53"/>
      <c r="DV223" s="106"/>
      <c r="DW223" s="106"/>
      <c r="DX223" s="106"/>
      <c r="DY223" s="106"/>
      <c r="DZ223" s="106"/>
      <c r="EA223" s="106"/>
      <c r="EB223" s="106"/>
      <c r="EC223" s="106"/>
      <c r="ED223" s="54"/>
      <c r="EE223" s="54"/>
      <c r="EF223" s="344"/>
      <c r="EG223" s="345"/>
      <c r="EH223" s="344"/>
    </row>
    <row r="224" spans="2:138" s="119" customFormat="1" ht="31.15">
      <c r="B224" s="353"/>
      <c r="C224" s="341"/>
      <c r="D224" s="341"/>
      <c r="E224" s="341"/>
      <c r="F224" s="341"/>
      <c r="G224" s="341"/>
      <c r="H224" s="325" t="s">
        <v>150</v>
      </c>
      <c r="I224" s="110">
        <v>46097</v>
      </c>
      <c r="J224" s="111"/>
      <c r="K224" s="112"/>
      <c r="L224" s="275" t="s">
        <v>148</v>
      </c>
      <c r="M224" s="112"/>
      <c r="N224" s="112"/>
      <c r="O224" s="325"/>
      <c r="P224" s="112"/>
      <c r="Q224" s="112"/>
      <c r="R224" s="112"/>
      <c r="S224" s="325"/>
      <c r="T224" s="112"/>
      <c r="U224" s="112"/>
      <c r="V224" s="112"/>
      <c r="W224" s="325"/>
      <c r="X224" s="112"/>
      <c r="Y224" s="112"/>
      <c r="Z224" s="112"/>
      <c r="AA224" s="325"/>
      <c r="AB224" s="112"/>
      <c r="AC224" s="112"/>
      <c r="AD224" s="112"/>
      <c r="AE224" s="325"/>
      <c r="AF224" s="112"/>
      <c r="AG224" s="112"/>
      <c r="AH224" s="112"/>
      <c r="AI224" s="325"/>
      <c r="AJ224" s="112"/>
      <c r="AK224" s="112"/>
      <c r="AL224" s="112"/>
      <c r="AM224" s="325"/>
      <c r="AN224" s="112"/>
      <c r="AO224" s="112"/>
      <c r="AP224" s="112"/>
      <c r="AQ224" s="325"/>
      <c r="AR224" s="112"/>
      <c r="AS224" s="112"/>
      <c r="AT224" s="112"/>
      <c r="AU224" s="328"/>
      <c r="AV224" s="112"/>
      <c r="AW224" s="112"/>
      <c r="AX224" s="112"/>
      <c r="AY224" s="328"/>
      <c r="AZ224" s="112"/>
      <c r="BA224" s="112"/>
      <c r="BB224" s="112"/>
      <c r="BC224" s="328"/>
      <c r="BD224" s="121"/>
      <c r="BE224" s="121"/>
      <c r="BF224" s="121"/>
      <c r="BG224" s="121"/>
      <c r="BH224" s="121"/>
      <c r="BI224" s="121"/>
      <c r="BJ224" s="121"/>
      <c r="BK224" s="121"/>
      <c r="BL224" s="121"/>
      <c r="BM224" s="121"/>
      <c r="BN224" s="121"/>
      <c r="BO224" s="121"/>
      <c r="BP224" s="121"/>
      <c r="BQ224" s="121"/>
      <c r="BR224" s="121"/>
      <c r="BS224" s="121"/>
      <c r="BT224" s="121"/>
      <c r="BU224" s="121"/>
      <c r="BV224" s="121"/>
      <c r="BW224" s="121"/>
      <c r="BX224" s="121"/>
      <c r="BY224" s="121"/>
      <c r="BZ224" s="121"/>
      <c r="CA224" s="121"/>
      <c r="CB224" s="121"/>
      <c r="CC224" s="121"/>
      <c r="CD224" s="121"/>
      <c r="CE224" s="121"/>
      <c r="CF224" s="121"/>
      <c r="CG224" s="121"/>
      <c r="CH224" s="121"/>
      <c r="CI224" s="121"/>
      <c r="CJ224" s="121"/>
      <c r="CK224" s="121"/>
      <c r="CL224" s="121"/>
      <c r="CM224" s="121"/>
      <c r="CN224" s="121"/>
      <c r="CO224" s="121"/>
      <c r="CP224" s="121"/>
      <c r="CQ224" s="121"/>
      <c r="CR224" s="121"/>
      <c r="CS224" s="121"/>
      <c r="CT224" s="121"/>
      <c r="CU224" s="121"/>
      <c r="CV224" s="121"/>
      <c r="CW224" s="121"/>
      <c r="CX224" s="121"/>
      <c r="CY224" s="121"/>
      <c r="CZ224" s="121"/>
      <c r="DA224" s="121"/>
      <c r="DB224" s="121"/>
      <c r="DC224" s="121"/>
      <c r="DD224" s="121"/>
      <c r="DE224" s="121"/>
      <c r="DF224" s="121"/>
      <c r="DG224" s="121"/>
      <c r="DH224" s="121"/>
      <c r="DI224" s="121"/>
      <c r="DJ224" s="121"/>
      <c r="DK224" s="121"/>
      <c r="DL224" s="121"/>
      <c r="DM224" s="121"/>
      <c r="DN224" s="121"/>
      <c r="DO224" s="121"/>
      <c r="DP224" s="121"/>
      <c r="DQ224" s="121"/>
      <c r="DR224" s="121"/>
      <c r="DS224" s="121"/>
      <c r="DT224" s="112"/>
      <c r="DU224" s="134"/>
      <c r="DV224" s="134"/>
      <c r="DW224" s="325"/>
      <c r="DX224" s="325"/>
      <c r="DY224" s="325"/>
      <c r="DZ224" s="325"/>
      <c r="EA224" s="325"/>
      <c r="EB224" s="325"/>
      <c r="EC224" s="325"/>
      <c r="ED224" s="61"/>
      <c r="EE224" s="61"/>
      <c r="EF224" s="344"/>
      <c r="EG224" s="345"/>
      <c r="EH224" s="345"/>
    </row>
    <row r="225" spans="2:138" ht="31.15">
      <c r="B225" s="356" t="s">
        <v>414</v>
      </c>
      <c r="C225" s="358" t="s">
        <v>415</v>
      </c>
      <c r="D225" s="358" t="s">
        <v>381</v>
      </c>
      <c r="E225" s="380" t="s">
        <v>364</v>
      </c>
      <c r="F225" s="358" t="s">
        <v>220</v>
      </c>
      <c r="G225" s="358" t="s">
        <v>206</v>
      </c>
      <c r="H225" s="289" t="s">
        <v>147</v>
      </c>
      <c r="I225" s="173">
        <v>46069</v>
      </c>
      <c r="J225" s="289"/>
      <c r="K225" s="173">
        <v>46073</v>
      </c>
      <c r="L225" s="173">
        <v>46078</v>
      </c>
      <c r="M225" s="289">
        <v>46080</v>
      </c>
      <c r="N225" s="289">
        <f>M225+7</f>
        <v>46087</v>
      </c>
      <c r="O225" s="289">
        <v>46093</v>
      </c>
      <c r="P225" s="289">
        <f t="shared" ref="P225" si="2508">N225+7</f>
        <v>46094</v>
      </c>
      <c r="Q225" s="289">
        <f t="shared" ref="Q225" si="2509">P225+7</f>
        <v>46101</v>
      </c>
      <c r="R225" s="289">
        <f t="shared" ref="R225" si="2510">Q225+7</f>
        <v>46108</v>
      </c>
      <c r="S225" s="290" t="s">
        <v>149</v>
      </c>
      <c r="T225" s="290">
        <f t="shared" ref="T225" si="2511">R225+7</f>
        <v>46115</v>
      </c>
      <c r="U225" s="290">
        <f t="shared" ref="U225" si="2512">T225+7</f>
        <v>46122</v>
      </c>
      <c r="V225" s="290">
        <f t="shared" ref="V225" si="2513">U225+7</f>
        <v>46129</v>
      </c>
      <c r="W225" s="290" t="s">
        <v>149</v>
      </c>
      <c r="X225" s="290">
        <f t="shared" ref="X225" si="2514">V225+7</f>
        <v>46136</v>
      </c>
      <c r="Y225" s="290">
        <f t="shared" ref="Y225" si="2515">X225+7</f>
        <v>46143</v>
      </c>
      <c r="Z225" s="290">
        <f t="shared" ref="Z225" si="2516">Y225+7</f>
        <v>46150</v>
      </c>
      <c r="AA225" s="290" t="s">
        <v>149</v>
      </c>
      <c r="AB225" s="290">
        <f t="shared" ref="AB225" si="2517">Z225+7</f>
        <v>46157</v>
      </c>
      <c r="AC225" s="290">
        <f t="shared" ref="AC225" si="2518">AB225+7</f>
        <v>46164</v>
      </c>
      <c r="AD225" s="290">
        <f t="shared" ref="AD225" si="2519">AC225+7</f>
        <v>46171</v>
      </c>
      <c r="AE225" s="290" t="s">
        <v>149</v>
      </c>
      <c r="AF225" s="290">
        <f t="shared" ref="AF225" si="2520">AD225+7</f>
        <v>46178</v>
      </c>
      <c r="AG225" s="290">
        <f t="shared" ref="AG225" si="2521">AF225+7</f>
        <v>46185</v>
      </c>
      <c r="AH225" s="290">
        <f t="shared" ref="AH225" si="2522">AG225+7</f>
        <v>46192</v>
      </c>
      <c r="AI225" s="290" t="s">
        <v>149</v>
      </c>
      <c r="AJ225" s="290">
        <f t="shared" ref="AJ225" si="2523">AH225+7</f>
        <v>46199</v>
      </c>
      <c r="AK225" s="290">
        <f t="shared" ref="AK225" si="2524">AJ225+7</f>
        <v>46206</v>
      </c>
      <c r="AL225" s="290">
        <f t="shared" ref="AL225" si="2525">AK225+7</f>
        <v>46213</v>
      </c>
      <c r="AM225" s="290" t="s">
        <v>149</v>
      </c>
      <c r="AN225" s="290">
        <f t="shared" ref="AN225" si="2526">AL225+7</f>
        <v>46220</v>
      </c>
      <c r="AO225" s="290">
        <f t="shared" ref="AO225" si="2527">AN225+7</f>
        <v>46227</v>
      </c>
      <c r="AP225" s="290">
        <f t="shared" ref="AP225" si="2528">AO225+7</f>
        <v>46234</v>
      </c>
      <c r="AQ225" s="290" t="s">
        <v>149</v>
      </c>
      <c r="AR225" s="290">
        <f t="shared" ref="AR225" si="2529">AP225+7</f>
        <v>46241</v>
      </c>
      <c r="AS225" s="290">
        <f t="shared" ref="AS225" si="2530">AR225+7</f>
        <v>46248</v>
      </c>
      <c r="AT225" s="290">
        <f t="shared" ref="AT225" si="2531">AS225+7</f>
        <v>46255</v>
      </c>
      <c r="AU225" s="290" t="s">
        <v>149</v>
      </c>
      <c r="AV225" s="290">
        <f t="shared" ref="AV225" si="2532">AT225+7</f>
        <v>46262</v>
      </c>
      <c r="AW225" s="290">
        <f t="shared" ref="AW225" si="2533">AV225+7</f>
        <v>46269</v>
      </c>
      <c r="AX225" s="290">
        <f t="shared" ref="AX225" si="2534">AW225+7</f>
        <v>46276</v>
      </c>
      <c r="AY225" s="290" t="s">
        <v>149</v>
      </c>
      <c r="AZ225" s="290">
        <f t="shared" ref="AZ225" si="2535">AX225+7</f>
        <v>46283</v>
      </c>
      <c r="BA225" s="290">
        <f t="shared" ref="BA225" si="2536">AZ225+7</f>
        <v>46290</v>
      </c>
      <c r="BB225" s="290">
        <f t="shared" ref="BB225" si="2537">BA225+7</f>
        <v>46297</v>
      </c>
      <c r="BC225" s="290" t="s">
        <v>149</v>
      </c>
      <c r="BD225" s="290">
        <f t="shared" ref="BD225" si="2538">BB225+7</f>
        <v>46304</v>
      </c>
      <c r="BE225" s="290">
        <f t="shared" ref="BE225" si="2539">BD225+7</f>
        <v>46311</v>
      </c>
      <c r="BF225" s="290">
        <f t="shared" ref="BF225" si="2540">BE225+7</f>
        <v>46318</v>
      </c>
      <c r="BG225" s="290" t="s">
        <v>148</v>
      </c>
      <c r="BH225" s="290">
        <f t="shared" ref="BH225" si="2541">BF225+7</f>
        <v>46325</v>
      </c>
      <c r="BI225" s="290">
        <f t="shared" ref="BI225" si="2542">BH225+7</f>
        <v>46332</v>
      </c>
      <c r="BJ225" s="290">
        <f t="shared" ref="BJ225" si="2543">BI225+7</f>
        <v>46339</v>
      </c>
      <c r="BK225" s="290" t="s">
        <v>148</v>
      </c>
      <c r="BL225" s="290">
        <f t="shared" ref="BL225" si="2544">BJ225+7</f>
        <v>46346</v>
      </c>
      <c r="BM225" s="290">
        <f t="shared" ref="BM225" si="2545">BL225+7</f>
        <v>46353</v>
      </c>
      <c r="BN225" s="290">
        <f t="shared" ref="BN225" si="2546">BM225+7</f>
        <v>46360</v>
      </c>
      <c r="BO225" s="290" t="s">
        <v>149</v>
      </c>
      <c r="BP225" s="290">
        <f t="shared" ref="BP225" si="2547">BN225+7</f>
        <v>46367</v>
      </c>
      <c r="BQ225" s="290">
        <f t="shared" ref="BQ225" si="2548">BP225+7</f>
        <v>46374</v>
      </c>
      <c r="BR225" s="290">
        <f t="shared" ref="BR225" si="2549">BQ225+7</f>
        <v>46381</v>
      </c>
      <c r="BS225" s="290" t="s">
        <v>148</v>
      </c>
      <c r="BT225" s="290">
        <f t="shared" ref="BT225" si="2550">BR225+7</f>
        <v>46388</v>
      </c>
      <c r="BU225" s="290">
        <f t="shared" ref="BU225" si="2551">BT225+7</f>
        <v>46395</v>
      </c>
      <c r="BV225" s="290">
        <f t="shared" ref="BV225" si="2552">BU225+7</f>
        <v>46402</v>
      </c>
      <c r="BW225" s="290" t="s">
        <v>149</v>
      </c>
      <c r="BX225" s="290">
        <f t="shared" ref="BX225" si="2553">BV225+7</f>
        <v>46409</v>
      </c>
      <c r="BY225" s="290">
        <f t="shared" ref="BY225" si="2554">BX225+7</f>
        <v>46416</v>
      </c>
      <c r="BZ225" s="290">
        <f t="shared" ref="BZ225" si="2555">BY225+7</f>
        <v>46423</v>
      </c>
      <c r="CA225" s="290" t="s">
        <v>149</v>
      </c>
      <c r="CB225" s="290"/>
      <c r="CC225" s="290"/>
      <c r="CD225" s="290"/>
      <c r="CE225" s="290"/>
      <c r="CF225" s="290"/>
      <c r="CG225" s="290"/>
      <c r="CH225" s="290"/>
      <c r="CI225" s="290"/>
      <c r="CJ225" s="290"/>
      <c r="CK225" s="290"/>
      <c r="CL225" s="290"/>
      <c r="CM225" s="290"/>
      <c r="CN225" s="290"/>
      <c r="CO225" s="290"/>
      <c r="CP225" s="290"/>
      <c r="CQ225" s="290"/>
      <c r="CR225" s="290"/>
      <c r="CS225" s="290"/>
      <c r="CT225" s="290"/>
      <c r="CU225" s="290"/>
      <c r="CV225" s="290"/>
      <c r="CW225" s="290"/>
      <c r="CX225" s="290"/>
      <c r="CY225" s="290"/>
      <c r="CZ225" s="290"/>
      <c r="DA225" s="290"/>
      <c r="DB225" s="290"/>
      <c r="DC225" s="290"/>
      <c r="DD225" s="290"/>
      <c r="DE225" s="290"/>
      <c r="DF225" s="290"/>
      <c r="DG225" s="290"/>
      <c r="DH225" s="290"/>
      <c r="DI225" s="290"/>
      <c r="DJ225" s="290"/>
      <c r="DK225" s="290"/>
      <c r="DL225" s="290"/>
      <c r="DM225" s="290"/>
      <c r="DN225" s="290"/>
      <c r="DO225" s="290"/>
      <c r="DP225" s="290"/>
      <c r="DQ225" s="290"/>
      <c r="DR225" s="290"/>
      <c r="DS225" s="290"/>
      <c r="DT225" s="127">
        <v>46101</v>
      </c>
      <c r="DU225" s="127">
        <v>46108</v>
      </c>
      <c r="DV225" s="125"/>
      <c r="DW225" s="125"/>
      <c r="DX225" s="125"/>
      <c r="DY225" s="125"/>
      <c r="DZ225" s="125"/>
      <c r="EA225" s="125"/>
      <c r="EB225" s="125"/>
      <c r="EC225" s="125"/>
      <c r="ED225" s="268"/>
      <c r="EE225" s="128"/>
      <c r="EF225" s="339"/>
      <c r="EG225" s="338"/>
      <c r="EH225" s="339"/>
    </row>
    <row r="226" spans="2:138" ht="27.75">
      <c r="B226" s="357"/>
      <c r="C226" s="359"/>
      <c r="D226" s="359"/>
      <c r="E226" s="363"/>
      <c r="F226" s="359"/>
      <c r="G226" s="359"/>
      <c r="H226" s="324" t="s">
        <v>150</v>
      </c>
      <c r="I226" s="169">
        <v>46069</v>
      </c>
      <c r="J226" s="324"/>
      <c r="K226" s="169">
        <v>46073</v>
      </c>
      <c r="L226" s="169">
        <v>46078</v>
      </c>
      <c r="M226" s="202">
        <v>46080</v>
      </c>
      <c r="N226" s="169">
        <v>46087</v>
      </c>
      <c r="O226" s="324">
        <v>46093</v>
      </c>
      <c r="P226" s="169"/>
      <c r="Q226" s="169"/>
      <c r="R226" s="169"/>
      <c r="S226" s="324"/>
      <c r="T226" s="169"/>
      <c r="U226" s="169"/>
      <c r="V226" s="169"/>
      <c r="W226" s="152"/>
      <c r="X226" s="169"/>
      <c r="Y226" s="169"/>
      <c r="Z226" s="169"/>
      <c r="AA226" s="176"/>
      <c r="AB226" s="169"/>
      <c r="AC226" s="169"/>
      <c r="AD226" s="169"/>
      <c r="AE226" s="177"/>
      <c r="AF226" s="177"/>
      <c r="AG226" s="177"/>
      <c r="AH226" s="177"/>
      <c r="AI226" s="177"/>
      <c r="AJ226" s="177"/>
      <c r="AK226" s="177"/>
      <c r="AL226" s="177"/>
      <c r="AM226" s="177"/>
      <c r="AN226" s="177"/>
      <c r="AO226" s="177"/>
      <c r="AP226" s="177"/>
      <c r="AQ226" s="178"/>
      <c r="AR226" s="177"/>
      <c r="AS226" s="177"/>
      <c r="AT226" s="177"/>
      <c r="AU226" s="177"/>
      <c r="AV226" s="177"/>
      <c r="AW226" s="177"/>
      <c r="AX226" s="177"/>
      <c r="AY226" s="177"/>
      <c r="AZ226" s="291"/>
      <c r="BA226" s="291"/>
      <c r="BB226" s="291"/>
      <c r="BC226" s="177"/>
      <c r="BD226" s="177"/>
      <c r="BE226" s="177"/>
      <c r="BF226" s="177"/>
      <c r="BG226" s="177"/>
      <c r="BH226" s="177"/>
      <c r="BI226" s="177"/>
      <c r="BJ226" s="177"/>
      <c r="BK226" s="177"/>
      <c r="BL226" s="177"/>
      <c r="BM226" s="177"/>
      <c r="BN226" s="177"/>
      <c r="BO226" s="177"/>
      <c r="BP226" s="177"/>
      <c r="BQ226" s="177"/>
      <c r="BR226" s="177"/>
      <c r="BS226" s="177"/>
      <c r="BT226" s="177"/>
      <c r="BU226" s="177"/>
      <c r="BV226" s="177"/>
      <c r="BW226" s="177"/>
      <c r="BX226" s="177"/>
      <c r="BY226" s="177"/>
      <c r="BZ226" s="177"/>
      <c r="CA226" s="177"/>
      <c r="CB226" s="177"/>
      <c r="CC226" s="177"/>
      <c r="CD226" s="177"/>
      <c r="CE226" s="177"/>
      <c r="CF226" s="177"/>
      <c r="CG226" s="177"/>
      <c r="CH226" s="177"/>
      <c r="CI226" s="177"/>
      <c r="CJ226" s="177"/>
      <c r="CK226" s="177"/>
      <c r="CL226" s="177"/>
      <c r="CM226" s="177"/>
      <c r="CN226" s="177"/>
      <c r="CO226" s="177"/>
      <c r="CP226" s="177"/>
      <c r="CQ226" s="177"/>
      <c r="CR226" s="177"/>
      <c r="CS226" s="177"/>
      <c r="CT226" s="177"/>
      <c r="CU226" s="177"/>
      <c r="CV226" s="177"/>
      <c r="CW226" s="177"/>
      <c r="CX226" s="177"/>
      <c r="CY226" s="177"/>
      <c r="CZ226" s="177"/>
      <c r="DA226" s="177"/>
      <c r="DB226" s="177"/>
      <c r="DC226" s="177"/>
      <c r="DD226" s="177"/>
      <c r="DE226" s="177"/>
      <c r="DF226" s="177"/>
      <c r="DG226" s="177"/>
      <c r="DH226" s="177"/>
      <c r="DI226" s="177"/>
      <c r="DJ226" s="177"/>
      <c r="DK226" s="177"/>
      <c r="DL226" s="177"/>
      <c r="DM226" s="177"/>
      <c r="DN226" s="177"/>
      <c r="DO226" s="177"/>
      <c r="DP226" s="177"/>
      <c r="DQ226" s="177"/>
      <c r="DR226" s="177"/>
      <c r="DS226" s="177"/>
      <c r="DT226" s="28">
        <v>46101</v>
      </c>
      <c r="DU226" s="132">
        <v>46108</v>
      </c>
      <c r="DV226" s="69">
        <v>46169</v>
      </c>
      <c r="DW226" s="69"/>
      <c r="DX226" s="69"/>
      <c r="DY226" s="69"/>
      <c r="DZ226" s="69"/>
      <c r="EA226" s="69"/>
      <c r="EB226" s="69"/>
      <c r="EC226" s="69"/>
      <c r="ED226" s="22"/>
      <c r="EE226" s="22"/>
      <c r="EF226" s="339"/>
      <c r="EG226" s="338"/>
      <c r="EH226" s="338"/>
    </row>
    <row r="227" spans="2:138" ht="31.15">
      <c r="B227" s="356" t="s">
        <v>409</v>
      </c>
      <c r="C227" s="358" t="s">
        <v>416</v>
      </c>
      <c r="D227" s="360" t="s">
        <v>270</v>
      </c>
      <c r="E227" s="358" t="s">
        <v>294</v>
      </c>
      <c r="F227" s="358" t="s">
        <v>315</v>
      </c>
      <c r="G227" s="358" t="s">
        <v>206</v>
      </c>
      <c r="H227" s="181" t="s">
        <v>147</v>
      </c>
      <c r="I227" s="75">
        <v>46059</v>
      </c>
      <c r="J227" s="182"/>
      <c r="K227" s="249">
        <v>46079</v>
      </c>
      <c r="L227" s="249" t="s">
        <v>148</v>
      </c>
      <c r="M227" s="182">
        <f>K227+7</f>
        <v>46086</v>
      </c>
      <c r="N227" s="182">
        <f>M227+7</f>
        <v>46093</v>
      </c>
      <c r="O227" s="182" t="s">
        <v>149</v>
      </c>
      <c r="P227" s="182">
        <f t="shared" ref="P227" si="2556">N227+7</f>
        <v>46100</v>
      </c>
      <c r="Q227" s="182">
        <f t="shared" ref="Q227" si="2557">P227+7</f>
        <v>46107</v>
      </c>
      <c r="R227" s="182">
        <f t="shared" ref="R227" si="2558">Q227+7</f>
        <v>46114</v>
      </c>
      <c r="S227" s="180" t="s">
        <v>149</v>
      </c>
      <c r="T227" s="180">
        <f t="shared" ref="T227" si="2559">R227+7</f>
        <v>46121</v>
      </c>
      <c r="U227" s="180">
        <f t="shared" ref="U227" si="2560">T227+7</f>
        <v>46128</v>
      </c>
      <c r="V227" s="180">
        <f t="shared" ref="V227" si="2561">U227+7</f>
        <v>46135</v>
      </c>
      <c r="W227" s="180" t="s">
        <v>149</v>
      </c>
      <c r="X227" s="180">
        <f t="shared" ref="X227" si="2562">V227+7</f>
        <v>46142</v>
      </c>
      <c r="Y227" s="180">
        <f t="shared" ref="Y227" si="2563">X227+7</f>
        <v>46149</v>
      </c>
      <c r="Z227" s="180">
        <f t="shared" ref="Z227" si="2564">Y227+7</f>
        <v>46156</v>
      </c>
      <c r="AA227" s="180" t="s">
        <v>149</v>
      </c>
      <c r="AB227" s="180">
        <f t="shared" ref="AB227" si="2565">Z227+7</f>
        <v>46163</v>
      </c>
      <c r="AC227" s="180">
        <f t="shared" ref="AC227" si="2566">AB227+7</f>
        <v>46170</v>
      </c>
      <c r="AD227" s="180">
        <f t="shared" ref="AD227" si="2567">AC227+7</f>
        <v>46177</v>
      </c>
      <c r="AE227" s="180" t="s">
        <v>149</v>
      </c>
      <c r="AF227" s="180">
        <f t="shared" ref="AF227" si="2568">AD227+7</f>
        <v>46184</v>
      </c>
      <c r="AG227" s="180">
        <f t="shared" ref="AG227" si="2569">AF227+7</f>
        <v>46191</v>
      </c>
      <c r="AH227" s="180">
        <f t="shared" ref="AH227" si="2570">AG227+7</f>
        <v>46198</v>
      </c>
      <c r="AI227" s="180" t="s">
        <v>149</v>
      </c>
      <c r="AJ227" s="180">
        <f t="shared" ref="AJ227" si="2571">AH227+7</f>
        <v>46205</v>
      </c>
      <c r="AK227" s="180">
        <f t="shared" ref="AK227" si="2572">AJ227+7</f>
        <v>46212</v>
      </c>
      <c r="AL227" s="180">
        <f t="shared" ref="AL227" si="2573">AK227+7</f>
        <v>46219</v>
      </c>
      <c r="AM227" s="180" t="s">
        <v>149</v>
      </c>
      <c r="AN227" s="180">
        <f t="shared" ref="AN227" si="2574">AL227+7</f>
        <v>46226</v>
      </c>
      <c r="AO227" s="180">
        <f t="shared" ref="AO227" si="2575">AN227+7</f>
        <v>46233</v>
      </c>
      <c r="AP227" s="180">
        <f t="shared" ref="AP227" si="2576">AO227+7</f>
        <v>46240</v>
      </c>
      <c r="AQ227" s="180" t="s">
        <v>149</v>
      </c>
      <c r="AR227" s="180">
        <f t="shared" ref="AR227" si="2577">AP227+7</f>
        <v>46247</v>
      </c>
      <c r="AS227" s="180">
        <f t="shared" ref="AS227" si="2578">AR227+7</f>
        <v>46254</v>
      </c>
      <c r="AT227" s="180">
        <f t="shared" ref="AT227" si="2579">AS227+7</f>
        <v>46261</v>
      </c>
      <c r="AU227" s="180" t="s">
        <v>149</v>
      </c>
      <c r="AV227" s="180">
        <f t="shared" ref="AV227" si="2580">AT227+7</f>
        <v>46268</v>
      </c>
      <c r="AW227" s="180">
        <f t="shared" ref="AW227" si="2581">AV227+7</f>
        <v>46275</v>
      </c>
      <c r="AX227" s="180">
        <f t="shared" ref="AX227" si="2582">AW227+7</f>
        <v>46282</v>
      </c>
      <c r="AY227" s="180" t="s">
        <v>149</v>
      </c>
      <c r="AZ227" s="180">
        <f t="shared" ref="AZ227" si="2583">AX227+7</f>
        <v>46289</v>
      </c>
      <c r="BA227" s="180">
        <f t="shared" ref="BA227" si="2584">AZ227+7</f>
        <v>46296</v>
      </c>
      <c r="BB227" s="180">
        <f t="shared" ref="BB227" si="2585">BA227+7</f>
        <v>46303</v>
      </c>
      <c r="BC227" s="180" t="s">
        <v>149</v>
      </c>
      <c r="BD227" s="180">
        <f t="shared" ref="BD227" si="2586">BB227+7</f>
        <v>46310</v>
      </c>
      <c r="BE227" s="180">
        <f t="shared" ref="BE227" si="2587">BD227+7</f>
        <v>46317</v>
      </c>
      <c r="BF227" s="180">
        <f t="shared" ref="BF227" si="2588">BE227+7</f>
        <v>46324</v>
      </c>
      <c r="BG227" s="180" t="s">
        <v>148</v>
      </c>
      <c r="BH227" s="180">
        <f t="shared" ref="BH227" si="2589">BF227+7</f>
        <v>46331</v>
      </c>
      <c r="BI227" s="180">
        <f t="shared" ref="BI227" si="2590">BH227+7</f>
        <v>46338</v>
      </c>
      <c r="BJ227" s="180">
        <f t="shared" ref="BJ227" si="2591">BI227+7</f>
        <v>46345</v>
      </c>
      <c r="BK227" s="180" t="s">
        <v>148</v>
      </c>
      <c r="BL227" s="180">
        <f t="shared" ref="BL227" si="2592">BJ227+7</f>
        <v>46352</v>
      </c>
      <c r="BM227" s="180">
        <f t="shared" ref="BM227" si="2593">BL227+7</f>
        <v>46359</v>
      </c>
      <c r="BN227" s="180">
        <f t="shared" ref="BN227" si="2594">BM227+7</f>
        <v>46366</v>
      </c>
      <c r="BO227" s="180" t="s">
        <v>149</v>
      </c>
      <c r="BP227" s="180">
        <f t="shared" ref="BP227" si="2595">BN227+7</f>
        <v>46373</v>
      </c>
      <c r="BQ227" s="180">
        <f t="shared" ref="BQ227" si="2596">BP227+7</f>
        <v>46380</v>
      </c>
      <c r="BR227" s="180">
        <f t="shared" ref="BR227" si="2597">BQ227+7</f>
        <v>46387</v>
      </c>
      <c r="BS227" s="180" t="s">
        <v>148</v>
      </c>
      <c r="BT227" s="180">
        <f t="shared" ref="BT227" si="2598">BR227+7</f>
        <v>46394</v>
      </c>
      <c r="BU227" s="180">
        <f t="shared" ref="BU227" si="2599">BT227+7</f>
        <v>46401</v>
      </c>
      <c r="BV227" s="180">
        <f t="shared" ref="BV227" si="2600">BU227+7</f>
        <v>46408</v>
      </c>
      <c r="BW227" s="180" t="s">
        <v>149</v>
      </c>
      <c r="BX227" s="180">
        <f t="shared" ref="BX227" si="2601">BV227+7</f>
        <v>46415</v>
      </c>
      <c r="BY227" s="180">
        <f t="shared" ref="BY227" si="2602">BX227+7</f>
        <v>46422</v>
      </c>
      <c r="BZ227" s="180">
        <f t="shared" ref="BZ227" si="2603">BY227+7</f>
        <v>46429</v>
      </c>
      <c r="CA227" s="180" t="s">
        <v>149</v>
      </c>
      <c r="CB227" s="180"/>
      <c r="CC227" s="180"/>
      <c r="CD227" s="180"/>
      <c r="CE227" s="180"/>
      <c r="CF227" s="180"/>
      <c r="CG227" s="180"/>
      <c r="CH227" s="180"/>
      <c r="CI227" s="180"/>
      <c r="CJ227" s="180"/>
      <c r="CK227" s="180"/>
      <c r="CL227" s="180"/>
      <c r="CM227" s="180"/>
      <c r="CN227" s="180"/>
      <c r="CO227" s="180"/>
      <c r="CP227" s="180"/>
      <c r="CQ227" s="180"/>
      <c r="CR227" s="180"/>
      <c r="CS227" s="180"/>
      <c r="CT227" s="180"/>
      <c r="CU227" s="180"/>
      <c r="CV227" s="180"/>
      <c r="CW227" s="180"/>
      <c r="CX227" s="180"/>
      <c r="CY227" s="180"/>
      <c r="CZ227" s="180"/>
      <c r="DA227" s="180"/>
      <c r="DB227" s="180"/>
      <c r="DC227" s="180"/>
      <c r="DD227" s="180"/>
      <c r="DE227" s="180"/>
      <c r="DF227" s="180"/>
      <c r="DG227" s="180"/>
      <c r="DH227" s="180"/>
      <c r="DI227" s="180"/>
      <c r="DJ227" s="180"/>
      <c r="DK227" s="180"/>
      <c r="DL227" s="180"/>
      <c r="DM227" s="180"/>
      <c r="DN227" s="180"/>
      <c r="DO227" s="180"/>
      <c r="DP227" s="180"/>
      <c r="DQ227" s="180"/>
      <c r="DR227" s="180"/>
      <c r="DS227" s="180"/>
      <c r="DT227" s="127">
        <v>46108</v>
      </c>
      <c r="DU227" s="127" t="s">
        <v>285</v>
      </c>
      <c r="DV227" s="125"/>
      <c r="DW227" s="125"/>
      <c r="DX227" s="125"/>
      <c r="DY227" s="125"/>
      <c r="DZ227" s="125"/>
      <c r="EA227" s="125"/>
      <c r="EB227" s="125"/>
      <c r="EC227" s="125"/>
      <c r="ED227" s="268"/>
      <c r="EE227" s="128"/>
      <c r="EF227" s="339"/>
      <c r="EG227" s="338"/>
      <c r="EH227" s="339"/>
    </row>
    <row r="228" spans="2:138" ht="27.75">
      <c r="B228" s="357"/>
      <c r="C228" s="359"/>
      <c r="D228" s="361"/>
      <c r="E228" s="359"/>
      <c r="F228" s="359"/>
      <c r="G228" s="359"/>
      <c r="H228" s="324" t="s">
        <v>150</v>
      </c>
      <c r="I228" s="169">
        <v>46059</v>
      </c>
      <c r="J228" s="324"/>
      <c r="K228" s="169">
        <v>46079</v>
      </c>
      <c r="L228" s="272" t="s">
        <v>148</v>
      </c>
      <c r="M228" s="202">
        <v>46086</v>
      </c>
      <c r="N228" s="169">
        <v>46093</v>
      </c>
      <c r="O228" s="324" t="s">
        <v>148</v>
      </c>
      <c r="P228" s="169">
        <v>46100</v>
      </c>
      <c r="Q228" s="169">
        <v>46107</v>
      </c>
      <c r="R228" s="169"/>
      <c r="S228" s="324"/>
      <c r="T228" s="169"/>
      <c r="U228" s="169"/>
      <c r="V228" s="169"/>
      <c r="W228" s="152"/>
      <c r="X228" s="169"/>
      <c r="Y228" s="169"/>
      <c r="Z228" s="169"/>
      <c r="AA228" s="176"/>
      <c r="AB228" s="169"/>
      <c r="AC228" s="169"/>
      <c r="AD228" s="169"/>
      <c r="AE228" s="177"/>
      <c r="AF228" s="177"/>
      <c r="AG228" s="177"/>
      <c r="AH228" s="177"/>
      <c r="AI228" s="177"/>
      <c r="AJ228" s="177"/>
      <c r="AK228" s="177"/>
      <c r="AL228" s="177"/>
      <c r="AM228" s="177"/>
      <c r="AN228" s="177"/>
      <c r="AO228" s="177"/>
      <c r="AP228" s="177"/>
      <c r="AQ228" s="178"/>
      <c r="AR228" s="177"/>
      <c r="AS228" s="177"/>
      <c r="AT228" s="177"/>
      <c r="AU228" s="177"/>
      <c r="AV228" s="177"/>
      <c r="AW228" s="177"/>
      <c r="AX228" s="177"/>
      <c r="AY228" s="177"/>
      <c r="AZ228" s="179"/>
      <c r="BA228" s="179"/>
      <c r="BB228" s="179"/>
      <c r="BC228" s="177"/>
      <c r="BD228" s="177"/>
      <c r="BE228" s="177"/>
      <c r="BF228" s="177"/>
      <c r="BG228" s="177"/>
      <c r="BH228" s="177"/>
      <c r="BI228" s="177"/>
      <c r="BJ228" s="177"/>
      <c r="BK228" s="177"/>
      <c r="BL228" s="177"/>
      <c r="BM228" s="177"/>
      <c r="BN228" s="177"/>
      <c r="BO228" s="177"/>
      <c r="BP228" s="177"/>
      <c r="BQ228" s="177"/>
      <c r="BR228" s="177"/>
      <c r="BS228" s="177"/>
      <c r="BT228" s="177"/>
      <c r="BU228" s="177"/>
      <c r="BV228" s="177"/>
      <c r="BW228" s="177"/>
      <c r="BX228" s="177"/>
      <c r="BY228" s="177"/>
      <c r="BZ228" s="177"/>
      <c r="CA228" s="177"/>
      <c r="CB228" s="177"/>
      <c r="CC228" s="177"/>
      <c r="CD228" s="177"/>
      <c r="CE228" s="177"/>
      <c r="CF228" s="177"/>
      <c r="CG228" s="177"/>
      <c r="CH228" s="177"/>
      <c r="CI228" s="177"/>
      <c r="CJ228" s="177"/>
      <c r="CK228" s="177"/>
      <c r="CL228" s="177"/>
      <c r="CM228" s="177"/>
      <c r="CN228" s="177"/>
      <c r="CO228" s="177"/>
      <c r="CP228" s="177"/>
      <c r="CQ228" s="177"/>
      <c r="CR228" s="177"/>
      <c r="CS228" s="177"/>
      <c r="CT228" s="177"/>
      <c r="CU228" s="177"/>
      <c r="CV228" s="177"/>
      <c r="CW228" s="177"/>
      <c r="CX228" s="177"/>
      <c r="CY228" s="177"/>
      <c r="CZ228" s="177"/>
      <c r="DA228" s="177"/>
      <c r="DB228" s="177"/>
      <c r="DC228" s="177"/>
      <c r="DD228" s="177"/>
      <c r="DE228" s="177"/>
      <c r="DF228" s="177"/>
      <c r="DG228" s="177"/>
      <c r="DH228" s="177"/>
      <c r="DI228" s="177"/>
      <c r="DJ228" s="177"/>
      <c r="DK228" s="177"/>
      <c r="DL228" s="177"/>
      <c r="DM228" s="177"/>
      <c r="DN228" s="177"/>
      <c r="DO228" s="177"/>
      <c r="DP228" s="177"/>
      <c r="DQ228" s="177"/>
      <c r="DR228" s="177"/>
      <c r="DS228" s="177"/>
      <c r="DT228" s="28">
        <v>46108</v>
      </c>
      <c r="DU228" s="132" t="s">
        <v>285</v>
      </c>
      <c r="DV228" s="69">
        <v>46196</v>
      </c>
      <c r="DW228" s="69"/>
      <c r="DX228" s="69"/>
      <c r="DY228" s="69"/>
      <c r="DZ228" s="69"/>
      <c r="EA228" s="69"/>
      <c r="EB228" s="69"/>
      <c r="EC228" s="69"/>
      <c r="ED228" s="22"/>
      <c r="EE228" s="22"/>
      <c r="EF228" s="339"/>
      <c r="EG228" s="338"/>
      <c r="EH228" s="338"/>
    </row>
    <row r="229" spans="2:138" ht="27.75">
      <c r="B229" s="356" t="s">
        <v>351</v>
      </c>
      <c r="C229" s="358" t="s">
        <v>417</v>
      </c>
      <c r="D229" s="360" t="s">
        <v>270</v>
      </c>
      <c r="E229" s="358" t="s">
        <v>418</v>
      </c>
      <c r="F229" s="358" t="s">
        <v>210</v>
      </c>
      <c r="G229" s="358" t="s">
        <v>206</v>
      </c>
      <c r="H229" s="181" t="s">
        <v>147</v>
      </c>
      <c r="I229" s="75">
        <v>46084</v>
      </c>
      <c r="J229" s="182"/>
      <c r="K229" s="249">
        <v>46090</v>
      </c>
      <c r="L229" s="249" t="s">
        <v>148</v>
      </c>
      <c r="M229" s="182">
        <f>K229+7</f>
        <v>46097</v>
      </c>
      <c r="N229" s="182">
        <f>M229+7</f>
        <v>46104</v>
      </c>
      <c r="O229" s="182" t="s">
        <v>149</v>
      </c>
      <c r="P229" s="182">
        <f t="shared" ref="P229" si="2604">N229+7</f>
        <v>46111</v>
      </c>
      <c r="Q229" s="182">
        <f t="shared" ref="Q229" si="2605">P229+7</f>
        <v>46118</v>
      </c>
      <c r="R229" s="182">
        <f t="shared" ref="R229" si="2606">Q229+7</f>
        <v>46125</v>
      </c>
      <c r="S229" s="180" t="s">
        <v>149</v>
      </c>
      <c r="T229" s="180">
        <f t="shared" ref="T229" si="2607">R229+7</f>
        <v>46132</v>
      </c>
      <c r="U229" s="180">
        <f t="shared" ref="U229" si="2608">T229+7</f>
        <v>46139</v>
      </c>
      <c r="V229" s="180">
        <f t="shared" ref="V229" si="2609">U229+7</f>
        <v>46146</v>
      </c>
      <c r="W229" s="180" t="s">
        <v>149</v>
      </c>
      <c r="X229" s="180">
        <f t="shared" ref="X229" si="2610">V229+7</f>
        <v>46153</v>
      </c>
      <c r="Y229" s="180">
        <f t="shared" ref="Y229" si="2611">X229+7</f>
        <v>46160</v>
      </c>
      <c r="Z229" s="180">
        <f t="shared" ref="Z229" si="2612">Y229+7</f>
        <v>46167</v>
      </c>
      <c r="AA229" s="180" t="s">
        <v>149</v>
      </c>
      <c r="AB229" s="180">
        <f t="shared" ref="AB229" si="2613">Z229+7</f>
        <v>46174</v>
      </c>
      <c r="AC229" s="180">
        <f t="shared" ref="AC229" si="2614">AB229+7</f>
        <v>46181</v>
      </c>
      <c r="AD229" s="180">
        <f t="shared" ref="AD229" si="2615">AC229+7</f>
        <v>46188</v>
      </c>
      <c r="AE229" s="180" t="s">
        <v>149</v>
      </c>
      <c r="AF229" s="180">
        <f t="shared" ref="AF229" si="2616">AD229+7</f>
        <v>46195</v>
      </c>
      <c r="AG229" s="180">
        <f t="shared" ref="AG229" si="2617">AF229+7</f>
        <v>46202</v>
      </c>
      <c r="AH229" s="180">
        <f t="shared" ref="AH229" si="2618">AG229+7</f>
        <v>46209</v>
      </c>
      <c r="AI229" s="180" t="s">
        <v>149</v>
      </c>
      <c r="AJ229" s="180">
        <f t="shared" ref="AJ229" si="2619">AH229+7</f>
        <v>46216</v>
      </c>
      <c r="AK229" s="180">
        <f t="shared" ref="AK229" si="2620">AJ229+7</f>
        <v>46223</v>
      </c>
      <c r="AL229" s="180">
        <f t="shared" ref="AL229" si="2621">AK229+7</f>
        <v>46230</v>
      </c>
      <c r="AM229" s="180" t="s">
        <v>149</v>
      </c>
      <c r="AN229" s="180">
        <f t="shared" ref="AN229" si="2622">AL229+7</f>
        <v>46237</v>
      </c>
      <c r="AO229" s="180">
        <f t="shared" ref="AO229" si="2623">AN229+7</f>
        <v>46244</v>
      </c>
      <c r="AP229" s="180">
        <f t="shared" ref="AP229" si="2624">AO229+7</f>
        <v>46251</v>
      </c>
      <c r="AQ229" s="180" t="s">
        <v>149</v>
      </c>
      <c r="AR229" s="180">
        <f t="shared" ref="AR229" si="2625">AP229+7</f>
        <v>46258</v>
      </c>
      <c r="AS229" s="180">
        <f t="shared" ref="AS229" si="2626">AR229+7</f>
        <v>46265</v>
      </c>
      <c r="AT229" s="180">
        <f t="shared" ref="AT229" si="2627">AS229+7</f>
        <v>46272</v>
      </c>
      <c r="AU229" s="180" t="s">
        <v>149</v>
      </c>
      <c r="AV229" s="180">
        <f t="shared" ref="AV229" si="2628">AT229+7</f>
        <v>46279</v>
      </c>
      <c r="AW229" s="180">
        <f t="shared" ref="AW229" si="2629">AV229+7</f>
        <v>46286</v>
      </c>
      <c r="AX229" s="180">
        <f t="shared" ref="AX229" si="2630">AW229+7</f>
        <v>46293</v>
      </c>
      <c r="AY229" s="180" t="s">
        <v>149</v>
      </c>
      <c r="AZ229" s="180">
        <f t="shared" ref="AZ229" si="2631">AX229+7</f>
        <v>46300</v>
      </c>
      <c r="BA229" s="180">
        <f t="shared" ref="BA229" si="2632">AZ229+7</f>
        <v>46307</v>
      </c>
      <c r="BB229" s="180">
        <f t="shared" ref="BB229" si="2633">BA229+7</f>
        <v>46314</v>
      </c>
      <c r="BC229" s="180" t="s">
        <v>149</v>
      </c>
      <c r="BD229" s="180">
        <f t="shared" ref="BD229" si="2634">BB229+7</f>
        <v>46321</v>
      </c>
      <c r="BE229" s="180">
        <f t="shared" ref="BE229" si="2635">BD229+7</f>
        <v>46328</v>
      </c>
      <c r="BF229" s="180">
        <f t="shared" ref="BF229" si="2636">BE229+7</f>
        <v>46335</v>
      </c>
      <c r="BG229" s="180" t="s">
        <v>148</v>
      </c>
      <c r="BH229" s="180">
        <f t="shared" ref="BH229" si="2637">BF229+7</f>
        <v>46342</v>
      </c>
      <c r="BI229" s="180">
        <f t="shared" ref="BI229" si="2638">BH229+7</f>
        <v>46349</v>
      </c>
      <c r="BJ229" s="180">
        <f t="shared" ref="BJ229" si="2639">BI229+7</f>
        <v>46356</v>
      </c>
      <c r="BK229" s="180" t="s">
        <v>148</v>
      </c>
      <c r="BL229" s="180">
        <f t="shared" ref="BL229" si="2640">BJ229+7</f>
        <v>46363</v>
      </c>
      <c r="BM229" s="180">
        <f t="shared" ref="BM229" si="2641">BL229+7</f>
        <v>46370</v>
      </c>
      <c r="BN229" s="180">
        <f t="shared" ref="BN229" si="2642">BM229+7</f>
        <v>46377</v>
      </c>
      <c r="BO229" s="180" t="s">
        <v>149</v>
      </c>
      <c r="BP229" s="180">
        <f t="shared" ref="BP229" si="2643">BN229+7</f>
        <v>46384</v>
      </c>
      <c r="BQ229" s="180">
        <f t="shared" ref="BQ229" si="2644">BP229+7</f>
        <v>46391</v>
      </c>
      <c r="BR229" s="180">
        <f t="shared" ref="BR229" si="2645">BQ229+7</f>
        <v>46398</v>
      </c>
      <c r="BS229" s="180" t="s">
        <v>148</v>
      </c>
      <c r="BT229" s="180">
        <f t="shared" ref="BT229" si="2646">BR229+7</f>
        <v>46405</v>
      </c>
      <c r="BU229" s="180">
        <f t="shared" ref="BU229" si="2647">BT229+7</f>
        <v>46412</v>
      </c>
      <c r="BV229" s="180">
        <f t="shared" ref="BV229" si="2648">BU229+7</f>
        <v>46419</v>
      </c>
      <c r="BW229" s="180" t="s">
        <v>149</v>
      </c>
      <c r="BX229" s="180">
        <f t="shared" ref="BX229" si="2649">BV229+7</f>
        <v>46426</v>
      </c>
      <c r="BY229" s="180">
        <f t="shared" ref="BY229" si="2650">BX229+7</f>
        <v>46433</v>
      </c>
      <c r="BZ229" s="180">
        <f t="shared" ref="BZ229" si="2651">BY229+7</f>
        <v>46440</v>
      </c>
      <c r="CA229" s="180" t="s">
        <v>149</v>
      </c>
      <c r="CB229" s="180"/>
      <c r="CC229" s="180"/>
      <c r="CD229" s="180"/>
      <c r="CE229" s="180"/>
      <c r="CF229" s="180"/>
      <c r="CG229" s="180"/>
      <c r="CH229" s="180"/>
      <c r="CI229" s="180"/>
      <c r="CJ229" s="180"/>
      <c r="CK229" s="180"/>
      <c r="CL229" s="180"/>
      <c r="CM229" s="180"/>
      <c r="CN229" s="180"/>
      <c r="CO229" s="180"/>
      <c r="CP229" s="180"/>
      <c r="CQ229" s="180"/>
      <c r="CR229" s="180"/>
      <c r="CS229" s="180"/>
      <c r="CT229" s="180"/>
      <c r="CU229" s="180"/>
      <c r="CV229" s="180"/>
      <c r="CW229" s="180"/>
      <c r="CX229" s="180"/>
      <c r="CY229" s="180"/>
      <c r="CZ229" s="180"/>
      <c r="DA229" s="180"/>
      <c r="DB229" s="180"/>
      <c r="DC229" s="180"/>
      <c r="DD229" s="180"/>
      <c r="DE229" s="180"/>
      <c r="DF229" s="180"/>
      <c r="DG229" s="180"/>
      <c r="DH229" s="180"/>
      <c r="DI229" s="180"/>
      <c r="DJ229" s="180"/>
      <c r="DK229" s="180"/>
      <c r="DL229" s="180"/>
      <c r="DM229" s="180"/>
      <c r="DN229" s="180"/>
      <c r="DO229" s="180"/>
      <c r="DP229" s="180"/>
      <c r="DQ229" s="180"/>
      <c r="DR229" s="180"/>
      <c r="DS229" s="180"/>
      <c r="DT229" s="127">
        <v>46195</v>
      </c>
      <c r="DU229" s="127"/>
      <c r="DV229" s="125"/>
      <c r="DW229" s="125"/>
      <c r="DX229" s="125"/>
      <c r="DY229" s="125"/>
      <c r="DZ229" s="125"/>
      <c r="EA229" s="125"/>
      <c r="EB229" s="125"/>
      <c r="EC229" s="125"/>
      <c r="ED229" s="268"/>
      <c r="EE229" s="128"/>
      <c r="EF229" s="339"/>
      <c r="EG229" s="338"/>
      <c r="EH229" s="339"/>
    </row>
    <row r="230" spans="2:138" ht="27.75">
      <c r="B230" s="357"/>
      <c r="C230" s="359"/>
      <c r="D230" s="361"/>
      <c r="E230" s="359"/>
      <c r="F230" s="359"/>
      <c r="G230" s="359"/>
      <c r="H230" s="324" t="s">
        <v>150</v>
      </c>
      <c r="I230" s="169">
        <v>46084</v>
      </c>
      <c r="J230" s="324"/>
      <c r="K230" s="169">
        <v>46090</v>
      </c>
      <c r="L230" s="272" t="s">
        <v>148</v>
      </c>
      <c r="M230" s="202">
        <v>46104</v>
      </c>
      <c r="N230" s="169">
        <v>46111</v>
      </c>
      <c r="O230" s="324">
        <v>46118</v>
      </c>
      <c r="P230" s="169">
        <v>46125</v>
      </c>
      <c r="Q230" s="169">
        <v>46134</v>
      </c>
      <c r="R230" s="169">
        <v>46146</v>
      </c>
      <c r="S230" s="324">
        <v>46153</v>
      </c>
      <c r="T230" s="169">
        <v>46162</v>
      </c>
      <c r="U230" s="169">
        <v>46178</v>
      </c>
      <c r="V230" s="169">
        <v>46185</v>
      </c>
      <c r="W230" s="152">
        <v>46190</v>
      </c>
      <c r="X230" s="169"/>
      <c r="Y230" s="169"/>
      <c r="Z230" s="169"/>
      <c r="AA230" s="176"/>
      <c r="AB230" s="169"/>
      <c r="AC230" s="169"/>
      <c r="AD230" s="169"/>
      <c r="AE230" s="177"/>
      <c r="AF230" s="177"/>
      <c r="AG230" s="177"/>
      <c r="AH230" s="177"/>
      <c r="AI230" s="177"/>
      <c r="AJ230" s="177"/>
      <c r="AK230" s="177"/>
      <c r="AL230" s="177"/>
      <c r="AM230" s="177"/>
      <c r="AN230" s="177"/>
      <c r="AO230" s="177"/>
      <c r="AP230" s="177"/>
      <c r="AQ230" s="178"/>
      <c r="AR230" s="177"/>
      <c r="AS230" s="177"/>
      <c r="AT230" s="177"/>
      <c r="AU230" s="177"/>
      <c r="AV230" s="177"/>
      <c r="AW230" s="177"/>
      <c r="AX230" s="177"/>
      <c r="AY230" s="177"/>
      <c r="AZ230" s="179"/>
      <c r="BA230" s="179"/>
      <c r="BB230" s="179"/>
      <c r="BC230" s="177"/>
      <c r="BD230" s="177"/>
      <c r="BE230" s="177"/>
      <c r="BF230" s="177"/>
      <c r="BG230" s="177"/>
      <c r="BH230" s="177"/>
      <c r="BI230" s="177"/>
      <c r="BJ230" s="177"/>
      <c r="BK230" s="177"/>
      <c r="BL230" s="177"/>
      <c r="BM230" s="177"/>
      <c r="BN230" s="177"/>
      <c r="BO230" s="177"/>
      <c r="BP230" s="177"/>
      <c r="BQ230" s="177"/>
      <c r="BR230" s="177"/>
      <c r="BS230" s="177"/>
      <c r="BT230" s="177"/>
      <c r="BU230" s="177"/>
      <c r="BV230" s="177"/>
      <c r="BW230" s="177"/>
      <c r="BX230" s="177"/>
      <c r="BY230" s="177"/>
      <c r="BZ230" s="177"/>
      <c r="CA230" s="177"/>
      <c r="CB230" s="177"/>
      <c r="CC230" s="177"/>
      <c r="CD230" s="177"/>
      <c r="CE230" s="177"/>
      <c r="CF230" s="177"/>
      <c r="CG230" s="177"/>
      <c r="CH230" s="177"/>
      <c r="CI230" s="177"/>
      <c r="CJ230" s="177"/>
      <c r="CK230" s="177"/>
      <c r="CL230" s="177"/>
      <c r="CM230" s="177"/>
      <c r="CN230" s="177"/>
      <c r="CO230" s="177"/>
      <c r="CP230" s="177"/>
      <c r="CQ230" s="177"/>
      <c r="CR230" s="177"/>
      <c r="CS230" s="177"/>
      <c r="CT230" s="177"/>
      <c r="CU230" s="177"/>
      <c r="CV230" s="177"/>
      <c r="CW230" s="177"/>
      <c r="CX230" s="177"/>
      <c r="CY230" s="177"/>
      <c r="CZ230" s="177"/>
      <c r="DA230" s="177"/>
      <c r="DB230" s="177"/>
      <c r="DC230" s="177"/>
      <c r="DD230" s="177"/>
      <c r="DE230" s="177"/>
      <c r="DF230" s="177"/>
      <c r="DG230" s="177"/>
      <c r="DH230" s="177"/>
      <c r="DI230" s="177"/>
      <c r="DJ230" s="177"/>
      <c r="DK230" s="177"/>
      <c r="DL230" s="177"/>
      <c r="DM230" s="177"/>
      <c r="DN230" s="177"/>
      <c r="DO230" s="177"/>
      <c r="DP230" s="177"/>
      <c r="DQ230" s="177"/>
      <c r="DR230" s="177"/>
      <c r="DS230" s="177"/>
      <c r="DT230" s="28">
        <v>46195</v>
      </c>
      <c r="DU230" s="132"/>
      <c r="DV230" s="69"/>
      <c r="DW230" s="69"/>
      <c r="DX230" s="69"/>
      <c r="DY230" s="69"/>
      <c r="DZ230" s="69"/>
      <c r="EA230" s="69"/>
      <c r="EB230" s="69"/>
      <c r="EC230" s="69"/>
      <c r="ED230" s="22"/>
      <c r="EE230" s="22"/>
      <c r="EF230" s="339"/>
      <c r="EG230" s="338"/>
      <c r="EH230" s="338"/>
    </row>
    <row r="231" spans="2:138" s="119" customFormat="1" ht="31.15">
      <c r="B231" s="352" t="s">
        <v>419</v>
      </c>
      <c r="C231" s="340" t="s">
        <v>420</v>
      </c>
      <c r="D231" s="342" t="s">
        <v>242</v>
      </c>
      <c r="E231" s="340"/>
      <c r="F231" s="340" t="s">
        <v>229</v>
      </c>
      <c r="G231" s="340" t="s">
        <v>206</v>
      </c>
      <c r="H231" s="40" t="s">
        <v>147</v>
      </c>
      <c r="I231" s="31">
        <v>46084</v>
      </c>
      <c r="J231" s="94"/>
      <c r="K231" s="31"/>
      <c r="L231" s="233" t="s">
        <v>148</v>
      </c>
      <c r="M231" s="94">
        <f t="shared" ref="M231" si="2652">K231+7</f>
        <v>7</v>
      </c>
      <c r="N231" s="94">
        <f t="shared" ref="N231" si="2653">M231+7</f>
        <v>14</v>
      </c>
      <c r="O231" s="94" t="s">
        <v>149</v>
      </c>
      <c r="P231" s="94">
        <f t="shared" ref="P231" si="2654">N231+7</f>
        <v>21</v>
      </c>
      <c r="Q231" s="94">
        <f t="shared" ref="Q231" si="2655">P231+7</f>
        <v>28</v>
      </c>
      <c r="R231" s="94">
        <f t="shared" ref="R231" si="2656">Q231+7</f>
        <v>35</v>
      </c>
      <c r="S231" s="141" t="s">
        <v>149</v>
      </c>
      <c r="T231" s="141">
        <f t="shared" ref="T231" si="2657">R231+7</f>
        <v>42</v>
      </c>
      <c r="U231" s="141">
        <f t="shared" ref="U231" si="2658">T231+7</f>
        <v>49</v>
      </c>
      <c r="V231" s="141">
        <f t="shared" ref="V231" si="2659">U231+7</f>
        <v>56</v>
      </c>
      <c r="W231" s="141" t="s">
        <v>149</v>
      </c>
      <c r="X231" s="141">
        <f t="shared" ref="X231" si="2660">V231+7</f>
        <v>63</v>
      </c>
      <c r="Y231" s="141">
        <f t="shared" ref="Y231" si="2661">X231+7</f>
        <v>70</v>
      </c>
      <c r="Z231" s="141">
        <f t="shared" ref="Z231" si="2662">Y231+7</f>
        <v>77</v>
      </c>
      <c r="AA231" s="141" t="s">
        <v>149</v>
      </c>
      <c r="AB231" s="141">
        <f t="shared" ref="AB231" si="2663">Z231+7</f>
        <v>84</v>
      </c>
      <c r="AC231" s="141">
        <f t="shared" ref="AC231" si="2664">AB231+7</f>
        <v>91</v>
      </c>
      <c r="AD231" s="141">
        <f t="shared" ref="AD231" si="2665">AC231+7</f>
        <v>98</v>
      </c>
      <c r="AE231" s="141" t="s">
        <v>149</v>
      </c>
      <c r="AF231" s="141">
        <f t="shared" ref="AF231" si="2666">AD231+7</f>
        <v>105</v>
      </c>
      <c r="AG231" s="141">
        <f t="shared" ref="AG231" si="2667">AF231+7</f>
        <v>112</v>
      </c>
      <c r="AH231" s="141">
        <f t="shared" ref="AH231" si="2668">AG231+7</f>
        <v>119</v>
      </c>
      <c r="AI231" s="141" t="s">
        <v>149</v>
      </c>
      <c r="AJ231" s="141">
        <f t="shared" ref="AJ231" si="2669">AH231+7</f>
        <v>126</v>
      </c>
      <c r="AK231" s="141">
        <f t="shared" ref="AK231" si="2670">AJ231+7</f>
        <v>133</v>
      </c>
      <c r="AL231" s="141">
        <f t="shared" ref="AL231" si="2671">AK231+7</f>
        <v>140</v>
      </c>
      <c r="AM231" s="141" t="s">
        <v>149</v>
      </c>
      <c r="AN231" s="141">
        <f t="shared" ref="AN231" si="2672">AL231+7</f>
        <v>147</v>
      </c>
      <c r="AO231" s="141">
        <f t="shared" ref="AO231" si="2673">AN231+7</f>
        <v>154</v>
      </c>
      <c r="AP231" s="141">
        <f t="shared" ref="AP231" si="2674">AO231+7</f>
        <v>161</v>
      </c>
      <c r="AQ231" s="141" t="s">
        <v>149</v>
      </c>
      <c r="AR231" s="141">
        <f t="shared" ref="AR231" si="2675">AP231+7</f>
        <v>168</v>
      </c>
      <c r="AS231" s="141">
        <f t="shared" ref="AS231" si="2676">AR231+7</f>
        <v>175</v>
      </c>
      <c r="AT231" s="141">
        <f t="shared" ref="AT231" si="2677">AS231+7</f>
        <v>182</v>
      </c>
      <c r="AU231" s="141" t="s">
        <v>149</v>
      </c>
      <c r="AV231" s="141">
        <f t="shared" ref="AV231" si="2678">AT231+7</f>
        <v>189</v>
      </c>
      <c r="AW231" s="141">
        <f t="shared" ref="AW231" si="2679">AV231+7</f>
        <v>196</v>
      </c>
      <c r="AX231" s="141">
        <f t="shared" ref="AX231" si="2680">AW231+7</f>
        <v>203</v>
      </c>
      <c r="AY231" s="141" t="s">
        <v>149</v>
      </c>
      <c r="AZ231" s="141">
        <f t="shared" ref="AZ231" si="2681">AX231+7</f>
        <v>210</v>
      </c>
      <c r="BA231" s="141">
        <f t="shared" ref="BA231" si="2682">AZ231+7</f>
        <v>217</v>
      </c>
      <c r="BB231" s="141">
        <f t="shared" ref="BB231" si="2683">BA231+7</f>
        <v>224</v>
      </c>
      <c r="BC231" s="141" t="s">
        <v>149</v>
      </c>
      <c r="BD231" s="141">
        <f t="shared" ref="BD231" si="2684">BB231+7</f>
        <v>231</v>
      </c>
      <c r="BE231" s="141">
        <f t="shared" ref="BE231" si="2685">BD231+7</f>
        <v>238</v>
      </c>
      <c r="BF231" s="141">
        <f t="shared" ref="BF231" si="2686">BE231+7</f>
        <v>245</v>
      </c>
      <c r="BG231" s="141" t="s">
        <v>148</v>
      </c>
      <c r="BH231" s="141">
        <f t="shared" ref="BH231" si="2687">BF231+7</f>
        <v>252</v>
      </c>
      <c r="BI231" s="141">
        <f t="shared" ref="BI231" si="2688">BH231+7</f>
        <v>259</v>
      </c>
      <c r="BJ231" s="141">
        <f t="shared" ref="BJ231" si="2689">BI231+7</f>
        <v>266</v>
      </c>
      <c r="BK231" s="141" t="s">
        <v>148</v>
      </c>
      <c r="BL231" s="141">
        <f t="shared" ref="BL231" si="2690">BJ231+7</f>
        <v>273</v>
      </c>
      <c r="BM231" s="141">
        <f t="shared" ref="BM231" si="2691">BL231+7</f>
        <v>280</v>
      </c>
      <c r="BN231" s="141">
        <f t="shared" ref="BN231" si="2692">BM231+7</f>
        <v>287</v>
      </c>
      <c r="BO231" s="141" t="s">
        <v>149</v>
      </c>
      <c r="BP231" s="141">
        <f t="shared" ref="BP231" si="2693">BN231+7</f>
        <v>294</v>
      </c>
      <c r="BQ231" s="141">
        <f t="shared" ref="BQ231" si="2694">BP231+7</f>
        <v>301</v>
      </c>
      <c r="BR231" s="141">
        <f t="shared" ref="BR231" si="2695">BQ231+7</f>
        <v>308</v>
      </c>
      <c r="BS231" s="141" t="s">
        <v>148</v>
      </c>
      <c r="BT231" s="141">
        <f t="shared" ref="BT231" si="2696">BR231+7</f>
        <v>315</v>
      </c>
      <c r="BU231" s="141">
        <f t="shared" ref="BU231" si="2697">BT231+7</f>
        <v>322</v>
      </c>
      <c r="BV231" s="141">
        <f t="shared" ref="BV231" si="2698">BU231+7</f>
        <v>329</v>
      </c>
      <c r="BW231" s="141" t="s">
        <v>149</v>
      </c>
      <c r="BX231" s="141">
        <f t="shared" ref="BX231" si="2699">BV231+7</f>
        <v>336</v>
      </c>
      <c r="BY231" s="141">
        <f t="shared" ref="BY231" si="2700">BX231+7</f>
        <v>343</v>
      </c>
      <c r="BZ231" s="141">
        <f t="shared" ref="BZ231" si="2701">BY231+7</f>
        <v>350</v>
      </c>
      <c r="CA231" s="141" t="s">
        <v>149</v>
      </c>
      <c r="CB231" s="141"/>
      <c r="CC231" s="141"/>
      <c r="CD231" s="141"/>
      <c r="CE231" s="141"/>
      <c r="CF231" s="141"/>
      <c r="CG231" s="141"/>
      <c r="CH231" s="141"/>
      <c r="CI231" s="141"/>
      <c r="CJ231" s="141"/>
      <c r="CK231" s="141"/>
      <c r="CL231" s="141"/>
      <c r="CM231" s="141"/>
      <c r="CN231" s="141"/>
      <c r="CO231" s="141"/>
      <c r="CP231" s="141"/>
      <c r="CQ231" s="141"/>
      <c r="CR231" s="141"/>
      <c r="CS231" s="141"/>
      <c r="CT231" s="141"/>
      <c r="CU231" s="141"/>
      <c r="CV231" s="141"/>
      <c r="CW231" s="141"/>
      <c r="CX231" s="141"/>
      <c r="CY231" s="141"/>
      <c r="CZ231" s="141"/>
      <c r="DA231" s="141"/>
      <c r="DB231" s="141"/>
      <c r="DC231" s="141"/>
      <c r="DD231" s="141"/>
      <c r="DE231" s="141"/>
      <c r="DF231" s="141"/>
      <c r="DG231" s="141"/>
      <c r="DH231" s="141"/>
      <c r="DI231" s="141"/>
      <c r="DJ231" s="141"/>
      <c r="DK231" s="141"/>
      <c r="DL231" s="141"/>
      <c r="DM231" s="141"/>
      <c r="DN231" s="141"/>
      <c r="DO231" s="141"/>
      <c r="DP231" s="141"/>
      <c r="DQ231" s="141"/>
      <c r="DR231" s="141"/>
      <c r="DS231" s="141"/>
      <c r="DT231" s="141"/>
      <c r="DU231" s="141"/>
      <c r="DV231" s="40"/>
      <c r="DW231" s="40"/>
      <c r="DX231" s="40"/>
      <c r="DY231" s="40"/>
      <c r="DZ231" s="40"/>
      <c r="EA231" s="40"/>
      <c r="EB231" s="40"/>
      <c r="EC231" s="40"/>
      <c r="ED231" s="267"/>
      <c r="EE231" s="35"/>
      <c r="EF231" s="344"/>
      <c r="EG231" s="345"/>
      <c r="EH231" s="344"/>
    </row>
    <row r="232" spans="2:138" s="119" customFormat="1" ht="31.15">
      <c r="B232" s="353"/>
      <c r="C232" s="341"/>
      <c r="D232" s="343"/>
      <c r="E232" s="341"/>
      <c r="F232" s="341"/>
      <c r="G232" s="341"/>
      <c r="H232" s="325" t="s">
        <v>150</v>
      </c>
      <c r="I232" s="112">
        <v>46084</v>
      </c>
      <c r="J232" s="325"/>
      <c r="K232" s="112"/>
      <c r="L232" s="275" t="s">
        <v>148</v>
      </c>
      <c r="M232" s="195"/>
      <c r="N232" s="112"/>
      <c r="O232" s="325"/>
      <c r="P232" s="112"/>
      <c r="Q232" s="112"/>
      <c r="R232" s="112"/>
      <c r="S232" s="325"/>
      <c r="T232" s="112"/>
      <c r="U232" s="112"/>
      <c r="V232" s="112"/>
      <c r="W232" s="46"/>
      <c r="X232" s="112"/>
      <c r="Y232" s="112"/>
      <c r="Z232" s="112"/>
      <c r="AA232" s="142"/>
      <c r="AB232" s="112"/>
      <c r="AC232" s="112"/>
      <c r="AD232" s="112"/>
      <c r="AE232" s="333"/>
      <c r="AF232" s="333"/>
      <c r="AG232" s="333"/>
      <c r="AH232" s="333"/>
      <c r="AI232" s="333"/>
      <c r="AJ232" s="333"/>
      <c r="AK232" s="333"/>
      <c r="AL232" s="333"/>
      <c r="AM232" s="333"/>
      <c r="AN232" s="333"/>
      <c r="AO232" s="333"/>
      <c r="AP232" s="333"/>
      <c r="AQ232" s="329"/>
      <c r="AR232" s="333"/>
      <c r="AS232" s="333"/>
      <c r="AT232" s="333"/>
      <c r="AU232" s="333"/>
      <c r="AV232" s="333"/>
      <c r="AW232" s="333"/>
      <c r="AX232" s="333"/>
      <c r="AY232" s="333"/>
      <c r="AZ232" s="143"/>
      <c r="BA232" s="143"/>
      <c r="BB232" s="143"/>
      <c r="BC232" s="333"/>
      <c r="BD232" s="333"/>
      <c r="BE232" s="333"/>
      <c r="BF232" s="333"/>
      <c r="BG232" s="333"/>
      <c r="BH232" s="333"/>
      <c r="BI232" s="333"/>
      <c r="BJ232" s="333"/>
      <c r="BK232" s="333"/>
      <c r="BL232" s="333"/>
      <c r="BM232" s="333"/>
      <c r="BN232" s="333"/>
      <c r="BO232" s="333"/>
      <c r="BP232" s="333"/>
      <c r="BQ232" s="333"/>
      <c r="BR232" s="333"/>
      <c r="BS232" s="333"/>
      <c r="BT232" s="333"/>
      <c r="BU232" s="333"/>
      <c r="BV232" s="333"/>
      <c r="BW232" s="333"/>
      <c r="BX232" s="333"/>
      <c r="BY232" s="333"/>
      <c r="BZ232" s="333"/>
      <c r="CA232" s="333"/>
      <c r="CB232" s="333"/>
      <c r="CC232" s="333"/>
      <c r="CD232" s="333"/>
      <c r="CE232" s="333"/>
      <c r="CF232" s="333"/>
      <c r="CG232" s="333"/>
      <c r="CH232" s="333"/>
      <c r="CI232" s="333"/>
      <c r="CJ232" s="333"/>
      <c r="CK232" s="333"/>
      <c r="CL232" s="333"/>
      <c r="CM232" s="333"/>
      <c r="CN232" s="333"/>
      <c r="CO232" s="333"/>
      <c r="CP232" s="333"/>
      <c r="CQ232" s="333"/>
      <c r="CR232" s="333"/>
      <c r="CS232" s="333"/>
      <c r="CT232" s="333"/>
      <c r="CU232" s="333"/>
      <c r="CV232" s="333"/>
      <c r="CW232" s="333"/>
      <c r="CX232" s="333"/>
      <c r="CY232" s="333"/>
      <c r="CZ232" s="333"/>
      <c r="DA232" s="333"/>
      <c r="DB232" s="333"/>
      <c r="DC232" s="333"/>
      <c r="DD232" s="333"/>
      <c r="DE232" s="333"/>
      <c r="DF232" s="333"/>
      <c r="DG232" s="333"/>
      <c r="DH232" s="333"/>
      <c r="DI232" s="333"/>
      <c r="DJ232" s="333"/>
      <c r="DK232" s="333"/>
      <c r="DL232" s="333"/>
      <c r="DM232" s="333"/>
      <c r="DN232" s="333"/>
      <c r="DO232" s="333"/>
      <c r="DP232" s="333"/>
      <c r="DQ232" s="333"/>
      <c r="DR232" s="333"/>
      <c r="DS232" s="333"/>
      <c r="DT232" s="333"/>
      <c r="DU232" s="334"/>
      <c r="DV232" s="46"/>
      <c r="DW232" s="46"/>
      <c r="DX232" s="46"/>
      <c r="DY232" s="46"/>
      <c r="DZ232" s="46"/>
      <c r="EA232" s="46"/>
      <c r="EB232" s="46"/>
      <c r="EC232" s="46"/>
      <c r="ED232" s="142"/>
      <c r="EE232" s="142"/>
      <c r="EF232" s="344"/>
      <c r="EG232" s="345"/>
      <c r="EH232" s="345"/>
    </row>
    <row r="233" spans="2:138" ht="31.15">
      <c r="B233" s="346" t="s">
        <v>409</v>
      </c>
      <c r="C233" s="348" t="s">
        <v>421</v>
      </c>
      <c r="D233" s="350" t="s">
        <v>242</v>
      </c>
      <c r="E233" s="348" t="s">
        <v>405</v>
      </c>
      <c r="F233" s="348" t="s">
        <v>315</v>
      </c>
      <c r="G233" s="348" t="s">
        <v>206</v>
      </c>
      <c r="H233" s="125" t="s">
        <v>147</v>
      </c>
      <c r="I233" s="12">
        <v>46104</v>
      </c>
      <c r="J233" s="126"/>
      <c r="K233" s="12">
        <v>46114</v>
      </c>
      <c r="L233" s="269" t="s">
        <v>148</v>
      </c>
      <c r="M233" s="126">
        <f t="shared" ref="M233" si="2702">K233+7</f>
        <v>46121</v>
      </c>
      <c r="N233" s="126">
        <f t="shared" ref="N233" si="2703">M233+7</f>
        <v>46128</v>
      </c>
      <c r="O233" s="126" t="s">
        <v>149</v>
      </c>
      <c r="P233" s="126">
        <f t="shared" ref="P233" si="2704">N233+7</f>
        <v>46135</v>
      </c>
      <c r="Q233" s="126">
        <f t="shared" ref="Q233" si="2705">P233+7</f>
        <v>46142</v>
      </c>
      <c r="R233" s="126">
        <f t="shared" ref="R233" si="2706">Q233+7</f>
        <v>46149</v>
      </c>
      <c r="S233" s="127" t="s">
        <v>149</v>
      </c>
      <c r="T233" s="127">
        <f t="shared" ref="T233" si="2707">R233+7</f>
        <v>46156</v>
      </c>
      <c r="U233" s="127">
        <f t="shared" ref="U233" si="2708">T233+7</f>
        <v>46163</v>
      </c>
      <c r="V233" s="127">
        <f t="shared" ref="V233" si="2709">U233+7</f>
        <v>46170</v>
      </c>
      <c r="W233" s="127" t="s">
        <v>149</v>
      </c>
      <c r="X233" s="127">
        <f t="shared" ref="X233" si="2710">V233+7</f>
        <v>46177</v>
      </c>
      <c r="Y233" s="127">
        <f t="shared" ref="Y233" si="2711">X233+7</f>
        <v>46184</v>
      </c>
      <c r="Z233" s="127">
        <f t="shared" ref="Z233" si="2712">Y233+7</f>
        <v>46191</v>
      </c>
      <c r="AA233" s="127" t="s">
        <v>149</v>
      </c>
      <c r="AB233" s="127">
        <f t="shared" ref="AB233" si="2713">Z233+7</f>
        <v>46198</v>
      </c>
      <c r="AC233" s="127">
        <f t="shared" ref="AC233" si="2714">AB233+7</f>
        <v>46205</v>
      </c>
      <c r="AD233" s="127">
        <f t="shared" ref="AD233" si="2715">AC233+7</f>
        <v>46212</v>
      </c>
      <c r="AE233" s="127" t="s">
        <v>149</v>
      </c>
      <c r="AF233" s="127">
        <f t="shared" ref="AF233" si="2716">AD233+7</f>
        <v>46219</v>
      </c>
      <c r="AG233" s="127">
        <f t="shared" ref="AG233" si="2717">AF233+7</f>
        <v>46226</v>
      </c>
      <c r="AH233" s="127">
        <f t="shared" ref="AH233" si="2718">AG233+7</f>
        <v>46233</v>
      </c>
      <c r="AI233" s="127" t="s">
        <v>149</v>
      </c>
      <c r="AJ233" s="127">
        <f t="shared" ref="AJ233" si="2719">AH233+7</f>
        <v>46240</v>
      </c>
      <c r="AK233" s="127">
        <f t="shared" ref="AK233" si="2720">AJ233+7</f>
        <v>46247</v>
      </c>
      <c r="AL233" s="127">
        <f t="shared" ref="AL233" si="2721">AK233+7</f>
        <v>46254</v>
      </c>
      <c r="AM233" s="127" t="s">
        <v>149</v>
      </c>
      <c r="AN233" s="127">
        <f t="shared" ref="AN233" si="2722">AL233+7</f>
        <v>46261</v>
      </c>
      <c r="AO233" s="127">
        <f t="shared" ref="AO233" si="2723">AN233+7</f>
        <v>46268</v>
      </c>
      <c r="AP233" s="127">
        <f t="shared" ref="AP233" si="2724">AO233+7</f>
        <v>46275</v>
      </c>
      <c r="AQ233" s="127" t="s">
        <v>149</v>
      </c>
      <c r="AR233" s="127">
        <f t="shared" ref="AR233" si="2725">AP233+7</f>
        <v>46282</v>
      </c>
      <c r="AS233" s="127">
        <f t="shared" ref="AS233" si="2726">AR233+7</f>
        <v>46289</v>
      </c>
      <c r="AT233" s="127">
        <f t="shared" ref="AT233" si="2727">AS233+7</f>
        <v>46296</v>
      </c>
      <c r="AU233" s="127" t="s">
        <v>149</v>
      </c>
      <c r="AV233" s="127">
        <f t="shared" ref="AV233" si="2728">AT233+7</f>
        <v>46303</v>
      </c>
      <c r="AW233" s="127">
        <f t="shared" ref="AW233" si="2729">AV233+7</f>
        <v>46310</v>
      </c>
      <c r="AX233" s="127">
        <f t="shared" ref="AX233" si="2730">AW233+7</f>
        <v>46317</v>
      </c>
      <c r="AY233" s="127" t="s">
        <v>149</v>
      </c>
      <c r="AZ233" s="127">
        <f t="shared" ref="AZ233" si="2731">AX233+7</f>
        <v>46324</v>
      </c>
      <c r="BA233" s="127">
        <f t="shared" ref="BA233" si="2732">AZ233+7</f>
        <v>46331</v>
      </c>
      <c r="BB233" s="127">
        <f t="shared" ref="BB233" si="2733">BA233+7</f>
        <v>46338</v>
      </c>
      <c r="BC233" s="127" t="s">
        <v>149</v>
      </c>
      <c r="BD233" s="127">
        <f t="shared" ref="BD233" si="2734">BB233+7</f>
        <v>46345</v>
      </c>
      <c r="BE233" s="127">
        <f t="shared" ref="BE233" si="2735">BD233+7</f>
        <v>46352</v>
      </c>
      <c r="BF233" s="127">
        <f t="shared" ref="BF233" si="2736">BE233+7</f>
        <v>46359</v>
      </c>
      <c r="BG233" s="127" t="s">
        <v>148</v>
      </c>
      <c r="BH233" s="127">
        <f t="shared" ref="BH233" si="2737">BF233+7</f>
        <v>46366</v>
      </c>
      <c r="BI233" s="127">
        <f t="shared" ref="BI233" si="2738">BH233+7</f>
        <v>46373</v>
      </c>
      <c r="BJ233" s="127">
        <f t="shared" ref="BJ233" si="2739">BI233+7</f>
        <v>46380</v>
      </c>
      <c r="BK233" s="127" t="s">
        <v>148</v>
      </c>
      <c r="BL233" s="127">
        <f t="shared" ref="BL233" si="2740">BJ233+7</f>
        <v>46387</v>
      </c>
      <c r="BM233" s="127">
        <f t="shared" ref="BM233" si="2741">BL233+7</f>
        <v>46394</v>
      </c>
      <c r="BN233" s="127">
        <f t="shared" ref="BN233" si="2742">BM233+7</f>
        <v>46401</v>
      </c>
      <c r="BO233" s="127" t="s">
        <v>149</v>
      </c>
      <c r="BP233" s="127">
        <f t="shared" ref="BP233" si="2743">BN233+7</f>
        <v>46408</v>
      </c>
      <c r="BQ233" s="127">
        <f t="shared" ref="BQ233" si="2744">BP233+7</f>
        <v>46415</v>
      </c>
      <c r="BR233" s="127">
        <f t="shared" ref="BR233" si="2745">BQ233+7</f>
        <v>46422</v>
      </c>
      <c r="BS233" s="127" t="s">
        <v>148</v>
      </c>
      <c r="BT233" s="127">
        <f t="shared" ref="BT233" si="2746">BR233+7</f>
        <v>46429</v>
      </c>
      <c r="BU233" s="127">
        <f t="shared" ref="BU233" si="2747">BT233+7</f>
        <v>46436</v>
      </c>
      <c r="BV233" s="127">
        <f t="shared" ref="BV233" si="2748">BU233+7</f>
        <v>46443</v>
      </c>
      <c r="BW233" s="127" t="s">
        <v>149</v>
      </c>
      <c r="BX233" s="127">
        <f t="shared" ref="BX233" si="2749">BV233+7</f>
        <v>46450</v>
      </c>
      <c r="BY233" s="127">
        <f t="shared" ref="BY233" si="2750">BX233+7</f>
        <v>46457</v>
      </c>
      <c r="BZ233" s="127">
        <f t="shared" ref="BZ233" si="2751">BY233+7</f>
        <v>46464</v>
      </c>
      <c r="CA233" s="127" t="s">
        <v>149</v>
      </c>
      <c r="CB233" s="127"/>
      <c r="CC233" s="127"/>
      <c r="CD233" s="127"/>
      <c r="CE233" s="127"/>
      <c r="CF233" s="127"/>
      <c r="CG233" s="127"/>
      <c r="CH233" s="127"/>
      <c r="CI233" s="127"/>
      <c r="CJ233" s="127"/>
      <c r="CK233" s="127"/>
      <c r="CL233" s="127"/>
      <c r="CM233" s="127"/>
      <c r="CN233" s="127"/>
      <c r="CO233" s="127"/>
      <c r="CP233" s="127"/>
      <c r="CQ233" s="127"/>
      <c r="CR233" s="127"/>
      <c r="CS233" s="127"/>
      <c r="CT233" s="127"/>
      <c r="CU233" s="127"/>
      <c r="CV233" s="127"/>
      <c r="CW233" s="127"/>
      <c r="CX233" s="127"/>
      <c r="CY233" s="127"/>
      <c r="CZ233" s="127"/>
      <c r="DA233" s="127"/>
      <c r="DB233" s="127"/>
      <c r="DC233" s="127"/>
      <c r="DD233" s="127"/>
      <c r="DE233" s="127"/>
      <c r="DF233" s="127"/>
      <c r="DG233" s="127"/>
      <c r="DH233" s="127"/>
      <c r="DI233" s="127"/>
      <c r="DJ233" s="127"/>
      <c r="DK233" s="127"/>
      <c r="DL233" s="127"/>
      <c r="DM233" s="127"/>
      <c r="DN233" s="127"/>
      <c r="DO233" s="127"/>
      <c r="DP233" s="127"/>
      <c r="DQ233" s="127"/>
      <c r="DR233" s="127"/>
      <c r="DS233" s="127"/>
      <c r="DT233" s="127"/>
      <c r="DU233" s="127"/>
      <c r="DV233" s="125"/>
      <c r="DW233" s="125"/>
      <c r="DX233" s="125"/>
      <c r="DY233" s="125"/>
      <c r="DZ233" s="125"/>
      <c r="EA233" s="125"/>
      <c r="EB233" s="125"/>
      <c r="EC233" s="125"/>
      <c r="ED233" s="268"/>
      <c r="EE233" s="128"/>
      <c r="EF233" s="339"/>
      <c r="EG233" s="338"/>
      <c r="EH233" s="339"/>
    </row>
    <row r="234" spans="2:138" ht="27.75">
      <c r="B234" s="347"/>
      <c r="C234" s="349"/>
      <c r="D234" s="351"/>
      <c r="E234" s="349"/>
      <c r="F234" s="349"/>
      <c r="G234" s="349"/>
      <c r="H234" s="320" t="s">
        <v>150</v>
      </c>
      <c r="I234" s="113">
        <v>46104</v>
      </c>
      <c r="J234" s="320"/>
      <c r="K234" s="113">
        <v>46114</v>
      </c>
      <c r="L234" s="271" t="s">
        <v>148</v>
      </c>
      <c r="M234" s="194">
        <v>46121</v>
      </c>
      <c r="N234" s="113">
        <v>46128</v>
      </c>
      <c r="O234" s="320" t="s">
        <v>148</v>
      </c>
      <c r="P234" s="113">
        <v>46135</v>
      </c>
      <c r="Q234" s="113">
        <v>46142</v>
      </c>
      <c r="R234" s="113">
        <v>46149</v>
      </c>
      <c r="S234" s="320" t="s">
        <v>148</v>
      </c>
      <c r="T234" s="113">
        <v>46156</v>
      </c>
      <c r="U234" s="113">
        <v>46163</v>
      </c>
      <c r="V234" s="113">
        <v>46170</v>
      </c>
      <c r="W234" s="69" t="s">
        <v>148</v>
      </c>
      <c r="X234" s="113">
        <v>46177</v>
      </c>
      <c r="Y234" s="113">
        <v>46183</v>
      </c>
      <c r="Z234" s="113">
        <v>46189</v>
      </c>
      <c r="AA234" s="22" t="s">
        <v>149</v>
      </c>
      <c r="AB234" s="113">
        <v>46196</v>
      </c>
      <c r="AC234" s="113">
        <v>46203</v>
      </c>
      <c r="AD234" s="113">
        <v>46210</v>
      </c>
      <c r="AE234" s="28" t="s">
        <v>149</v>
      </c>
      <c r="AF234" s="28">
        <v>46217</v>
      </c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323"/>
      <c r="AR234" s="28"/>
      <c r="AS234" s="28"/>
      <c r="AT234" s="28"/>
      <c r="AU234" s="28"/>
      <c r="AV234" s="28"/>
      <c r="AW234" s="28"/>
      <c r="AX234" s="28"/>
      <c r="AY234" s="28"/>
      <c r="AZ234" s="122"/>
      <c r="BA234" s="122"/>
      <c r="BB234" s="122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W234" s="28"/>
      <c r="BX234" s="28"/>
      <c r="BY234" s="28"/>
      <c r="BZ234" s="28"/>
      <c r="CA234" s="28"/>
      <c r="CB234" s="28"/>
      <c r="CC234" s="28"/>
      <c r="CD234" s="28"/>
      <c r="CE234" s="28"/>
      <c r="CF234" s="28"/>
      <c r="CG234" s="28"/>
      <c r="CH234" s="28"/>
      <c r="CI234" s="28"/>
      <c r="CJ234" s="28"/>
      <c r="CK234" s="28"/>
      <c r="CL234" s="28"/>
      <c r="CM234" s="28"/>
      <c r="CN234" s="28"/>
      <c r="CO234" s="28"/>
      <c r="CP234" s="28"/>
      <c r="CQ234" s="28"/>
      <c r="CR234" s="28"/>
      <c r="CS234" s="28"/>
      <c r="CT234" s="28"/>
      <c r="CU234" s="28"/>
      <c r="CV234" s="28"/>
      <c r="CW234" s="28"/>
      <c r="CX234" s="28"/>
      <c r="CY234" s="28"/>
      <c r="CZ234" s="28"/>
      <c r="DA234" s="28"/>
      <c r="DB234" s="28"/>
      <c r="DC234" s="28"/>
      <c r="DD234" s="28"/>
      <c r="DE234" s="28"/>
      <c r="DF234" s="28"/>
      <c r="DG234" s="28"/>
      <c r="DH234" s="28"/>
      <c r="DI234" s="28"/>
      <c r="DJ234" s="28"/>
      <c r="DK234" s="28"/>
      <c r="DL234" s="28"/>
      <c r="DM234" s="28"/>
      <c r="DN234" s="28"/>
      <c r="DO234" s="28"/>
      <c r="DP234" s="28"/>
      <c r="DQ234" s="28"/>
      <c r="DR234" s="28"/>
      <c r="DS234" s="28"/>
      <c r="DT234" s="28"/>
      <c r="DU234" s="132"/>
      <c r="DV234" s="69"/>
      <c r="DW234" s="69"/>
      <c r="DX234" s="69"/>
      <c r="DY234" s="69"/>
      <c r="DZ234" s="69"/>
      <c r="EA234" s="69"/>
      <c r="EB234" s="69"/>
      <c r="EC234" s="69"/>
      <c r="ED234" s="22"/>
      <c r="EE234" s="22"/>
      <c r="EF234" s="339"/>
      <c r="EG234" s="338"/>
      <c r="EH234" s="338"/>
    </row>
    <row r="235" spans="2:138" s="119" customFormat="1" ht="31.15">
      <c r="B235" s="352" t="s">
        <v>422</v>
      </c>
      <c r="C235" s="340" t="s">
        <v>423</v>
      </c>
      <c r="D235" s="342" t="s">
        <v>363</v>
      </c>
      <c r="E235" s="340" t="s">
        <v>364</v>
      </c>
      <c r="F235" s="340" t="s">
        <v>229</v>
      </c>
      <c r="G235" s="340" t="s">
        <v>206</v>
      </c>
      <c r="H235" s="40" t="s">
        <v>147</v>
      </c>
      <c r="I235" s="31">
        <v>46092</v>
      </c>
      <c r="J235" s="94"/>
      <c r="K235" s="233"/>
      <c r="L235" s="233" t="s">
        <v>148</v>
      </c>
      <c r="M235" s="94">
        <v>45849</v>
      </c>
      <c r="N235" s="94">
        <f t="shared" ref="N235" si="2752">M235+7</f>
        <v>45856</v>
      </c>
      <c r="O235" s="94" t="s">
        <v>149</v>
      </c>
      <c r="P235" s="94">
        <f t="shared" ref="P235" si="2753">N235+7</f>
        <v>45863</v>
      </c>
      <c r="Q235" s="94">
        <f t="shared" ref="Q235" si="2754">P235+7</f>
        <v>45870</v>
      </c>
      <c r="R235" s="94">
        <f t="shared" ref="R235" si="2755">Q235+7</f>
        <v>45877</v>
      </c>
      <c r="S235" s="141" t="s">
        <v>149</v>
      </c>
      <c r="T235" s="141">
        <f t="shared" ref="T235" si="2756">R235+7</f>
        <v>45884</v>
      </c>
      <c r="U235" s="141">
        <f t="shared" ref="U235" si="2757">T235+7</f>
        <v>45891</v>
      </c>
      <c r="V235" s="141">
        <f t="shared" ref="V235" si="2758">U235+7</f>
        <v>45898</v>
      </c>
      <c r="W235" s="141" t="s">
        <v>149</v>
      </c>
      <c r="X235" s="141">
        <f t="shared" ref="X235" si="2759">V235+7</f>
        <v>45905</v>
      </c>
      <c r="Y235" s="141">
        <f t="shared" ref="Y235" si="2760">X235+7</f>
        <v>45912</v>
      </c>
      <c r="Z235" s="141">
        <f t="shared" ref="Z235" si="2761">Y235+7</f>
        <v>45919</v>
      </c>
      <c r="AA235" s="141" t="s">
        <v>149</v>
      </c>
      <c r="AB235" s="141">
        <f t="shared" ref="AB235" si="2762">Z235+7</f>
        <v>45926</v>
      </c>
      <c r="AC235" s="141">
        <f t="shared" ref="AC235" si="2763">AB235+7</f>
        <v>45933</v>
      </c>
      <c r="AD235" s="141">
        <f t="shared" ref="AD235" si="2764">AC235+7</f>
        <v>45940</v>
      </c>
      <c r="AE235" s="141" t="s">
        <v>149</v>
      </c>
      <c r="AF235" s="141">
        <f t="shared" ref="AF235" si="2765">AD235+7</f>
        <v>45947</v>
      </c>
      <c r="AG235" s="141">
        <f t="shared" ref="AG235" si="2766">AF235+7</f>
        <v>45954</v>
      </c>
      <c r="AH235" s="141">
        <f t="shared" ref="AH235" si="2767">AG235+7</f>
        <v>45961</v>
      </c>
      <c r="AI235" s="141" t="s">
        <v>149</v>
      </c>
      <c r="AJ235" s="141">
        <f t="shared" ref="AJ235" si="2768">AH235+7</f>
        <v>45968</v>
      </c>
      <c r="AK235" s="141">
        <f t="shared" ref="AK235" si="2769">AJ235+7</f>
        <v>45975</v>
      </c>
      <c r="AL235" s="141">
        <f t="shared" ref="AL235" si="2770">AK235+7</f>
        <v>45982</v>
      </c>
      <c r="AM235" s="141" t="s">
        <v>149</v>
      </c>
      <c r="AN235" s="141">
        <f t="shared" ref="AN235" si="2771">AL235+7</f>
        <v>45989</v>
      </c>
      <c r="AO235" s="141">
        <f t="shared" ref="AO235" si="2772">AN235+7</f>
        <v>45996</v>
      </c>
      <c r="AP235" s="141">
        <f t="shared" ref="AP235" si="2773">AO235+7</f>
        <v>46003</v>
      </c>
      <c r="AQ235" s="141" t="s">
        <v>149</v>
      </c>
      <c r="AR235" s="141">
        <f t="shared" ref="AR235" si="2774">AP235+7</f>
        <v>46010</v>
      </c>
      <c r="AS235" s="141">
        <f t="shared" ref="AS235" si="2775">AR235+7</f>
        <v>46017</v>
      </c>
      <c r="AT235" s="141">
        <f t="shared" ref="AT235" si="2776">AS235+7</f>
        <v>46024</v>
      </c>
      <c r="AU235" s="141" t="s">
        <v>149</v>
      </c>
      <c r="AV235" s="141">
        <f t="shared" ref="AV235" si="2777">AT235+7</f>
        <v>46031</v>
      </c>
      <c r="AW235" s="141">
        <f t="shared" ref="AW235" si="2778">AV235+7</f>
        <v>46038</v>
      </c>
      <c r="AX235" s="141">
        <f t="shared" ref="AX235" si="2779">AW235+7</f>
        <v>46045</v>
      </c>
      <c r="AY235" s="141" t="s">
        <v>149</v>
      </c>
      <c r="AZ235" s="141">
        <f t="shared" ref="AZ235" si="2780">AX235+7</f>
        <v>46052</v>
      </c>
      <c r="BA235" s="141">
        <f t="shared" ref="BA235" si="2781">AZ235+7</f>
        <v>46059</v>
      </c>
      <c r="BB235" s="141">
        <f t="shared" ref="BB235" si="2782">BA235+7</f>
        <v>46066</v>
      </c>
      <c r="BC235" s="141" t="s">
        <v>149</v>
      </c>
      <c r="BD235" s="141">
        <f t="shared" ref="BD235" si="2783">BB235+7</f>
        <v>46073</v>
      </c>
      <c r="BE235" s="141">
        <f t="shared" ref="BE235" si="2784">BD235+7</f>
        <v>46080</v>
      </c>
      <c r="BF235" s="141">
        <f t="shared" ref="BF235" si="2785">BE235+7</f>
        <v>46087</v>
      </c>
      <c r="BG235" s="141" t="s">
        <v>148</v>
      </c>
      <c r="BH235" s="141">
        <f t="shared" ref="BH235" si="2786">BF235+7</f>
        <v>46094</v>
      </c>
      <c r="BI235" s="141">
        <f t="shared" ref="BI235" si="2787">BH235+7</f>
        <v>46101</v>
      </c>
      <c r="BJ235" s="141">
        <f t="shared" ref="BJ235" si="2788">BI235+7</f>
        <v>46108</v>
      </c>
      <c r="BK235" s="141" t="s">
        <v>148</v>
      </c>
      <c r="BL235" s="141">
        <f t="shared" ref="BL235" si="2789">BJ235+7</f>
        <v>46115</v>
      </c>
      <c r="BM235" s="141">
        <f t="shared" ref="BM235" si="2790">BL235+7</f>
        <v>46122</v>
      </c>
      <c r="BN235" s="141">
        <f t="shared" ref="BN235" si="2791">BM235+7</f>
        <v>46129</v>
      </c>
      <c r="BO235" s="141" t="s">
        <v>149</v>
      </c>
      <c r="BP235" s="141">
        <f t="shared" ref="BP235" si="2792">BN235+7</f>
        <v>46136</v>
      </c>
      <c r="BQ235" s="141">
        <f t="shared" ref="BQ235" si="2793">BP235+7</f>
        <v>46143</v>
      </c>
      <c r="BR235" s="141">
        <f t="shared" ref="BR235" si="2794">BQ235+7</f>
        <v>46150</v>
      </c>
      <c r="BS235" s="141" t="s">
        <v>148</v>
      </c>
      <c r="BT235" s="141">
        <f t="shared" ref="BT235" si="2795">BR235+7</f>
        <v>46157</v>
      </c>
      <c r="BU235" s="141">
        <f t="shared" ref="BU235" si="2796">BT235+7</f>
        <v>46164</v>
      </c>
      <c r="BV235" s="141">
        <f t="shared" ref="BV235" si="2797">BU235+7</f>
        <v>46171</v>
      </c>
      <c r="BW235" s="141" t="s">
        <v>149</v>
      </c>
      <c r="BX235" s="141">
        <f t="shared" ref="BX235" si="2798">BV235+7</f>
        <v>46178</v>
      </c>
      <c r="BY235" s="141">
        <f t="shared" ref="BY235" si="2799">BX235+7</f>
        <v>46185</v>
      </c>
      <c r="BZ235" s="141">
        <f t="shared" ref="BZ235" si="2800">BY235+7</f>
        <v>46192</v>
      </c>
      <c r="CA235" s="141" t="s">
        <v>149</v>
      </c>
      <c r="CB235" s="141"/>
      <c r="CC235" s="141"/>
      <c r="CD235" s="141"/>
      <c r="CE235" s="141"/>
      <c r="CF235" s="141"/>
      <c r="CG235" s="141"/>
      <c r="CH235" s="141"/>
      <c r="CI235" s="141"/>
      <c r="CJ235" s="141"/>
      <c r="CK235" s="141"/>
      <c r="CL235" s="141"/>
      <c r="CM235" s="141"/>
      <c r="CN235" s="141"/>
      <c r="CO235" s="141"/>
      <c r="CP235" s="141"/>
      <c r="CQ235" s="141"/>
      <c r="CR235" s="141"/>
      <c r="CS235" s="141"/>
      <c r="CT235" s="141"/>
      <c r="CU235" s="141"/>
      <c r="CV235" s="141"/>
      <c r="CW235" s="141"/>
      <c r="CX235" s="141"/>
      <c r="CY235" s="141"/>
      <c r="CZ235" s="141"/>
      <c r="DA235" s="141"/>
      <c r="DB235" s="141"/>
      <c r="DC235" s="141"/>
      <c r="DD235" s="141"/>
      <c r="DE235" s="141"/>
      <c r="DF235" s="141"/>
      <c r="DG235" s="141"/>
      <c r="DH235" s="141"/>
      <c r="DI235" s="141"/>
      <c r="DJ235" s="141"/>
      <c r="DK235" s="141"/>
      <c r="DL235" s="141"/>
      <c r="DM235" s="141"/>
      <c r="DN235" s="141"/>
      <c r="DO235" s="141"/>
      <c r="DP235" s="141"/>
      <c r="DQ235" s="141"/>
      <c r="DR235" s="141"/>
      <c r="DS235" s="141"/>
      <c r="DT235" s="141"/>
      <c r="DU235" s="141"/>
      <c r="DV235" s="40"/>
      <c r="DW235" s="40"/>
      <c r="DX235" s="40"/>
      <c r="DY235" s="40"/>
      <c r="DZ235" s="40"/>
      <c r="EA235" s="40"/>
      <c r="EB235" s="40"/>
      <c r="EC235" s="40"/>
      <c r="ED235" s="267"/>
      <c r="EE235" s="35"/>
      <c r="EF235" s="344"/>
      <c r="EG235" s="345"/>
      <c r="EH235" s="344"/>
    </row>
    <row r="236" spans="2:138" s="119" customFormat="1" ht="31.15">
      <c r="B236" s="353"/>
      <c r="C236" s="341"/>
      <c r="D236" s="343"/>
      <c r="E236" s="341"/>
      <c r="F236" s="341"/>
      <c r="G236" s="341"/>
      <c r="H236" s="325" t="s">
        <v>150</v>
      </c>
      <c r="I236" s="112">
        <v>46092</v>
      </c>
      <c r="J236" s="325"/>
      <c r="K236" s="112"/>
      <c r="L236" s="275"/>
      <c r="M236" s="195"/>
      <c r="N236" s="112"/>
      <c r="O236" s="325"/>
      <c r="P236" s="112"/>
      <c r="Q236" s="112"/>
      <c r="R236" s="112"/>
      <c r="S236" s="325"/>
      <c r="T236" s="112"/>
      <c r="U236" s="112"/>
      <c r="V236" s="112"/>
      <c r="W236" s="46"/>
      <c r="X236" s="112"/>
      <c r="Y236" s="112"/>
      <c r="Z236" s="112"/>
      <c r="AA236" s="142"/>
      <c r="AB236" s="112"/>
      <c r="AC236" s="112"/>
      <c r="AD236" s="112"/>
      <c r="AE236" s="333"/>
      <c r="AF236" s="333"/>
      <c r="AG236" s="333"/>
      <c r="AH236" s="333"/>
      <c r="AI236" s="333"/>
      <c r="AJ236" s="333"/>
      <c r="AK236" s="333"/>
      <c r="AL236" s="333"/>
      <c r="AM236" s="333"/>
      <c r="AN236" s="333"/>
      <c r="AO236" s="333"/>
      <c r="AP236" s="333"/>
      <c r="AQ236" s="329"/>
      <c r="AR236" s="333"/>
      <c r="AS236" s="333"/>
      <c r="AT236" s="333"/>
      <c r="AU236" s="333"/>
      <c r="AV236" s="333"/>
      <c r="AW236" s="333"/>
      <c r="AX236" s="333"/>
      <c r="AY236" s="333"/>
      <c r="AZ236" s="143"/>
      <c r="BA236" s="143"/>
      <c r="BB236" s="143"/>
      <c r="BC236" s="333"/>
      <c r="BD236" s="333"/>
      <c r="BE236" s="333"/>
      <c r="BF236" s="333"/>
      <c r="BG236" s="333"/>
      <c r="BH236" s="333"/>
      <c r="BI236" s="333"/>
      <c r="BJ236" s="333"/>
      <c r="BK236" s="333"/>
      <c r="BL236" s="333"/>
      <c r="BM236" s="333"/>
      <c r="BN236" s="333"/>
      <c r="BO236" s="333"/>
      <c r="BP236" s="333"/>
      <c r="BQ236" s="333"/>
      <c r="BR236" s="333"/>
      <c r="BS236" s="333"/>
      <c r="BT236" s="333"/>
      <c r="BU236" s="333"/>
      <c r="BV236" s="333"/>
      <c r="BW236" s="333"/>
      <c r="BX236" s="333"/>
      <c r="BY236" s="333"/>
      <c r="BZ236" s="333"/>
      <c r="CA236" s="333"/>
      <c r="CB236" s="333"/>
      <c r="CC236" s="333"/>
      <c r="CD236" s="333"/>
      <c r="CE236" s="333"/>
      <c r="CF236" s="333"/>
      <c r="CG236" s="333"/>
      <c r="CH236" s="333"/>
      <c r="CI236" s="333"/>
      <c r="CJ236" s="333"/>
      <c r="CK236" s="333"/>
      <c r="CL236" s="333"/>
      <c r="CM236" s="333"/>
      <c r="CN236" s="333"/>
      <c r="CO236" s="333"/>
      <c r="CP236" s="333"/>
      <c r="CQ236" s="333"/>
      <c r="CR236" s="333"/>
      <c r="CS236" s="333"/>
      <c r="CT236" s="333"/>
      <c r="CU236" s="333"/>
      <c r="CV236" s="333"/>
      <c r="CW236" s="333"/>
      <c r="CX236" s="333"/>
      <c r="CY236" s="333"/>
      <c r="CZ236" s="333"/>
      <c r="DA236" s="333"/>
      <c r="DB236" s="333"/>
      <c r="DC236" s="333"/>
      <c r="DD236" s="333"/>
      <c r="DE236" s="333"/>
      <c r="DF236" s="333"/>
      <c r="DG236" s="333"/>
      <c r="DH236" s="333"/>
      <c r="DI236" s="333"/>
      <c r="DJ236" s="333"/>
      <c r="DK236" s="333"/>
      <c r="DL236" s="333"/>
      <c r="DM236" s="333"/>
      <c r="DN236" s="333"/>
      <c r="DO236" s="333"/>
      <c r="DP236" s="333"/>
      <c r="DQ236" s="333"/>
      <c r="DR236" s="333"/>
      <c r="DS236" s="333"/>
      <c r="DT236" s="333"/>
      <c r="DU236" s="334"/>
      <c r="DV236" s="46"/>
      <c r="DW236" s="46"/>
      <c r="DX236" s="46"/>
      <c r="DY236" s="46"/>
      <c r="DZ236" s="46"/>
      <c r="EA236" s="46"/>
      <c r="EB236" s="46"/>
      <c r="EC236" s="46"/>
      <c r="ED236" s="142"/>
      <c r="EE236" s="142"/>
      <c r="EF236" s="344"/>
      <c r="EG236" s="345"/>
      <c r="EH236" s="345"/>
    </row>
    <row r="237" spans="2:138" ht="31.15">
      <c r="B237" s="356" t="s">
        <v>424</v>
      </c>
      <c r="C237" s="358" t="s">
        <v>425</v>
      </c>
      <c r="D237" s="360" t="s">
        <v>363</v>
      </c>
      <c r="E237" s="358" t="s">
        <v>364</v>
      </c>
      <c r="F237" s="358" t="s">
        <v>315</v>
      </c>
      <c r="G237" s="358" t="s">
        <v>168</v>
      </c>
      <c r="H237" s="181" t="s">
        <v>147</v>
      </c>
      <c r="I237" s="75">
        <v>46099</v>
      </c>
      <c r="J237" s="182"/>
      <c r="K237" s="249">
        <v>46104</v>
      </c>
      <c r="L237" s="249">
        <v>46108</v>
      </c>
      <c r="M237" s="182">
        <v>45849</v>
      </c>
      <c r="N237" s="182">
        <f t="shared" ref="N237" si="2801">M237+7</f>
        <v>45856</v>
      </c>
      <c r="O237" s="182" t="s">
        <v>149</v>
      </c>
      <c r="P237" s="182">
        <f t="shared" ref="P237" si="2802">N237+7</f>
        <v>45863</v>
      </c>
      <c r="Q237" s="182">
        <f t="shared" ref="Q237" si="2803">P237+7</f>
        <v>45870</v>
      </c>
      <c r="R237" s="182">
        <f t="shared" ref="R237" si="2804">Q237+7</f>
        <v>45877</v>
      </c>
      <c r="S237" s="180" t="s">
        <v>149</v>
      </c>
      <c r="T237" s="180">
        <f t="shared" ref="T237" si="2805">R237+7</f>
        <v>45884</v>
      </c>
      <c r="U237" s="180">
        <f t="shared" ref="U237" si="2806">T237+7</f>
        <v>45891</v>
      </c>
      <c r="V237" s="180">
        <f t="shared" ref="V237" si="2807">U237+7</f>
        <v>45898</v>
      </c>
      <c r="W237" s="180" t="s">
        <v>149</v>
      </c>
      <c r="X237" s="180">
        <f t="shared" ref="X237" si="2808">V237+7</f>
        <v>45905</v>
      </c>
      <c r="Y237" s="180">
        <f t="shared" ref="Y237" si="2809">X237+7</f>
        <v>45912</v>
      </c>
      <c r="Z237" s="180">
        <f t="shared" ref="Z237" si="2810">Y237+7</f>
        <v>45919</v>
      </c>
      <c r="AA237" s="180" t="s">
        <v>149</v>
      </c>
      <c r="AB237" s="180">
        <f t="shared" ref="AB237" si="2811">Z237+7</f>
        <v>45926</v>
      </c>
      <c r="AC237" s="180">
        <f t="shared" ref="AC237" si="2812">AB237+7</f>
        <v>45933</v>
      </c>
      <c r="AD237" s="180">
        <f t="shared" ref="AD237" si="2813">AC237+7</f>
        <v>45940</v>
      </c>
      <c r="AE237" s="180" t="s">
        <v>149</v>
      </c>
      <c r="AF237" s="180">
        <f t="shared" ref="AF237" si="2814">AD237+7</f>
        <v>45947</v>
      </c>
      <c r="AG237" s="180">
        <f t="shared" ref="AG237" si="2815">AF237+7</f>
        <v>45954</v>
      </c>
      <c r="AH237" s="180">
        <f t="shared" ref="AH237" si="2816">AG237+7</f>
        <v>45961</v>
      </c>
      <c r="AI237" s="180" t="s">
        <v>149</v>
      </c>
      <c r="AJ237" s="180">
        <f t="shared" ref="AJ237" si="2817">AH237+7</f>
        <v>45968</v>
      </c>
      <c r="AK237" s="180">
        <f t="shared" ref="AK237" si="2818">AJ237+7</f>
        <v>45975</v>
      </c>
      <c r="AL237" s="180">
        <f t="shared" ref="AL237" si="2819">AK237+7</f>
        <v>45982</v>
      </c>
      <c r="AM237" s="180" t="s">
        <v>149</v>
      </c>
      <c r="AN237" s="180">
        <f t="shared" ref="AN237" si="2820">AL237+7</f>
        <v>45989</v>
      </c>
      <c r="AO237" s="180">
        <f t="shared" ref="AO237" si="2821">AN237+7</f>
        <v>45996</v>
      </c>
      <c r="AP237" s="180">
        <f t="shared" ref="AP237" si="2822">AO237+7</f>
        <v>46003</v>
      </c>
      <c r="AQ237" s="180" t="s">
        <v>149</v>
      </c>
      <c r="AR237" s="180">
        <f t="shared" ref="AR237" si="2823">AP237+7</f>
        <v>46010</v>
      </c>
      <c r="AS237" s="180">
        <f t="shared" ref="AS237" si="2824">AR237+7</f>
        <v>46017</v>
      </c>
      <c r="AT237" s="180">
        <f t="shared" ref="AT237" si="2825">AS237+7</f>
        <v>46024</v>
      </c>
      <c r="AU237" s="180" t="s">
        <v>149</v>
      </c>
      <c r="AV237" s="180">
        <f t="shared" ref="AV237" si="2826">AT237+7</f>
        <v>46031</v>
      </c>
      <c r="AW237" s="180">
        <f t="shared" ref="AW237" si="2827">AV237+7</f>
        <v>46038</v>
      </c>
      <c r="AX237" s="180">
        <f t="shared" ref="AX237" si="2828">AW237+7</f>
        <v>46045</v>
      </c>
      <c r="AY237" s="180" t="s">
        <v>149</v>
      </c>
      <c r="AZ237" s="180">
        <f t="shared" ref="AZ237" si="2829">AX237+7</f>
        <v>46052</v>
      </c>
      <c r="BA237" s="180">
        <f t="shared" ref="BA237" si="2830">AZ237+7</f>
        <v>46059</v>
      </c>
      <c r="BB237" s="180">
        <f t="shared" ref="BB237" si="2831">BA237+7</f>
        <v>46066</v>
      </c>
      <c r="BC237" s="180" t="s">
        <v>149</v>
      </c>
      <c r="BD237" s="180">
        <f t="shared" ref="BD237" si="2832">BB237+7</f>
        <v>46073</v>
      </c>
      <c r="BE237" s="180">
        <f t="shared" ref="BE237" si="2833">BD237+7</f>
        <v>46080</v>
      </c>
      <c r="BF237" s="180">
        <f t="shared" ref="BF237" si="2834">BE237+7</f>
        <v>46087</v>
      </c>
      <c r="BG237" s="180" t="s">
        <v>148</v>
      </c>
      <c r="BH237" s="180">
        <f t="shared" ref="BH237" si="2835">BF237+7</f>
        <v>46094</v>
      </c>
      <c r="BI237" s="180">
        <f t="shared" ref="BI237" si="2836">BH237+7</f>
        <v>46101</v>
      </c>
      <c r="BJ237" s="180">
        <f t="shared" ref="BJ237" si="2837">BI237+7</f>
        <v>46108</v>
      </c>
      <c r="BK237" s="180" t="s">
        <v>148</v>
      </c>
      <c r="BL237" s="180">
        <f t="shared" ref="BL237" si="2838">BJ237+7</f>
        <v>46115</v>
      </c>
      <c r="BM237" s="180">
        <f t="shared" ref="BM237" si="2839">BL237+7</f>
        <v>46122</v>
      </c>
      <c r="BN237" s="180">
        <f t="shared" ref="BN237" si="2840">BM237+7</f>
        <v>46129</v>
      </c>
      <c r="BO237" s="180" t="s">
        <v>149</v>
      </c>
      <c r="BP237" s="180">
        <f t="shared" ref="BP237" si="2841">BN237+7</f>
        <v>46136</v>
      </c>
      <c r="BQ237" s="180">
        <f t="shared" ref="BQ237" si="2842">BP237+7</f>
        <v>46143</v>
      </c>
      <c r="BR237" s="180">
        <f t="shared" ref="BR237" si="2843">BQ237+7</f>
        <v>46150</v>
      </c>
      <c r="BS237" s="180" t="s">
        <v>148</v>
      </c>
      <c r="BT237" s="180">
        <f t="shared" ref="BT237" si="2844">BR237+7</f>
        <v>46157</v>
      </c>
      <c r="BU237" s="180">
        <f t="shared" ref="BU237" si="2845">BT237+7</f>
        <v>46164</v>
      </c>
      <c r="BV237" s="180">
        <f t="shared" ref="BV237" si="2846">BU237+7</f>
        <v>46171</v>
      </c>
      <c r="BW237" s="180" t="s">
        <v>149</v>
      </c>
      <c r="BX237" s="180">
        <f t="shared" ref="BX237" si="2847">BV237+7</f>
        <v>46178</v>
      </c>
      <c r="BY237" s="180">
        <f t="shared" ref="BY237" si="2848">BX237+7</f>
        <v>46185</v>
      </c>
      <c r="BZ237" s="180">
        <f t="shared" ref="BZ237" si="2849">BY237+7</f>
        <v>46192</v>
      </c>
      <c r="CA237" s="180" t="s">
        <v>149</v>
      </c>
      <c r="CB237" s="180"/>
      <c r="CC237" s="180"/>
      <c r="CD237" s="180"/>
      <c r="CE237" s="180"/>
      <c r="CF237" s="180"/>
      <c r="CG237" s="180"/>
      <c r="CH237" s="180"/>
      <c r="CI237" s="180"/>
      <c r="CJ237" s="180"/>
      <c r="CK237" s="180"/>
      <c r="CL237" s="180"/>
      <c r="CM237" s="180"/>
      <c r="CN237" s="180"/>
      <c r="CO237" s="180"/>
      <c r="CP237" s="180"/>
      <c r="CQ237" s="180"/>
      <c r="CR237" s="180"/>
      <c r="CS237" s="180"/>
      <c r="CT237" s="180"/>
      <c r="CU237" s="180"/>
      <c r="CV237" s="180"/>
      <c r="CW237" s="180"/>
      <c r="CX237" s="180"/>
      <c r="CY237" s="180"/>
      <c r="CZ237" s="180"/>
      <c r="DA237" s="180"/>
      <c r="DB237" s="180"/>
      <c r="DC237" s="180"/>
      <c r="DD237" s="180"/>
      <c r="DE237" s="180"/>
      <c r="DF237" s="180"/>
      <c r="DG237" s="180"/>
      <c r="DH237" s="180"/>
      <c r="DI237" s="180"/>
      <c r="DJ237" s="180"/>
      <c r="DK237" s="180"/>
      <c r="DL237" s="180"/>
      <c r="DM237" s="180"/>
      <c r="DN237" s="180"/>
      <c r="DO237" s="180"/>
      <c r="DP237" s="180"/>
      <c r="DQ237" s="180"/>
      <c r="DR237" s="180"/>
      <c r="DS237" s="180"/>
      <c r="DT237" s="127">
        <v>46121</v>
      </c>
      <c r="DU237" s="127"/>
      <c r="DV237" s="125"/>
      <c r="DW237" s="125"/>
      <c r="DX237" s="125"/>
      <c r="DY237" s="125"/>
      <c r="DZ237" s="125"/>
      <c r="EA237" s="125"/>
      <c r="EB237" s="125"/>
      <c r="EC237" s="125"/>
      <c r="ED237" s="268"/>
      <c r="EE237" s="128"/>
      <c r="EF237" s="339"/>
      <c r="EG237" s="338"/>
      <c r="EH237" s="339"/>
    </row>
    <row r="238" spans="2:138" ht="31.15">
      <c r="B238" s="357"/>
      <c r="C238" s="359"/>
      <c r="D238" s="361"/>
      <c r="E238" s="359"/>
      <c r="F238" s="359"/>
      <c r="G238" s="359"/>
      <c r="H238" s="324" t="s">
        <v>150</v>
      </c>
      <c r="I238" s="169">
        <v>46099</v>
      </c>
      <c r="J238" s="324"/>
      <c r="K238" s="169">
        <v>46104</v>
      </c>
      <c r="L238" s="169">
        <v>46108</v>
      </c>
      <c r="M238" s="202">
        <v>46114</v>
      </c>
      <c r="N238" s="169"/>
      <c r="O238" s="324" t="s">
        <v>148</v>
      </c>
      <c r="P238" s="169"/>
      <c r="Q238" s="169"/>
      <c r="R238" s="169"/>
      <c r="S238" s="324"/>
      <c r="T238" s="169"/>
      <c r="U238" s="169"/>
      <c r="V238" s="169"/>
      <c r="W238" s="152"/>
      <c r="X238" s="169"/>
      <c r="Y238" s="169"/>
      <c r="Z238" s="169"/>
      <c r="AA238" s="176"/>
      <c r="AB238" s="169"/>
      <c r="AC238" s="169"/>
      <c r="AD238" s="169"/>
      <c r="AE238" s="177"/>
      <c r="AF238" s="177"/>
      <c r="AG238" s="177"/>
      <c r="AH238" s="177"/>
      <c r="AI238" s="177"/>
      <c r="AJ238" s="177"/>
      <c r="AK238" s="177"/>
      <c r="AL238" s="177"/>
      <c r="AM238" s="177"/>
      <c r="AN238" s="177"/>
      <c r="AO238" s="177"/>
      <c r="AP238" s="177"/>
      <c r="AQ238" s="178"/>
      <c r="AR238" s="177"/>
      <c r="AS238" s="177"/>
      <c r="AT238" s="177"/>
      <c r="AU238" s="177"/>
      <c r="AV238" s="177"/>
      <c r="AW238" s="177"/>
      <c r="AX238" s="177"/>
      <c r="AY238" s="177"/>
      <c r="AZ238" s="179"/>
      <c r="BA238" s="179"/>
      <c r="BB238" s="179"/>
      <c r="BC238" s="177"/>
      <c r="BD238" s="177"/>
      <c r="BE238" s="177"/>
      <c r="BF238" s="177"/>
      <c r="BG238" s="177"/>
      <c r="BH238" s="177"/>
      <c r="BI238" s="177"/>
      <c r="BJ238" s="177"/>
      <c r="BK238" s="177"/>
      <c r="BL238" s="177"/>
      <c r="BM238" s="177"/>
      <c r="BN238" s="177"/>
      <c r="BO238" s="177"/>
      <c r="BP238" s="177"/>
      <c r="BQ238" s="177"/>
      <c r="BR238" s="177"/>
      <c r="BS238" s="177"/>
      <c r="BT238" s="177"/>
      <c r="BU238" s="177"/>
      <c r="BV238" s="177"/>
      <c r="BW238" s="177"/>
      <c r="BX238" s="177"/>
      <c r="BY238" s="177"/>
      <c r="BZ238" s="177"/>
      <c r="CA238" s="177"/>
      <c r="CB238" s="177"/>
      <c r="CC238" s="177"/>
      <c r="CD238" s="177"/>
      <c r="CE238" s="177"/>
      <c r="CF238" s="177"/>
      <c r="CG238" s="177"/>
      <c r="CH238" s="177"/>
      <c r="CI238" s="177"/>
      <c r="CJ238" s="177"/>
      <c r="CK238" s="177"/>
      <c r="CL238" s="177"/>
      <c r="CM238" s="177"/>
      <c r="CN238" s="177"/>
      <c r="CO238" s="177"/>
      <c r="CP238" s="177"/>
      <c r="CQ238" s="177"/>
      <c r="CR238" s="177"/>
      <c r="CS238" s="177"/>
      <c r="CT238" s="177"/>
      <c r="CU238" s="177"/>
      <c r="CV238" s="177"/>
      <c r="CW238" s="177"/>
      <c r="CX238" s="177"/>
      <c r="CY238" s="177"/>
      <c r="CZ238" s="177"/>
      <c r="DA238" s="177"/>
      <c r="DB238" s="177"/>
      <c r="DC238" s="177"/>
      <c r="DD238" s="177"/>
      <c r="DE238" s="177"/>
      <c r="DF238" s="177"/>
      <c r="DG238" s="177"/>
      <c r="DH238" s="177"/>
      <c r="DI238" s="177"/>
      <c r="DJ238" s="177"/>
      <c r="DK238" s="177"/>
      <c r="DL238" s="177"/>
      <c r="DM238" s="177"/>
      <c r="DN238" s="177"/>
      <c r="DO238" s="177"/>
      <c r="DP238" s="177"/>
      <c r="DQ238" s="177"/>
      <c r="DR238" s="177"/>
      <c r="DS238" s="177"/>
      <c r="DT238" s="28">
        <v>46121</v>
      </c>
      <c r="DU238" s="132"/>
      <c r="DV238" s="69"/>
      <c r="DW238" s="69"/>
      <c r="DX238" s="69"/>
      <c r="DY238" s="69"/>
      <c r="DZ238" s="69"/>
      <c r="EA238" s="69"/>
      <c r="EB238" s="69"/>
      <c r="EC238" s="69"/>
      <c r="ED238" s="22"/>
      <c r="EE238" s="22"/>
      <c r="EF238" s="339"/>
      <c r="EG238" s="338"/>
      <c r="EH238" s="338"/>
    </row>
    <row r="239" spans="2:138" s="119" customFormat="1" ht="31.15">
      <c r="B239" s="352" t="s">
        <v>426</v>
      </c>
      <c r="C239" s="340" t="s">
        <v>427</v>
      </c>
      <c r="D239" s="342" t="s">
        <v>428</v>
      </c>
      <c r="E239" s="340" t="s">
        <v>364</v>
      </c>
      <c r="F239" s="340" t="s">
        <v>229</v>
      </c>
      <c r="G239" s="340" t="s">
        <v>206</v>
      </c>
      <c r="H239" s="40" t="s">
        <v>147</v>
      </c>
      <c r="I239" s="31">
        <v>46064</v>
      </c>
      <c r="J239" s="94"/>
      <c r="K239" s="233"/>
      <c r="L239" s="233" t="s">
        <v>148</v>
      </c>
      <c r="M239" s="94">
        <v>45849</v>
      </c>
      <c r="N239" s="94">
        <f t="shared" ref="N239" si="2850">M239+7</f>
        <v>45856</v>
      </c>
      <c r="O239" s="94" t="s">
        <v>149</v>
      </c>
      <c r="P239" s="94">
        <f t="shared" ref="P239" si="2851">N239+7</f>
        <v>45863</v>
      </c>
      <c r="Q239" s="94">
        <f t="shared" ref="Q239" si="2852">P239+7</f>
        <v>45870</v>
      </c>
      <c r="R239" s="94">
        <f t="shared" ref="R239" si="2853">Q239+7</f>
        <v>45877</v>
      </c>
      <c r="S239" s="141" t="s">
        <v>149</v>
      </c>
      <c r="T239" s="141">
        <f t="shared" ref="T239" si="2854">R239+7</f>
        <v>45884</v>
      </c>
      <c r="U239" s="141">
        <f t="shared" ref="U239" si="2855">T239+7</f>
        <v>45891</v>
      </c>
      <c r="V239" s="141">
        <f t="shared" ref="V239" si="2856">U239+7</f>
        <v>45898</v>
      </c>
      <c r="W239" s="141" t="s">
        <v>149</v>
      </c>
      <c r="X239" s="141">
        <f t="shared" ref="X239" si="2857">V239+7</f>
        <v>45905</v>
      </c>
      <c r="Y239" s="141">
        <f t="shared" ref="Y239" si="2858">X239+7</f>
        <v>45912</v>
      </c>
      <c r="Z239" s="141">
        <f t="shared" ref="Z239" si="2859">Y239+7</f>
        <v>45919</v>
      </c>
      <c r="AA239" s="141" t="s">
        <v>149</v>
      </c>
      <c r="AB239" s="141">
        <f t="shared" ref="AB239" si="2860">Z239+7</f>
        <v>45926</v>
      </c>
      <c r="AC239" s="141">
        <f t="shared" ref="AC239" si="2861">AB239+7</f>
        <v>45933</v>
      </c>
      <c r="AD239" s="141">
        <f t="shared" ref="AD239" si="2862">AC239+7</f>
        <v>45940</v>
      </c>
      <c r="AE239" s="141" t="s">
        <v>149</v>
      </c>
      <c r="AF239" s="141">
        <f t="shared" ref="AF239" si="2863">AD239+7</f>
        <v>45947</v>
      </c>
      <c r="AG239" s="141">
        <f t="shared" ref="AG239" si="2864">AF239+7</f>
        <v>45954</v>
      </c>
      <c r="AH239" s="141">
        <f t="shared" ref="AH239" si="2865">AG239+7</f>
        <v>45961</v>
      </c>
      <c r="AI239" s="141" t="s">
        <v>149</v>
      </c>
      <c r="AJ239" s="141">
        <f t="shared" ref="AJ239" si="2866">AH239+7</f>
        <v>45968</v>
      </c>
      <c r="AK239" s="141">
        <f t="shared" ref="AK239" si="2867">AJ239+7</f>
        <v>45975</v>
      </c>
      <c r="AL239" s="141">
        <f t="shared" ref="AL239" si="2868">AK239+7</f>
        <v>45982</v>
      </c>
      <c r="AM239" s="141" t="s">
        <v>149</v>
      </c>
      <c r="AN239" s="141">
        <f t="shared" ref="AN239" si="2869">AL239+7</f>
        <v>45989</v>
      </c>
      <c r="AO239" s="141">
        <f t="shared" ref="AO239" si="2870">AN239+7</f>
        <v>45996</v>
      </c>
      <c r="AP239" s="141">
        <f t="shared" ref="AP239" si="2871">AO239+7</f>
        <v>46003</v>
      </c>
      <c r="AQ239" s="141" t="s">
        <v>149</v>
      </c>
      <c r="AR239" s="141">
        <f t="shared" ref="AR239" si="2872">AP239+7</f>
        <v>46010</v>
      </c>
      <c r="AS239" s="141">
        <f t="shared" ref="AS239" si="2873">AR239+7</f>
        <v>46017</v>
      </c>
      <c r="AT239" s="141">
        <f t="shared" ref="AT239" si="2874">AS239+7</f>
        <v>46024</v>
      </c>
      <c r="AU239" s="141" t="s">
        <v>149</v>
      </c>
      <c r="AV239" s="141">
        <f t="shared" ref="AV239" si="2875">AT239+7</f>
        <v>46031</v>
      </c>
      <c r="AW239" s="141">
        <f t="shared" ref="AW239" si="2876">AV239+7</f>
        <v>46038</v>
      </c>
      <c r="AX239" s="141">
        <f t="shared" ref="AX239" si="2877">AW239+7</f>
        <v>46045</v>
      </c>
      <c r="AY239" s="141" t="s">
        <v>149</v>
      </c>
      <c r="AZ239" s="141">
        <f t="shared" ref="AZ239" si="2878">AX239+7</f>
        <v>46052</v>
      </c>
      <c r="BA239" s="141">
        <f t="shared" ref="BA239" si="2879">AZ239+7</f>
        <v>46059</v>
      </c>
      <c r="BB239" s="141">
        <f t="shared" ref="BB239" si="2880">BA239+7</f>
        <v>46066</v>
      </c>
      <c r="BC239" s="141" t="s">
        <v>149</v>
      </c>
      <c r="BD239" s="141">
        <f t="shared" ref="BD239" si="2881">BB239+7</f>
        <v>46073</v>
      </c>
      <c r="BE239" s="141">
        <f t="shared" ref="BE239" si="2882">BD239+7</f>
        <v>46080</v>
      </c>
      <c r="BF239" s="141">
        <f t="shared" ref="BF239" si="2883">BE239+7</f>
        <v>46087</v>
      </c>
      <c r="BG239" s="141" t="s">
        <v>148</v>
      </c>
      <c r="BH239" s="141">
        <f t="shared" ref="BH239" si="2884">BF239+7</f>
        <v>46094</v>
      </c>
      <c r="BI239" s="141">
        <f t="shared" ref="BI239" si="2885">BH239+7</f>
        <v>46101</v>
      </c>
      <c r="BJ239" s="141">
        <f t="shared" ref="BJ239" si="2886">BI239+7</f>
        <v>46108</v>
      </c>
      <c r="BK239" s="141" t="s">
        <v>148</v>
      </c>
      <c r="BL239" s="141">
        <f t="shared" ref="BL239" si="2887">BJ239+7</f>
        <v>46115</v>
      </c>
      <c r="BM239" s="141">
        <f t="shared" ref="BM239" si="2888">BL239+7</f>
        <v>46122</v>
      </c>
      <c r="BN239" s="141">
        <f t="shared" ref="BN239" si="2889">BM239+7</f>
        <v>46129</v>
      </c>
      <c r="BO239" s="141" t="s">
        <v>149</v>
      </c>
      <c r="BP239" s="141">
        <f t="shared" ref="BP239" si="2890">BN239+7</f>
        <v>46136</v>
      </c>
      <c r="BQ239" s="141">
        <f t="shared" ref="BQ239" si="2891">BP239+7</f>
        <v>46143</v>
      </c>
      <c r="BR239" s="141">
        <f t="shared" ref="BR239" si="2892">BQ239+7</f>
        <v>46150</v>
      </c>
      <c r="BS239" s="141" t="s">
        <v>148</v>
      </c>
      <c r="BT239" s="141">
        <f t="shared" ref="BT239" si="2893">BR239+7</f>
        <v>46157</v>
      </c>
      <c r="BU239" s="141">
        <f t="shared" ref="BU239" si="2894">BT239+7</f>
        <v>46164</v>
      </c>
      <c r="BV239" s="141">
        <f t="shared" ref="BV239" si="2895">BU239+7</f>
        <v>46171</v>
      </c>
      <c r="BW239" s="141" t="s">
        <v>149</v>
      </c>
      <c r="BX239" s="141">
        <f t="shared" ref="BX239" si="2896">BV239+7</f>
        <v>46178</v>
      </c>
      <c r="BY239" s="141">
        <f t="shared" ref="BY239" si="2897">BX239+7</f>
        <v>46185</v>
      </c>
      <c r="BZ239" s="141">
        <f t="shared" ref="BZ239" si="2898">BY239+7</f>
        <v>46192</v>
      </c>
      <c r="CA239" s="141" t="s">
        <v>149</v>
      </c>
      <c r="CB239" s="141"/>
      <c r="CC239" s="141"/>
      <c r="CD239" s="141"/>
      <c r="CE239" s="141"/>
      <c r="CF239" s="141"/>
      <c r="CG239" s="141"/>
      <c r="CH239" s="141"/>
      <c r="CI239" s="141"/>
      <c r="CJ239" s="141"/>
      <c r="CK239" s="141"/>
      <c r="CL239" s="141"/>
      <c r="CM239" s="141"/>
      <c r="CN239" s="141"/>
      <c r="CO239" s="141"/>
      <c r="CP239" s="141"/>
      <c r="CQ239" s="141"/>
      <c r="CR239" s="141"/>
      <c r="CS239" s="141"/>
      <c r="CT239" s="141"/>
      <c r="CU239" s="141"/>
      <c r="CV239" s="141"/>
      <c r="CW239" s="141"/>
      <c r="CX239" s="141"/>
      <c r="CY239" s="141"/>
      <c r="CZ239" s="141"/>
      <c r="DA239" s="141"/>
      <c r="DB239" s="141"/>
      <c r="DC239" s="141"/>
      <c r="DD239" s="141"/>
      <c r="DE239" s="141"/>
      <c r="DF239" s="141"/>
      <c r="DG239" s="141"/>
      <c r="DH239" s="141"/>
      <c r="DI239" s="141"/>
      <c r="DJ239" s="141"/>
      <c r="DK239" s="141"/>
      <c r="DL239" s="141"/>
      <c r="DM239" s="141"/>
      <c r="DN239" s="141"/>
      <c r="DO239" s="141"/>
      <c r="DP239" s="141"/>
      <c r="DQ239" s="141"/>
      <c r="DR239" s="141"/>
      <c r="DS239" s="141"/>
      <c r="DT239" s="141"/>
      <c r="DU239" s="141"/>
      <c r="DV239" s="40"/>
      <c r="DW239" s="40"/>
      <c r="DX239" s="40"/>
      <c r="DY239" s="40"/>
      <c r="DZ239" s="40"/>
      <c r="EA239" s="40"/>
      <c r="EB239" s="40"/>
      <c r="EC239" s="40"/>
      <c r="ED239" s="267"/>
      <c r="EE239" s="35"/>
      <c r="EF239" s="344"/>
      <c r="EG239" s="345"/>
      <c r="EH239" s="344"/>
    </row>
    <row r="240" spans="2:138" s="119" customFormat="1" ht="31.15">
      <c r="B240" s="353"/>
      <c r="C240" s="341"/>
      <c r="D240" s="343"/>
      <c r="E240" s="341"/>
      <c r="F240" s="341"/>
      <c r="G240" s="341"/>
      <c r="H240" s="325" t="s">
        <v>150</v>
      </c>
      <c r="I240" s="112">
        <v>46064</v>
      </c>
      <c r="J240" s="325"/>
      <c r="K240" s="112"/>
      <c r="L240" s="112" t="s">
        <v>148</v>
      </c>
      <c r="M240" s="195"/>
      <c r="N240" s="112"/>
      <c r="O240" s="325" t="s">
        <v>148</v>
      </c>
      <c r="P240" s="112"/>
      <c r="Q240" s="112"/>
      <c r="R240" s="112"/>
      <c r="S240" s="325"/>
      <c r="T240" s="112"/>
      <c r="U240" s="112"/>
      <c r="V240" s="112"/>
      <c r="W240" s="46"/>
      <c r="X240" s="112"/>
      <c r="Y240" s="112"/>
      <c r="Z240" s="112"/>
      <c r="AA240" s="142"/>
      <c r="AB240" s="112"/>
      <c r="AC240" s="112"/>
      <c r="AD240" s="112"/>
      <c r="AE240" s="333"/>
      <c r="AF240" s="333"/>
      <c r="AG240" s="333"/>
      <c r="AH240" s="333"/>
      <c r="AI240" s="333"/>
      <c r="AJ240" s="333"/>
      <c r="AK240" s="333"/>
      <c r="AL240" s="333"/>
      <c r="AM240" s="333"/>
      <c r="AN240" s="333"/>
      <c r="AO240" s="333"/>
      <c r="AP240" s="333"/>
      <c r="AQ240" s="329"/>
      <c r="AR240" s="333"/>
      <c r="AS240" s="333"/>
      <c r="AT240" s="333"/>
      <c r="AU240" s="333"/>
      <c r="AV240" s="333"/>
      <c r="AW240" s="333"/>
      <c r="AX240" s="333"/>
      <c r="AY240" s="333"/>
      <c r="AZ240" s="143"/>
      <c r="BA240" s="143"/>
      <c r="BB240" s="143"/>
      <c r="BC240" s="333"/>
      <c r="BD240" s="333"/>
      <c r="BE240" s="333"/>
      <c r="BF240" s="333"/>
      <c r="BG240" s="333"/>
      <c r="BH240" s="333"/>
      <c r="BI240" s="333"/>
      <c r="BJ240" s="333"/>
      <c r="BK240" s="333"/>
      <c r="BL240" s="333"/>
      <c r="BM240" s="333"/>
      <c r="BN240" s="333"/>
      <c r="BO240" s="333"/>
      <c r="BP240" s="333"/>
      <c r="BQ240" s="333"/>
      <c r="BR240" s="333"/>
      <c r="BS240" s="333"/>
      <c r="BT240" s="333"/>
      <c r="BU240" s="333"/>
      <c r="BV240" s="333"/>
      <c r="BW240" s="333"/>
      <c r="BX240" s="333"/>
      <c r="BY240" s="333"/>
      <c r="BZ240" s="333"/>
      <c r="CA240" s="333"/>
      <c r="CB240" s="333"/>
      <c r="CC240" s="333"/>
      <c r="CD240" s="333"/>
      <c r="CE240" s="333"/>
      <c r="CF240" s="333"/>
      <c r="CG240" s="333"/>
      <c r="CH240" s="333"/>
      <c r="CI240" s="333"/>
      <c r="CJ240" s="333"/>
      <c r="CK240" s="333"/>
      <c r="CL240" s="333"/>
      <c r="CM240" s="333"/>
      <c r="CN240" s="333"/>
      <c r="CO240" s="333"/>
      <c r="CP240" s="333"/>
      <c r="CQ240" s="333"/>
      <c r="CR240" s="333"/>
      <c r="CS240" s="333"/>
      <c r="CT240" s="333"/>
      <c r="CU240" s="333"/>
      <c r="CV240" s="333"/>
      <c r="CW240" s="333"/>
      <c r="CX240" s="333"/>
      <c r="CY240" s="333"/>
      <c r="CZ240" s="333"/>
      <c r="DA240" s="333"/>
      <c r="DB240" s="333"/>
      <c r="DC240" s="333"/>
      <c r="DD240" s="333"/>
      <c r="DE240" s="333"/>
      <c r="DF240" s="333"/>
      <c r="DG240" s="333"/>
      <c r="DH240" s="333"/>
      <c r="DI240" s="333"/>
      <c r="DJ240" s="333"/>
      <c r="DK240" s="333"/>
      <c r="DL240" s="333"/>
      <c r="DM240" s="333"/>
      <c r="DN240" s="333"/>
      <c r="DO240" s="333"/>
      <c r="DP240" s="333"/>
      <c r="DQ240" s="333"/>
      <c r="DR240" s="333"/>
      <c r="DS240" s="333"/>
      <c r="DT240" s="333"/>
      <c r="DU240" s="334"/>
      <c r="DV240" s="46"/>
      <c r="DW240" s="46"/>
      <c r="DX240" s="46"/>
      <c r="DY240" s="46"/>
      <c r="DZ240" s="46"/>
      <c r="EA240" s="46"/>
      <c r="EB240" s="46"/>
      <c r="EC240" s="46"/>
      <c r="ED240" s="142"/>
      <c r="EE240" s="142"/>
      <c r="EF240" s="344"/>
      <c r="EG240" s="345"/>
      <c r="EH240" s="345"/>
    </row>
    <row r="241" spans="2:138" ht="27.75">
      <c r="B241" s="356" t="s">
        <v>429</v>
      </c>
      <c r="C241" s="358" t="s">
        <v>430</v>
      </c>
      <c r="D241" s="358" t="s">
        <v>157</v>
      </c>
      <c r="E241" s="358" t="s">
        <v>431</v>
      </c>
      <c r="F241" s="358" t="s">
        <v>174</v>
      </c>
      <c r="G241" s="358" t="s">
        <v>206</v>
      </c>
      <c r="H241" s="164" t="s">
        <v>147</v>
      </c>
      <c r="I241" s="171">
        <v>46146</v>
      </c>
      <c r="J241" s="172"/>
      <c r="K241" s="228">
        <v>46153</v>
      </c>
      <c r="L241" s="249" t="s">
        <v>148</v>
      </c>
      <c r="M241" s="229">
        <v>46160</v>
      </c>
      <c r="N241" s="229">
        <f>M241+7</f>
        <v>46167</v>
      </c>
      <c r="O241" s="229" t="s">
        <v>149</v>
      </c>
      <c r="P241" s="229">
        <f>N241+7</f>
        <v>46174</v>
      </c>
      <c r="Q241" s="229">
        <f>P241+7</f>
        <v>46181</v>
      </c>
      <c r="R241" s="229">
        <f>Q241+7</f>
        <v>46188</v>
      </c>
      <c r="S241" s="230" t="s">
        <v>149</v>
      </c>
      <c r="T241" s="230">
        <f>R241+7</f>
        <v>46195</v>
      </c>
      <c r="U241" s="230">
        <f>T241+7</f>
        <v>46202</v>
      </c>
      <c r="V241" s="230">
        <f>U241+7</f>
        <v>46209</v>
      </c>
      <c r="W241" s="230" t="s">
        <v>149</v>
      </c>
      <c r="X241" s="230">
        <f>V241+7</f>
        <v>46216</v>
      </c>
      <c r="Y241" s="230">
        <f>X241+7</f>
        <v>46223</v>
      </c>
      <c r="Z241" s="230">
        <f>Y241+7</f>
        <v>46230</v>
      </c>
      <c r="AA241" s="230" t="s">
        <v>149</v>
      </c>
      <c r="AB241" s="230">
        <f>Z241+7</f>
        <v>46237</v>
      </c>
      <c r="AC241" s="230">
        <f>AB241+7</f>
        <v>46244</v>
      </c>
      <c r="AD241" s="230">
        <f>AC241+7</f>
        <v>46251</v>
      </c>
      <c r="AE241" s="230" t="s">
        <v>149</v>
      </c>
      <c r="AF241" s="230">
        <f>AD241+7</f>
        <v>46258</v>
      </c>
      <c r="AG241" s="230">
        <f>AF241+7</f>
        <v>46265</v>
      </c>
      <c r="AH241" s="230">
        <f>AG241+7</f>
        <v>46272</v>
      </c>
      <c r="AI241" s="230" t="s">
        <v>149</v>
      </c>
      <c r="AJ241" s="230">
        <f>AH241+7</f>
        <v>46279</v>
      </c>
      <c r="AK241" s="230">
        <f>AJ241+7</f>
        <v>46286</v>
      </c>
      <c r="AL241" s="230">
        <f>AK241+7</f>
        <v>46293</v>
      </c>
      <c r="AM241" s="230" t="s">
        <v>149</v>
      </c>
      <c r="AN241" s="230">
        <f>AL241+7</f>
        <v>46300</v>
      </c>
      <c r="AO241" s="230">
        <f>AN241+7</f>
        <v>46307</v>
      </c>
      <c r="AP241" s="230">
        <f>AO241+7</f>
        <v>46314</v>
      </c>
      <c r="AQ241" s="230" t="s">
        <v>149</v>
      </c>
      <c r="AR241" s="230">
        <f>AP241+7</f>
        <v>46321</v>
      </c>
      <c r="AS241" s="230">
        <f>AR241+7</f>
        <v>46328</v>
      </c>
      <c r="AT241" s="230">
        <f>AS241+7</f>
        <v>46335</v>
      </c>
      <c r="AU241" s="231" t="s">
        <v>149</v>
      </c>
      <c r="AV241" s="230">
        <f>AT241+7</f>
        <v>46342</v>
      </c>
      <c r="AW241" s="230">
        <f>AV241+7</f>
        <v>46349</v>
      </c>
      <c r="AX241" s="230">
        <f>AW241+7</f>
        <v>46356</v>
      </c>
      <c r="AY241" s="231" t="s">
        <v>149</v>
      </c>
      <c r="AZ241" s="230">
        <f>AX241+7</f>
        <v>46363</v>
      </c>
      <c r="BA241" s="230">
        <f>AZ241+7</f>
        <v>46370</v>
      </c>
      <c r="BB241" s="230">
        <f>BA241+7</f>
        <v>46377</v>
      </c>
      <c r="BC241" s="231" t="s">
        <v>149</v>
      </c>
      <c r="BD241" s="231"/>
      <c r="BE241" s="231"/>
      <c r="BF241" s="231"/>
      <c r="BG241" s="231"/>
      <c r="BH241" s="231"/>
      <c r="BI241" s="231"/>
      <c r="BJ241" s="231"/>
      <c r="BK241" s="231"/>
      <c r="BL241" s="231"/>
      <c r="BM241" s="231"/>
      <c r="BN241" s="231"/>
      <c r="BO241" s="231"/>
      <c r="BP241" s="231"/>
      <c r="BQ241" s="231"/>
      <c r="BR241" s="231"/>
      <c r="BS241" s="231"/>
      <c r="BT241" s="231"/>
      <c r="BU241" s="231"/>
      <c r="BV241" s="231"/>
      <c r="BW241" s="231"/>
      <c r="BX241" s="231"/>
      <c r="BY241" s="231"/>
      <c r="BZ241" s="168"/>
      <c r="CA241" s="168"/>
      <c r="CB241" s="168"/>
      <c r="CC241" s="168"/>
      <c r="CD241" s="168"/>
      <c r="CE241" s="168"/>
      <c r="CF241" s="168"/>
      <c r="CG241" s="168"/>
      <c r="CH241" s="168"/>
      <c r="CI241" s="168"/>
      <c r="CJ241" s="168"/>
      <c r="CK241" s="168"/>
      <c r="CL241" s="168"/>
      <c r="CM241" s="168"/>
      <c r="CN241" s="168"/>
      <c r="CO241" s="168"/>
      <c r="CP241" s="168"/>
      <c r="CQ241" s="168"/>
      <c r="CR241" s="168"/>
      <c r="CS241" s="168"/>
      <c r="CT241" s="168"/>
      <c r="CU241" s="168"/>
      <c r="CV241" s="168"/>
      <c r="CW241" s="168"/>
      <c r="CX241" s="168"/>
      <c r="CY241" s="168"/>
      <c r="CZ241" s="168"/>
      <c r="DA241" s="168"/>
      <c r="DB241" s="168"/>
      <c r="DC241" s="168"/>
      <c r="DD241" s="168"/>
      <c r="DE241" s="168"/>
      <c r="DF241" s="168"/>
      <c r="DG241" s="168"/>
      <c r="DH241" s="168"/>
      <c r="DI241" s="168"/>
      <c r="DJ241" s="168"/>
      <c r="DK241" s="168"/>
      <c r="DL241" s="168"/>
      <c r="DM241" s="168"/>
      <c r="DN241" s="168"/>
      <c r="DO241" s="168"/>
      <c r="DP241" s="168"/>
      <c r="DQ241" s="168"/>
      <c r="DR241" s="168"/>
      <c r="DS241" s="168"/>
      <c r="DT241" s="211">
        <v>46216</v>
      </c>
      <c r="DU241" s="211"/>
      <c r="DV241" s="209"/>
      <c r="DW241" s="209"/>
      <c r="DX241" s="209"/>
      <c r="DY241" s="209"/>
      <c r="DZ241" s="209"/>
      <c r="EA241" s="209"/>
      <c r="EB241" s="209"/>
      <c r="EC241" s="209"/>
      <c r="ED241" s="21"/>
      <c r="EE241" s="21"/>
      <c r="EF241" s="339"/>
      <c r="EG241" s="338"/>
      <c r="EH241" s="339"/>
    </row>
    <row r="242" spans="2:138" ht="27.75">
      <c r="B242" s="357"/>
      <c r="C242" s="359"/>
      <c r="D242" s="359"/>
      <c r="E242" s="359"/>
      <c r="F242" s="359"/>
      <c r="G242" s="359"/>
      <c r="H242" s="324" t="s">
        <v>150</v>
      </c>
      <c r="I242" s="174">
        <v>46146</v>
      </c>
      <c r="J242" s="175"/>
      <c r="K242" s="169">
        <v>46153</v>
      </c>
      <c r="L242" s="272" t="s">
        <v>148</v>
      </c>
      <c r="M242" s="169">
        <v>46160</v>
      </c>
      <c r="N242" s="169">
        <v>46168</v>
      </c>
      <c r="O242" s="324" t="s">
        <v>148</v>
      </c>
      <c r="P242" s="169">
        <v>46174</v>
      </c>
      <c r="Q242" s="169">
        <v>46181</v>
      </c>
      <c r="R242" s="169">
        <v>46188</v>
      </c>
      <c r="S242" s="324" t="s">
        <v>149</v>
      </c>
      <c r="T242" s="169">
        <v>46195</v>
      </c>
      <c r="U242" s="169">
        <v>46202</v>
      </c>
      <c r="V242" s="169">
        <v>46209</v>
      </c>
      <c r="W242" s="324"/>
      <c r="X242" s="169"/>
      <c r="Y242" s="169"/>
      <c r="Z242" s="169"/>
      <c r="AA242" s="324"/>
      <c r="AB242" s="169"/>
      <c r="AC242" s="169"/>
      <c r="AD242" s="169"/>
      <c r="AE242" s="324"/>
      <c r="AF242" s="169"/>
      <c r="AG242" s="169"/>
      <c r="AH242" s="169"/>
      <c r="AI242" s="324"/>
      <c r="AJ242" s="169"/>
      <c r="AK242" s="169"/>
      <c r="AL242" s="169"/>
      <c r="AM242" s="324"/>
      <c r="AN242" s="169"/>
      <c r="AO242" s="169"/>
      <c r="AP242" s="169"/>
      <c r="AQ242" s="324"/>
      <c r="AR242" s="169"/>
      <c r="AS242" s="169"/>
      <c r="AT242" s="169"/>
      <c r="AU242" s="80"/>
      <c r="AV242" s="169"/>
      <c r="AW242" s="169"/>
      <c r="AX242" s="169"/>
      <c r="AY242" s="80"/>
      <c r="AZ242" s="169"/>
      <c r="BA242" s="169"/>
      <c r="BB242" s="169"/>
      <c r="BC242" s="80"/>
      <c r="BD242" s="170"/>
      <c r="BE242" s="170"/>
      <c r="BF242" s="170"/>
      <c r="BG242" s="170"/>
      <c r="BH242" s="170"/>
      <c r="BI242" s="170"/>
      <c r="BJ242" s="170"/>
      <c r="BK242" s="170"/>
      <c r="BL242" s="170"/>
      <c r="BM242" s="170"/>
      <c r="BN242" s="170"/>
      <c r="BO242" s="170"/>
      <c r="BP242" s="170"/>
      <c r="BQ242" s="170"/>
      <c r="BR242" s="170"/>
      <c r="BS242" s="170"/>
      <c r="BT242" s="170"/>
      <c r="BU242" s="170"/>
      <c r="BV242" s="170"/>
      <c r="BW242" s="170"/>
      <c r="BX242" s="170"/>
      <c r="BY242" s="170"/>
      <c r="BZ242" s="170"/>
      <c r="CA242" s="170"/>
      <c r="CB242" s="170"/>
      <c r="CC242" s="170"/>
      <c r="CD242" s="170"/>
      <c r="CE242" s="170"/>
      <c r="CF242" s="170"/>
      <c r="CG242" s="170"/>
      <c r="CH242" s="170"/>
      <c r="CI242" s="170"/>
      <c r="CJ242" s="170"/>
      <c r="CK242" s="170"/>
      <c r="CL242" s="170"/>
      <c r="CM242" s="170"/>
      <c r="CN242" s="170"/>
      <c r="CO242" s="170"/>
      <c r="CP242" s="170"/>
      <c r="CQ242" s="170"/>
      <c r="CR242" s="170"/>
      <c r="CS242" s="170"/>
      <c r="CT242" s="170"/>
      <c r="CU242" s="170"/>
      <c r="CV242" s="170"/>
      <c r="CW242" s="170"/>
      <c r="CX242" s="170"/>
      <c r="CY242" s="170"/>
      <c r="CZ242" s="170"/>
      <c r="DA242" s="170"/>
      <c r="DB242" s="170"/>
      <c r="DC242" s="170"/>
      <c r="DD242" s="170"/>
      <c r="DE242" s="170"/>
      <c r="DF242" s="170"/>
      <c r="DG242" s="170"/>
      <c r="DH242" s="170"/>
      <c r="DI242" s="170"/>
      <c r="DJ242" s="170"/>
      <c r="DK242" s="170"/>
      <c r="DL242" s="170"/>
      <c r="DM242" s="170"/>
      <c r="DN242" s="170"/>
      <c r="DO242" s="170"/>
      <c r="DP242" s="170"/>
      <c r="DQ242" s="170"/>
      <c r="DR242" s="170"/>
      <c r="DS242" s="170"/>
      <c r="DT242" s="113">
        <v>46216</v>
      </c>
      <c r="DU242" s="140"/>
      <c r="DV242" s="140"/>
      <c r="DW242" s="320"/>
      <c r="DX242" s="320"/>
      <c r="DY242" s="320"/>
      <c r="DZ242" s="320"/>
      <c r="EA242" s="320"/>
      <c r="EB242" s="320"/>
      <c r="EC242" s="320"/>
      <c r="ED242" s="214"/>
      <c r="EE242" s="214"/>
      <c r="EF242" s="339"/>
      <c r="EG242" s="338"/>
      <c r="EH242" s="338"/>
    </row>
    <row r="243" spans="2:138" s="119" customFormat="1" ht="31.15">
      <c r="B243" s="352" t="s">
        <v>432</v>
      </c>
      <c r="C243" s="340" t="s">
        <v>433</v>
      </c>
      <c r="D243" s="340" t="s">
        <v>434</v>
      </c>
      <c r="E243" s="340"/>
      <c r="F243" s="340" t="s">
        <v>229</v>
      </c>
      <c r="G243" s="340"/>
      <c r="H243" s="106" t="s">
        <v>147</v>
      </c>
      <c r="I243" s="107">
        <v>46143</v>
      </c>
      <c r="J243" s="108"/>
      <c r="K243" s="219">
        <v>46153</v>
      </c>
      <c r="L243" s="233" t="s">
        <v>148</v>
      </c>
      <c r="M243" s="220">
        <v>46160</v>
      </c>
      <c r="N243" s="220">
        <f>M243+7</f>
        <v>46167</v>
      </c>
      <c r="O243" s="220" t="s">
        <v>149</v>
      </c>
      <c r="P243" s="220">
        <f>N243+7</f>
        <v>46174</v>
      </c>
      <c r="Q243" s="220">
        <f>P243+7</f>
        <v>46181</v>
      </c>
      <c r="R243" s="220">
        <f>Q243+7</f>
        <v>46188</v>
      </c>
      <c r="S243" s="221" t="s">
        <v>149</v>
      </c>
      <c r="T243" s="221">
        <f>R243+7</f>
        <v>46195</v>
      </c>
      <c r="U243" s="221">
        <f>T243+7</f>
        <v>46202</v>
      </c>
      <c r="V243" s="221">
        <f>U243+7</f>
        <v>46209</v>
      </c>
      <c r="W243" s="221" t="s">
        <v>149</v>
      </c>
      <c r="X243" s="221">
        <f>V243+7</f>
        <v>46216</v>
      </c>
      <c r="Y243" s="221">
        <f>X243+7</f>
        <v>46223</v>
      </c>
      <c r="Z243" s="221">
        <f>Y243+7</f>
        <v>46230</v>
      </c>
      <c r="AA243" s="221" t="s">
        <v>149</v>
      </c>
      <c r="AB243" s="221">
        <f>Z243+7</f>
        <v>46237</v>
      </c>
      <c r="AC243" s="221">
        <f>AB243+7</f>
        <v>46244</v>
      </c>
      <c r="AD243" s="221">
        <f>AC243+7</f>
        <v>46251</v>
      </c>
      <c r="AE243" s="221" t="s">
        <v>149</v>
      </c>
      <c r="AF243" s="221">
        <f>AD243+7</f>
        <v>46258</v>
      </c>
      <c r="AG243" s="221">
        <f>AF243+7</f>
        <v>46265</v>
      </c>
      <c r="AH243" s="221">
        <f>AG243+7</f>
        <v>46272</v>
      </c>
      <c r="AI243" s="221" t="s">
        <v>149</v>
      </c>
      <c r="AJ243" s="221">
        <f>AH243+7</f>
        <v>46279</v>
      </c>
      <c r="AK243" s="221">
        <f>AJ243+7</f>
        <v>46286</v>
      </c>
      <c r="AL243" s="221">
        <f>AK243+7</f>
        <v>46293</v>
      </c>
      <c r="AM243" s="221" t="s">
        <v>149</v>
      </c>
      <c r="AN243" s="221">
        <f>AL243+7</f>
        <v>46300</v>
      </c>
      <c r="AO243" s="221">
        <f>AN243+7</f>
        <v>46307</v>
      </c>
      <c r="AP243" s="221">
        <f>AO243+7</f>
        <v>46314</v>
      </c>
      <c r="AQ243" s="221" t="s">
        <v>149</v>
      </c>
      <c r="AR243" s="221">
        <f>AP243+7</f>
        <v>46321</v>
      </c>
      <c r="AS243" s="221">
        <f>AR243+7</f>
        <v>46328</v>
      </c>
      <c r="AT243" s="221">
        <f>AS243+7</f>
        <v>46335</v>
      </c>
      <c r="AU243" s="222" t="s">
        <v>149</v>
      </c>
      <c r="AV243" s="221">
        <f>AT243+7</f>
        <v>46342</v>
      </c>
      <c r="AW243" s="221">
        <f>AV243+7</f>
        <v>46349</v>
      </c>
      <c r="AX243" s="221">
        <f>AW243+7</f>
        <v>46356</v>
      </c>
      <c r="AY243" s="222" t="s">
        <v>149</v>
      </c>
      <c r="AZ243" s="221">
        <f>AX243+7</f>
        <v>46363</v>
      </c>
      <c r="BA243" s="221">
        <f>AZ243+7</f>
        <v>46370</v>
      </c>
      <c r="BB243" s="221">
        <f>BA243+7</f>
        <v>46377</v>
      </c>
      <c r="BC243" s="222" t="s">
        <v>149</v>
      </c>
      <c r="BD243" s="222"/>
      <c r="BE243" s="222"/>
      <c r="BF243" s="222"/>
      <c r="BG243" s="222"/>
      <c r="BH243" s="222"/>
      <c r="BI243" s="222"/>
      <c r="BJ243" s="222"/>
      <c r="BK243" s="222"/>
      <c r="BL243" s="222"/>
      <c r="BM243" s="222"/>
      <c r="BN243" s="222"/>
      <c r="BO243" s="222"/>
      <c r="BP243" s="222"/>
      <c r="BQ243" s="222"/>
      <c r="BR243" s="222"/>
      <c r="BS243" s="222"/>
      <c r="BT243" s="222"/>
      <c r="BU243" s="222"/>
      <c r="BV243" s="222"/>
      <c r="BW243" s="222"/>
      <c r="BX243" s="222"/>
      <c r="BY243" s="222"/>
      <c r="BZ243" s="332"/>
      <c r="CA243" s="332"/>
      <c r="CB243" s="332"/>
      <c r="CC243" s="332"/>
      <c r="CD243" s="332"/>
      <c r="CE243" s="332"/>
      <c r="CF243" s="332"/>
      <c r="CG243" s="332"/>
      <c r="CH243" s="332"/>
      <c r="CI243" s="332"/>
      <c r="CJ243" s="332"/>
      <c r="CK243" s="332"/>
      <c r="CL243" s="332"/>
      <c r="CM243" s="332"/>
      <c r="CN243" s="332"/>
      <c r="CO243" s="332"/>
      <c r="CP243" s="332"/>
      <c r="CQ243" s="332"/>
      <c r="CR243" s="332"/>
      <c r="CS243" s="332"/>
      <c r="CT243" s="332"/>
      <c r="CU243" s="332"/>
      <c r="CV243" s="332"/>
      <c r="CW243" s="332"/>
      <c r="CX243" s="332"/>
      <c r="CY243" s="332"/>
      <c r="CZ243" s="332"/>
      <c r="DA243" s="332"/>
      <c r="DB243" s="332"/>
      <c r="DC243" s="332"/>
      <c r="DD243" s="332"/>
      <c r="DE243" s="332"/>
      <c r="DF243" s="332"/>
      <c r="DG243" s="332"/>
      <c r="DH243" s="332"/>
      <c r="DI243" s="332"/>
      <c r="DJ243" s="332"/>
      <c r="DK243" s="332"/>
      <c r="DL243" s="332"/>
      <c r="DM243" s="332"/>
      <c r="DN243" s="332"/>
      <c r="DO243" s="332"/>
      <c r="DP243" s="332"/>
      <c r="DQ243" s="332"/>
      <c r="DR243" s="332"/>
      <c r="DS243" s="332"/>
      <c r="DT243" s="53"/>
      <c r="DU243" s="53"/>
      <c r="DV243" s="106"/>
      <c r="DW243" s="106"/>
      <c r="DX243" s="106"/>
      <c r="DY243" s="106"/>
      <c r="DZ243" s="106"/>
      <c r="EA243" s="106"/>
      <c r="EB243" s="106"/>
      <c r="EC243" s="106"/>
      <c r="ED243" s="54"/>
      <c r="EE243" s="54"/>
      <c r="EF243" s="344"/>
      <c r="EG243" s="345"/>
      <c r="EH243" s="344"/>
    </row>
    <row r="244" spans="2:138" s="119" customFormat="1" ht="31.15">
      <c r="B244" s="353"/>
      <c r="C244" s="341"/>
      <c r="D244" s="341"/>
      <c r="E244" s="341"/>
      <c r="F244" s="341"/>
      <c r="G244" s="341"/>
      <c r="H244" s="325" t="s">
        <v>150</v>
      </c>
      <c r="I244" s="110">
        <v>46143</v>
      </c>
      <c r="J244" s="111"/>
      <c r="K244" s="112"/>
      <c r="L244" s="275"/>
      <c r="M244" s="112"/>
      <c r="N244" s="112"/>
      <c r="O244" s="325"/>
      <c r="P244" s="112"/>
      <c r="Q244" s="112"/>
      <c r="R244" s="112"/>
      <c r="S244" s="325"/>
      <c r="T244" s="112"/>
      <c r="U244" s="112"/>
      <c r="V244" s="112"/>
      <c r="W244" s="325"/>
      <c r="X244" s="112"/>
      <c r="Y244" s="112"/>
      <c r="Z244" s="112"/>
      <c r="AA244" s="325"/>
      <c r="AB244" s="112"/>
      <c r="AC244" s="112"/>
      <c r="AD244" s="112"/>
      <c r="AE244" s="325"/>
      <c r="AF244" s="112"/>
      <c r="AG244" s="112"/>
      <c r="AH244" s="112"/>
      <c r="AI244" s="325"/>
      <c r="AJ244" s="112"/>
      <c r="AK244" s="112"/>
      <c r="AL244" s="112"/>
      <c r="AM244" s="325"/>
      <c r="AN244" s="112"/>
      <c r="AO244" s="112"/>
      <c r="AP244" s="112"/>
      <c r="AQ244" s="325"/>
      <c r="AR244" s="112"/>
      <c r="AS244" s="112"/>
      <c r="AT244" s="112"/>
      <c r="AU244" s="328"/>
      <c r="AV244" s="112"/>
      <c r="AW244" s="112"/>
      <c r="AX244" s="112"/>
      <c r="AY244" s="328"/>
      <c r="AZ244" s="112"/>
      <c r="BA244" s="112"/>
      <c r="BB244" s="112"/>
      <c r="BC244" s="328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21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  <c r="DK244" s="121"/>
      <c r="DL244" s="121"/>
      <c r="DM244" s="121"/>
      <c r="DN244" s="121"/>
      <c r="DO244" s="121"/>
      <c r="DP244" s="121"/>
      <c r="DQ244" s="121"/>
      <c r="DR244" s="121"/>
      <c r="DS244" s="121"/>
      <c r="DT244" s="112"/>
      <c r="DU244" s="134"/>
      <c r="DV244" s="134"/>
      <c r="DW244" s="325"/>
      <c r="DX244" s="325"/>
      <c r="DY244" s="325"/>
      <c r="DZ244" s="325"/>
      <c r="EA244" s="325"/>
      <c r="EB244" s="325"/>
      <c r="EC244" s="325"/>
      <c r="ED244" s="61"/>
      <c r="EE244" s="61"/>
      <c r="EF244" s="344"/>
      <c r="EG244" s="345"/>
      <c r="EH244" s="345"/>
    </row>
    <row r="245" spans="2:138" ht="27.75">
      <c r="B245" s="346" t="s">
        <v>432</v>
      </c>
      <c r="C245" s="348" t="s">
        <v>435</v>
      </c>
      <c r="D245" s="348" t="s">
        <v>434</v>
      </c>
      <c r="E245" s="348" t="s">
        <v>431</v>
      </c>
      <c r="F245" s="348" t="s">
        <v>292</v>
      </c>
      <c r="G245" s="348"/>
      <c r="H245" s="209" t="s">
        <v>147</v>
      </c>
      <c r="I245" s="279">
        <v>46157</v>
      </c>
      <c r="J245" s="210"/>
      <c r="K245" s="215">
        <v>46153</v>
      </c>
      <c r="L245" s="269" t="s">
        <v>148</v>
      </c>
      <c r="M245" s="216">
        <v>46160</v>
      </c>
      <c r="N245" s="216">
        <f>M245+7</f>
        <v>46167</v>
      </c>
      <c r="O245" s="216" t="s">
        <v>149</v>
      </c>
      <c r="P245" s="216">
        <f>N245+7</f>
        <v>46174</v>
      </c>
      <c r="Q245" s="216">
        <f>P245+7</f>
        <v>46181</v>
      </c>
      <c r="R245" s="216">
        <f>Q245+7</f>
        <v>46188</v>
      </c>
      <c r="S245" s="217" t="s">
        <v>149</v>
      </c>
      <c r="T245" s="217">
        <f>R245+7</f>
        <v>46195</v>
      </c>
      <c r="U245" s="217">
        <f>T245+7</f>
        <v>46202</v>
      </c>
      <c r="V245" s="217">
        <f>U245+7</f>
        <v>46209</v>
      </c>
      <c r="W245" s="217" t="s">
        <v>149</v>
      </c>
      <c r="X245" s="217">
        <f>V245+7</f>
        <v>46216</v>
      </c>
      <c r="Y245" s="217">
        <f>X245+7</f>
        <v>46223</v>
      </c>
      <c r="Z245" s="217">
        <f>Y245+7</f>
        <v>46230</v>
      </c>
      <c r="AA245" s="217" t="s">
        <v>149</v>
      </c>
      <c r="AB245" s="217">
        <f>Z245+7</f>
        <v>46237</v>
      </c>
      <c r="AC245" s="217">
        <f>AB245+7</f>
        <v>46244</v>
      </c>
      <c r="AD245" s="217">
        <f>AC245+7</f>
        <v>46251</v>
      </c>
      <c r="AE245" s="217" t="s">
        <v>149</v>
      </c>
      <c r="AF245" s="217">
        <f>AD245+7</f>
        <v>46258</v>
      </c>
      <c r="AG245" s="217">
        <f>AF245+7</f>
        <v>46265</v>
      </c>
      <c r="AH245" s="217">
        <f>AG245+7</f>
        <v>46272</v>
      </c>
      <c r="AI245" s="217" t="s">
        <v>149</v>
      </c>
      <c r="AJ245" s="217">
        <f>AH245+7</f>
        <v>46279</v>
      </c>
      <c r="AK245" s="217">
        <f>AJ245+7</f>
        <v>46286</v>
      </c>
      <c r="AL245" s="217">
        <f>AK245+7</f>
        <v>46293</v>
      </c>
      <c r="AM245" s="217" t="s">
        <v>149</v>
      </c>
      <c r="AN245" s="217">
        <f>AL245+7</f>
        <v>46300</v>
      </c>
      <c r="AO245" s="217">
        <f>AN245+7</f>
        <v>46307</v>
      </c>
      <c r="AP245" s="217">
        <f>AO245+7</f>
        <v>46314</v>
      </c>
      <c r="AQ245" s="217" t="s">
        <v>149</v>
      </c>
      <c r="AR245" s="217">
        <f>AP245+7</f>
        <v>46321</v>
      </c>
      <c r="AS245" s="217">
        <f>AR245+7</f>
        <v>46328</v>
      </c>
      <c r="AT245" s="217">
        <f>AS245+7</f>
        <v>46335</v>
      </c>
      <c r="AU245" s="218" t="s">
        <v>149</v>
      </c>
      <c r="AV245" s="217">
        <f>AT245+7</f>
        <v>46342</v>
      </c>
      <c r="AW245" s="217">
        <f>AV245+7</f>
        <v>46349</v>
      </c>
      <c r="AX245" s="217">
        <f>AW245+7</f>
        <v>46356</v>
      </c>
      <c r="AY245" s="218" t="s">
        <v>149</v>
      </c>
      <c r="AZ245" s="217">
        <f>AX245+7</f>
        <v>46363</v>
      </c>
      <c r="BA245" s="217">
        <f>AZ245+7</f>
        <v>46370</v>
      </c>
      <c r="BB245" s="217">
        <f>BA245+7</f>
        <v>46377</v>
      </c>
      <c r="BC245" s="218" t="s">
        <v>149</v>
      </c>
      <c r="BD245" s="218"/>
      <c r="BE245" s="218"/>
      <c r="BF245" s="218"/>
      <c r="BG245" s="218"/>
      <c r="BH245" s="218"/>
      <c r="BI245" s="218"/>
      <c r="BJ245" s="218"/>
      <c r="BK245" s="218"/>
      <c r="BL245" s="218"/>
      <c r="BM245" s="218"/>
      <c r="BN245" s="218"/>
      <c r="BO245" s="218"/>
      <c r="BP245" s="218"/>
      <c r="BQ245" s="218"/>
      <c r="BR245" s="218"/>
      <c r="BS245" s="218"/>
      <c r="BT245" s="218"/>
      <c r="BU245" s="218"/>
      <c r="BV245" s="218"/>
      <c r="BW245" s="218"/>
      <c r="BX245" s="218"/>
      <c r="BY245" s="218"/>
      <c r="BZ245" s="208"/>
      <c r="CA245" s="208"/>
      <c r="CB245" s="208"/>
      <c r="CC245" s="208"/>
      <c r="CD245" s="208"/>
      <c r="CE245" s="208"/>
      <c r="CF245" s="208"/>
      <c r="CG245" s="208"/>
      <c r="CH245" s="208"/>
      <c r="CI245" s="208"/>
      <c r="CJ245" s="208"/>
      <c r="CK245" s="208"/>
      <c r="CL245" s="208"/>
      <c r="CM245" s="208"/>
      <c r="CN245" s="208"/>
      <c r="CO245" s="208"/>
      <c r="CP245" s="208"/>
      <c r="CQ245" s="208"/>
      <c r="CR245" s="208"/>
      <c r="CS245" s="208"/>
      <c r="CT245" s="208"/>
      <c r="CU245" s="208"/>
      <c r="CV245" s="208"/>
      <c r="CW245" s="208"/>
      <c r="CX245" s="208"/>
      <c r="CY245" s="208"/>
      <c r="CZ245" s="208"/>
      <c r="DA245" s="208"/>
      <c r="DB245" s="208"/>
      <c r="DC245" s="208"/>
      <c r="DD245" s="208"/>
      <c r="DE245" s="208"/>
      <c r="DF245" s="208"/>
      <c r="DG245" s="208"/>
      <c r="DH245" s="208"/>
      <c r="DI245" s="208"/>
      <c r="DJ245" s="208"/>
      <c r="DK245" s="208"/>
      <c r="DL245" s="208"/>
      <c r="DM245" s="208"/>
      <c r="DN245" s="208"/>
      <c r="DO245" s="208"/>
      <c r="DP245" s="208"/>
      <c r="DQ245" s="208"/>
      <c r="DR245" s="208"/>
      <c r="DS245" s="208"/>
      <c r="DT245" s="211"/>
      <c r="DU245" s="211"/>
      <c r="DV245" s="209"/>
      <c r="DW245" s="209"/>
      <c r="DX245" s="209"/>
      <c r="DY245" s="209"/>
      <c r="DZ245" s="209"/>
      <c r="EA245" s="209"/>
      <c r="EB245" s="209"/>
      <c r="EC245" s="209"/>
      <c r="ED245" s="21"/>
      <c r="EE245" s="21"/>
      <c r="EF245" s="339"/>
      <c r="EG245" s="338"/>
      <c r="EH245" s="339"/>
    </row>
    <row r="246" spans="2:138" ht="27.75">
      <c r="B246" s="347"/>
      <c r="C246" s="349"/>
      <c r="D246" s="349"/>
      <c r="E246" s="349"/>
      <c r="F246" s="349"/>
      <c r="G246" s="349"/>
      <c r="H246" s="320" t="s">
        <v>150</v>
      </c>
      <c r="I246" s="280">
        <v>46157</v>
      </c>
      <c r="J246" s="212"/>
      <c r="K246" s="113">
        <v>46175</v>
      </c>
      <c r="L246" s="271"/>
      <c r="M246" s="113">
        <v>46182</v>
      </c>
      <c r="N246" s="113">
        <v>46189</v>
      </c>
      <c r="O246" s="320">
        <v>46196</v>
      </c>
      <c r="P246" s="113">
        <v>46203</v>
      </c>
      <c r="Q246" s="113">
        <v>46210</v>
      </c>
      <c r="R246" s="113">
        <v>46217</v>
      </c>
      <c r="S246" s="320"/>
      <c r="T246" s="113"/>
      <c r="U246" s="113"/>
      <c r="V246" s="113"/>
      <c r="W246" s="320"/>
      <c r="X246" s="113"/>
      <c r="Y246" s="113"/>
      <c r="Z246" s="113"/>
      <c r="AA246" s="320"/>
      <c r="AB246" s="113"/>
      <c r="AC246" s="113"/>
      <c r="AD246" s="113"/>
      <c r="AE246" s="320"/>
      <c r="AF246" s="113"/>
      <c r="AG246" s="113"/>
      <c r="AH246" s="113"/>
      <c r="AI246" s="320"/>
      <c r="AJ246" s="113"/>
      <c r="AK246" s="113"/>
      <c r="AL246" s="113"/>
      <c r="AM246" s="320"/>
      <c r="AN246" s="113"/>
      <c r="AO246" s="113"/>
      <c r="AP246" s="113"/>
      <c r="AQ246" s="320"/>
      <c r="AR246" s="113"/>
      <c r="AS246" s="113"/>
      <c r="AT246" s="113"/>
      <c r="AU246" s="322"/>
      <c r="AV246" s="113"/>
      <c r="AW246" s="113"/>
      <c r="AX246" s="113"/>
      <c r="AY246" s="322"/>
      <c r="AZ246" s="113"/>
      <c r="BA246" s="113"/>
      <c r="BB246" s="113"/>
      <c r="BC246" s="322"/>
      <c r="BD246" s="213"/>
      <c r="BE246" s="213"/>
      <c r="BF246" s="213"/>
      <c r="BG246" s="213"/>
      <c r="BH246" s="213"/>
      <c r="BI246" s="213"/>
      <c r="BJ246" s="213"/>
      <c r="BK246" s="213"/>
      <c r="BL246" s="213"/>
      <c r="BM246" s="213"/>
      <c r="BN246" s="213"/>
      <c r="BO246" s="213"/>
      <c r="BP246" s="213"/>
      <c r="BQ246" s="213"/>
      <c r="BR246" s="213"/>
      <c r="BS246" s="213"/>
      <c r="BT246" s="213"/>
      <c r="BU246" s="213"/>
      <c r="BV246" s="213"/>
      <c r="BW246" s="213"/>
      <c r="BX246" s="213"/>
      <c r="BY246" s="213"/>
      <c r="BZ246" s="213"/>
      <c r="CA246" s="213"/>
      <c r="CB246" s="213"/>
      <c r="CC246" s="213"/>
      <c r="CD246" s="213"/>
      <c r="CE246" s="213"/>
      <c r="CF246" s="213"/>
      <c r="CG246" s="213"/>
      <c r="CH246" s="213"/>
      <c r="CI246" s="213"/>
      <c r="CJ246" s="213"/>
      <c r="CK246" s="213"/>
      <c r="CL246" s="213"/>
      <c r="CM246" s="213"/>
      <c r="CN246" s="213"/>
      <c r="CO246" s="213"/>
      <c r="CP246" s="213"/>
      <c r="CQ246" s="213"/>
      <c r="CR246" s="213"/>
      <c r="CS246" s="213"/>
      <c r="CT246" s="213"/>
      <c r="CU246" s="213"/>
      <c r="CV246" s="213"/>
      <c r="CW246" s="213"/>
      <c r="CX246" s="213"/>
      <c r="CY246" s="213"/>
      <c r="CZ246" s="213"/>
      <c r="DA246" s="213"/>
      <c r="DB246" s="213"/>
      <c r="DC246" s="213"/>
      <c r="DD246" s="213"/>
      <c r="DE246" s="213"/>
      <c r="DF246" s="213"/>
      <c r="DG246" s="213"/>
      <c r="DH246" s="213"/>
      <c r="DI246" s="213"/>
      <c r="DJ246" s="213"/>
      <c r="DK246" s="213"/>
      <c r="DL246" s="213"/>
      <c r="DM246" s="213"/>
      <c r="DN246" s="213"/>
      <c r="DO246" s="213"/>
      <c r="DP246" s="213"/>
      <c r="DQ246" s="213"/>
      <c r="DR246" s="213"/>
      <c r="DS246" s="213"/>
      <c r="DT246" s="113"/>
      <c r="DU246" s="140"/>
      <c r="DV246" s="140"/>
      <c r="DW246" s="320"/>
      <c r="DX246" s="320"/>
      <c r="DY246" s="320"/>
      <c r="DZ246" s="320"/>
      <c r="EA246" s="320"/>
      <c r="EB246" s="320"/>
      <c r="EC246" s="320"/>
      <c r="ED246" s="214"/>
      <c r="EE246" s="214"/>
      <c r="EF246" s="339"/>
      <c r="EG246" s="338"/>
      <c r="EH246" s="338"/>
    </row>
    <row r="247" spans="2:138" ht="27.75">
      <c r="B247" s="356" t="s">
        <v>436</v>
      </c>
      <c r="C247" s="358" t="s">
        <v>437</v>
      </c>
      <c r="D247" s="358" t="s">
        <v>381</v>
      </c>
      <c r="E247" s="380" t="s">
        <v>364</v>
      </c>
      <c r="F247" s="358" t="s">
        <v>250</v>
      </c>
      <c r="G247" s="358"/>
      <c r="H247" s="289" t="s">
        <v>147</v>
      </c>
      <c r="I247" s="228">
        <v>46147</v>
      </c>
      <c r="J247" s="296"/>
      <c r="K247" s="228">
        <v>46073</v>
      </c>
      <c r="L247" s="228">
        <v>46078</v>
      </c>
      <c r="M247" s="296">
        <v>46080</v>
      </c>
      <c r="N247" s="296">
        <f>M247+7</f>
        <v>46087</v>
      </c>
      <c r="O247" s="296">
        <v>46093</v>
      </c>
      <c r="P247" s="296">
        <f t="shared" ref="P247" si="2899">N247+7</f>
        <v>46094</v>
      </c>
      <c r="Q247" s="296">
        <f t="shared" ref="Q247" si="2900">P247+7</f>
        <v>46101</v>
      </c>
      <c r="R247" s="296">
        <f t="shared" ref="R247" si="2901">Q247+7</f>
        <v>46108</v>
      </c>
      <c r="S247" s="297" t="s">
        <v>149</v>
      </c>
      <c r="T247" s="297">
        <f t="shared" ref="T247" si="2902">R247+7</f>
        <v>46115</v>
      </c>
      <c r="U247" s="297">
        <f t="shared" ref="U247" si="2903">T247+7</f>
        <v>46122</v>
      </c>
      <c r="V247" s="297">
        <f t="shared" ref="V247" si="2904">U247+7</f>
        <v>46129</v>
      </c>
      <c r="W247" s="297" t="s">
        <v>149</v>
      </c>
      <c r="X247" s="297">
        <f t="shared" ref="X247" si="2905">V247+7</f>
        <v>46136</v>
      </c>
      <c r="Y247" s="297">
        <f t="shared" ref="Y247" si="2906">X247+7</f>
        <v>46143</v>
      </c>
      <c r="Z247" s="297">
        <f t="shared" ref="Z247" si="2907">Y247+7</f>
        <v>46150</v>
      </c>
      <c r="AA247" s="297" t="s">
        <v>149</v>
      </c>
      <c r="AB247" s="297">
        <f t="shared" ref="AB247" si="2908">Z247+7</f>
        <v>46157</v>
      </c>
      <c r="AC247" s="297">
        <f t="shared" ref="AC247" si="2909">AB247+7</f>
        <v>46164</v>
      </c>
      <c r="AD247" s="297">
        <f t="shared" ref="AD247" si="2910">AC247+7</f>
        <v>46171</v>
      </c>
      <c r="AE247" s="297" t="s">
        <v>149</v>
      </c>
      <c r="AF247" s="297">
        <f t="shared" ref="AF247" si="2911">AD247+7</f>
        <v>46178</v>
      </c>
      <c r="AG247" s="297">
        <f t="shared" ref="AG247" si="2912">AF247+7</f>
        <v>46185</v>
      </c>
      <c r="AH247" s="297">
        <f t="shared" ref="AH247" si="2913">AG247+7</f>
        <v>46192</v>
      </c>
      <c r="AI247" s="297" t="s">
        <v>149</v>
      </c>
      <c r="AJ247" s="297">
        <f t="shared" ref="AJ247" si="2914">AH247+7</f>
        <v>46199</v>
      </c>
      <c r="AK247" s="297">
        <f t="shared" ref="AK247" si="2915">AJ247+7</f>
        <v>46206</v>
      </c>
      <c r="AL247" s="297">
        <f t="shared" ref="AL247" si="2916">AK247+7</f>
        <v>46213</v>
      </c>
      <c r="AM247" s="297" t="s">
        <v>149</v>
      </c>
      <c r="AN247" s="297">
        <f t="shared" ref="AN247" si="2917">AL247+7</f>
        <v>46220</v>
      </c>
      <c r="AO247" s="297">
        <f t="shared" ref="AO247" si="2918">AN247+7</f>
        <v>46227</v>
      </c>
      <c r="AP247" s="297">
        <f t="shared" ref="AP247" si="2919">AO247+7</f>
        <v>46234</v>
      </c>
      <c r="AQ247" s="297" t="s">
        <v>149</v>
      </c>
      <c r="AR247" s="297">
        <f t="shared" ref="AR247" si="2920">AP247+7</f>
        <v>46241</v>
      </c>
      <c r="AS247" s="297">
        <f t="shared" ref="AS247" si="2921">AR247+7</f>
        <v>46248</v>
      </c>
      <c r="AT247" s="297">
        <f t="shared" ref="AT247" si="2922">AS247+7</f>
        <v>46255</v>
      </c>
      <c r="AU247" s="297" t="s">
        <v>149</v>
      </c>
      <c r="AV247" s="297">
        <f t="shared" ref="AV247" si="2923">AT247+7</f>
        <v>46262</v>
      </c>
      <c r="AW247" s="297">
        <f t="shared" ref="AW247" si="2924">AV247+7</f>
        <v>46269</v>
      </c>
      <c r="AX247" s="297">
        <f t="shared" ref="AX247" si="2925">AW247+7</f>
        <v>46276</v>
      </c>
      <c r="AY247" s="297" t="s">
        <v>149</v>
      </c>
      <c r="AZ247" s="297">
        <f t="shared" ref="AZ247" si="2926">AX247+7</f>
        <v>46283</v>
      </c>
      <c r="BA247" s="297">
        <f t="shared" ref="BA247" si="2927">AZ247+7</f>
        <v>46290</v>
      </c>
      <c r="BB247" s="297">
        <f t="shared" ref="BB247" si="2928">BA247+7</f>
        <v>46297</v>
      </c>
      <c r="BC247" s="297" t="s">
        <v>149</v>
      </c>
      <c r="BD247" s="297">
        <f t="shared" ref="BD247" si="2929">BB247+7</f>
        <v>46304</v>
      </c>
      <c r="BE247" s="297">
        <f t="shared" ref="BE247" si="2930">BD247+7</f>
        <v>46311</v>
      </c>
      <c r="BF247" s="297">
        <f t="shared" ref="BF247" si="2931">BE247+7</f>
        <v>46318</v>
      </c>
      <c r="BG247" s="297" t="s">
        <v>148</v>
      </c>
      <c r="BH247" s="297">
        <f t="shared" ref="BH247" si="2932">BF247+7</f>
        <v>46325</v>
      </c>
      <c r="BI247" s="297">
        <f t="shared" ref="BI247" si="2933">BH247+7</f>
        <v>46332</v>
      </c>
      <c r="BJ247" s="297">
        <f t="shared" ref="BJ247" si="2934">BI247+7</f>
        <v>46339</v>
      </c>
      <c r="BK247" s="297" t="s">
        <v>148</v>
      </c>
      <c r="BL247" s="297">
        <f t="shared" ref="BL247" si="2935">BJ247+7</f>
        <v>46346</v>
      </c>
      <c r="BM247" s="297">
        <f t="shared" ref="BM247" si="2936">BL247+7</f>
        <v>46353</v>
      </c>
      <c r="BN247" s="297">
        <f t="shared" ref="BN247" si="2937">BM247+7</f>
        <v>46360</v>
      </c>
      <c r="BO247" s="297" t="s">
        <v>149</v>
      </c>
      <c r="BP247" s="297">
        <f t="shared" ref="BP247" si="2938">BN247+7</f>
        <v>46367</v>
      </c>
      <c r="BQ247" s="297">
        <f t="shared" ref="BQ247" si="2939">BP247+7</f>
        <v>46374</v>
      </c>
      <c r="BR247" s="297">
        <f t="shared" ref="BR247" si="2940">BQ247+7</f>
        <v>46381</v>
      </c>
      <c r="BS247" s="297" t="s">
        <v>148</v>
      </c>
      <c r="BT247" s="297">
        <f t="shared" ref="BT247" si="2941">BR247+7</f>
        <v>46388</v>
      </c>
      <c r="BU247" s="297">
        <f t="shared" ref="BU247" si="2942">BT247+7</f>
        <v>46395</v>
      </c>
      <c r="BV247" s="297">
        <f t="shared" ref="BV247" si="2943">BU247+7</f>
        <v>46402</v>
      </c>
      <c r="BW247" s="297" t="s">
        <v>149</v>
      </c>
      <c r="BX247" s="297">
        <f t="shared" ref="BX247" si="2944">BV247+7</f>
        <v>46409</v>
      </c>
      <c r="BY247" s="297">
        <f t="shared" ref="BY247" si="2945">BX247+7</f>
        <v>46416</v>
      </c>
      <c r="BZ247" s="297">
        <f t="shared" ref="BZ247" si="2946">BY247+7</f>
        <v>46423</v>
      </c>
      <c r="CA247" s="297" t="s">
        <v>149</v>
      </c>
      <c r="CB247" s="297"/>
      <c r="CC247" s="297"/>
      <c r="CD247" s="297"/>
      <c r="CE247" s="297"/>
      <c r="CF247" s="297"/>
      <c r="CG247" s="297"/>
      <c r="CH247" s="297"/>
      <c r="CI247" s="297"/>
      <c r="CJ247" s="297"/>
      <c r="CK247" s="297"/>
      <c r="CL247" s="297"/>
      <c r="CM247" s="297"/>
      <c r="CN247" s="297"/>
      <c r="CO247" s="297"/>
      <c r="CP247" s="297"/>
      <c r="CQ247" s="297"/>
      <c r="CR247" s="297"/>
      <c r="CS247" s="297"/>
      <c r="CT247" s="297"/>
      <c r="CU247" s="297"/>
      <c r="CV247" s="297"/>
      <c r="CW247" s="297"/>
      <c r="CX247" s="297"/>
      <c r="CY247" s="297"/>
      <c r="CZ247" s="297"/>
      <c r="DA247" s="297"/>
      <c r="DB247" s="297"/>
      <c r="DC247" s="297"/>
      <c r="DD247" s="297"/>
      <c r="DE247" s="297"/>
      <c r="DF247" s="297"/>
      <c r="DG247" s="297"/>
      <c r="DH247" s="297"/>
      <c r="DI247" s="297"/>
      <c r="DJ247" s="297"/>
      <c r="DK247" s="297"/>
      <c r="DL247" s="297"/>
      <c r="DM247" s="297"/>
      <c r="DN247" s="297"/>
      <c r="DO247" s="297"/>
      <c r="DP247" s="297"/>
      <c r="DQ247" s="297"/>
      <c r="DR247" s="297"/>
      <c r="DS247" s="297"/>
      <c r="DT247" s="294" t="s">
        <v>149</v>
      </c>
      <c r="DU247" s="294" t="s">
        <v>149</v>
      </c>
      <c r="DV247" s="293" t="s">
        <v>149</v>
      </c>
      <c r="DW247" s="293"/>
      <c r="DX247" s="293"/>
      <c r="DY247" s="293"/>
      <c r="DZ247" s="293"/>
      <c r="EA247" s="293"/>
      <c r="EB247" s="293"/>
      <c r="EC247" s="293"/>
      <c r="ED247" s="295"/>
      <c r="EE247" s="128"/>
      <c r="EF247" s="339"/>
      <c r="EG247" s="338"/>
      <c r="EH247" s="339"/>
    </row>
    <row r="248" spans="2:138" ht="27.75">
      <c r="B248" s="357"/>
      <c r="C248" s="359"/>
      <c r="D248" s="359"/>
      <c r="E248" s="363"/>
      <c r="F248" s="359"/>
      <c r="G248" s="359"/>
      <c r="H248" s="324" t="s">
        <v>150</v>
      </c>
      <c r="I248" s="169">
        <v>46147</v>
      </c>
      <c r="J248" s="324"/>
      <c r="K248" s="169"/>
      <c r="L248" s="169"/>
      <c r="M248" s="202"/>
      <c r="N248" s="169"/>
      <c r="O248" s="324"/>
      <c r="P248" s="169"/>
      <c r="Q248" s="169"/>
      <c r="R248" s="169"/>
      <c r="S248" s="324"/>
      <c r="T248" s="169"/>
      <c r="U248" s="169"/>
      <c r="V248" s="169"/>
      <c r="W248" s="152"/>
      <c r="X248" s="169"/>
      <c r="Y248" s="169"/>
      <c r="Z248" s="169"/>
      <c r="AA248" s="176"/>
      <c r="AB248" s="169"/>
      <c r="AC248" s="169"/>
      <c r="AD248" s="169"/>
      <c r="AE248" s="177"/>
      <c r="AF248" s="177"/>
      <c r="AG248" s="177"/>
      <c r="AH248" s="177"/>
      <c r="AI248" s="177"/>
      <c r="AJ248" s="177"/>
      <c r="AK248" s="177"/>
      <c r="AL248" s="177"/>
      <c r="AM248" s="177"/>
      <c r="AN248" s="177"/>
      <c r="AO248" s="177"/>
      <c r="AP248" s="177"/>
      <c r="AQ248" s="178"/>
      <c r="AR248" s="177"/>
      <c r="AS248" s="177"/>
      <c r="AT248" s="177"/>
      <c r="AU248" s="177"/>
      <c r="AV248" s="177"/>
      <c r="AW248" s="177"/>
      <c r="AX248" s="177"/>
      <c r="AY248" s="177"/>
      <c r="AZ248" s="291"/>
      <c r="BA248" s="291"/>
      <c r="BB248" s="291"/>
      <c r="BC248" s="177"/>
      <c r="BD248" s="177"/>
      <c r="BE248" s="177"/>
      <c r="BF248" s="177"/>
      <c r="BG248" s="177"/>
      <c r="BH248" s="177"/>
      <c r="BI248" s="177"/>
      <c r="BJ248" s="177"/>
      <c r="BK248" s="177"/>
      <c r="BL248" s="177"/>
      <c r="BM248" s="177"/>
      <c r="BN248" s="177"/>
      <c r="BO248" s="177"/>
      <c r="BP248" s="177"/>
      <c r="BQ248" s="177"/>
      <c r="BR248" s="177"/>
      <c r="BS248" s="177"/>
      <c r="BT248" s="177"/>
      <c r="BU248" s="177"/>
      <c r="BV248" s="177"/>
      <c r="BW248" s="177"/>
      <c r="BX248" s="177"/>
      <c r="BY248" s="177"/>
      <c r="BZ248" s="177"/>
      <c r="CA248" s="177"/>
      <c r="CB248" s="177"/>
      <c r="CC248" s="177"/>
      <c r="CD248" s="177"/>
      <c r="CE248" s="177"/>
      <c r="CF248" s="177"/>
      <c r="CG248" s="177"/>
      <c r="CH248" s="177"/>
      <c r="CI248" s="177"/>
      <c r="CJ248" s="177"/>
      <c r="CK248" s="177"/>
      <c r="CL248" s="177"/>
      <c r="CM248" s="177"/>
      <c r="CN248" s="177"/>
      <c r="CO248" s="177"/>
      <c r="CP248" s="177"/>
      <c r="CQ248" s="177"/>
      <c r="CR248" s="177"/>
      <c r="CS248" s="177"/>
      <c r="CT248" s="177"/>
      <c r="CU248" s="177"/>
      <c r="CV248" s="177"/>
      <c r="CW248" s="177"/>
      <c r="CX248" s="177"/>
      <c r="CY248" s="177"/>
      <c r="CZ248" s="177"/>
      <c r="DA248" s="177"/>
      <c r="DB248" s="177"/>
      <c r="DC248" s="177"/>
      <c r="DD248" s="177"/>
      <c r="DE248" s="177"/>
      <c r="DF248" s="177"/>
      <c r="DG248" s="177"/>
      <c r="DH248" s="177"/>
      <c r="DI248" s="177"/>
      <c r="DJ248" s="177"/>
      <c r="DK248" s="177"/>
      <c r="DL248" s="177"/>
      <c r="DM248" s="177"/>
      <c r="DN248" s="177"/>
      <c r="DO248" s="177"/>
      <c r="DP248" s="177"/>
      <c r="DQ248" s="177"/>
      <c r="DR248" s="177"/>
      <c r="DS248" s="177"/>
      <c r="DT248" s="28" t="s">
        <v>149</v>
      </c>
      <c r="DU248" s="132" t="s">
        <v>149</v>
      </c>
      <c r="DV248" s="69" t="s">
        <v>149</v>
      </c>
      <c r="DW248" s="69"/>
      <c r="DX248" s="69"/>
      <c r="DY248" s="69"/>
      <c r="DZ248" s="69"/>
      <c r="EA248" s="69"/>
      <c r="EB248" s="69"/>
      <c r="EC248" s="69"/>
      <c r="ED248" s="22"/>
      <c r="EE248" s="22"/>
      <c r="EF248" s="339"/>
      <c r="EG248" s="338"/>
      <c r="EH248" s="338"/>
    </row>
    <row r="249" spans="2:138" ht="29.45" customHeight="1">
      <c r="B249" s="356" t="s">
        <v>436</v>
      </c>
      <c r="C249" s="358" t="s">
        <v>438</v>
      </c>
      <c r="D249" s="358" t="s">
        <v>381</v>
      </c>
      <c r="E249" s="380" t="s">
        <v>364</v>
      </c>
      <c r="F249" s="358" t="s">
        <v>210</v>
      </c>
      <c r="G249" s="358"/>
      <c r="H249" s="289" t="s">
        <v>147</v>
      </c>
      <c r="I249" s="228">
        <v>46163</v>
      </c>
      <c r="J249" s="296"/>
      <c r="K249" s="228">
        <v>46073</v>
      </c>
      <c r="L249" s="228">
        <v>46078</v>
      </c>
      <c r="M249" s="296">
        <v>46080</v>
      </c>
      <c r="N249" s="296">
        <f>M249+7</f>
        <v>46087</v>
      </c>
      <c r="O249" s="296">
        <v>46093</v>
      </c>
      <c r="P249" s="296">
        <f t="shared" ref="P249" si="2947">N249+7</f>
        <v>46094</v>
      </c>
      <c r="Q249" s="296">
        <f t="shared" ref="Q249" si="2948">P249+7</f>
        <v>46101</v>
      </c>
      <c r="R249" s="296">
        <f t="shared" ref="R249" si="2949">Q249+7</f>
        <v>46108</v>
      </c>
      <c r="S249" s="297" t="s">
        <v>149</v>
      </c>
      <c r="T249" s="297">
        <f t="shared" ref="T249" si="2950">R249+7</f>
        <v>46115</v>
      </c>
      <c r="U249" s="297">
        <f t="shared" ref="U249" si="2951">T249+7</f>
        <v>46122</v>
      </c>
      <c r="V249" s="297">
        <f t="shared" ref="V249" si="2952">U249+7</f>
        <v>46129</v>
      </c>
      <c r="W249" s="297" t="s">
        <v>149</v>
      </c>
      <c r="X249" s="297">
        <f t="shared" ref="X249" si="2953">V249+7</f>
        <v>46136</v>
      </c>
      <c r="Y249" s="297">
        <f t="shared" ref="Y249" si="2954">X249+7</f>
        <v>46143</v>
      </c>
      <c r="Z249" s="297">
        <f t="shared" ref="Z249" si="2955">Y249+7</f>
        <v>46150</v>
      </c>
      <c r="AA249" s="297" t="s">
        <v>149</v>
      </c>
      <c r="AB249" s="297">
        <f t="shared" ref="AB249" si="2956">Z249+7</f>
        <v>46157</v>
      </c>
      <c r="AC249" s="297">
        <f t="shared" ref="AC249" si="2957">AB249+7</f>
        <v>46164</v>
      </c>
      <c r="AD249" s="297">
        <f t="shared" ref="AD249" si="2958">AC249+7</f>
        <v>46171</v>
      </c>
      <c r="AE249" s="297" t="s">
        <v>149</v>
      </c>
      <c r="AF249" s="297">
        <f t="shared" ref="AF249" si="2959">AD249+7</f>
        <v>46178</v>
      </c>
      <c r="AG249" s="297">
        <f t="shared" ref="AG249" si="2960">AF249+7</f>
        <v>46185</v>
      </c>
      <c r="AH249" s="297">
        <f t="shared" ref="AH249" si="2961">AG249+7</f>
        <v>46192</v>
      </c>
      <c r="AI249" s="297" t="s">
        <v>149</v>
      </c>
      <c r="AJ249" s="297">
        <f t="shared" ref="AJ249" si="2962">AH249+7</f>
        <v>46199</v>
      </c>
      <c r="AK249" s="297">
        <f t="shared" ref="AK249" si="2963">AJ249+7</f>
        <v>46206</v>
      </c>
      <c r="AL249" s="297">
        <f t="shared" ref="AL249" si="2964">AK249+7</f>
        <v>46213</v>
      </c>
      <c r="AM249" s="297" t="s">
        <v>149</v>
      </c>
      <c r="AN249" s="297">
        <f t="shared" ref="AN249" si="2965">AL249+7</f>
        <v>46220</v>
      </c>
      <c r="AO249" s="297">
        <f t="shared" ref="AO249" si="2966">AN249+7</f>
        <v>46227</v>
      </c>
      <c r="AP249" s="297">
        <f t="shared" ref="AP249" si="2967">AO249+7</f>
        <v>46234</v>
      </c>
      <c r="AQ249" s="297" t="s">
        <v>149</v>
      </c>
      <c r="AR249" s="297">
        <f t="shared" ref="AR249" si="2968">AP249+7</f>
        <v>46241</v>
      </c>
      <c r="AS249" s="297">
        <f t="shared" ref="AS249" si="2969">AR249+7</f>
        <v>46248</v>
      </c>
      <c r="AT249" s="297">
        <f t="shared" ref="AT249" si="2970">AS249+7</f>
        <v>46255</v>
      </c>
      <c r="AU249" s="297" t="s">
        <v>149</v>
      </c>
      <c r="AV249" s="297">
        <f t="shared" ref="AV249" si="2971">AT249+7</f>
        <v>46262</v>
      </c>
      <c r="AW249" s="297">
        <f t="shared" ref="AW249" si="2972">AV249+7</f>
        <v>46269</v>
      </c>
      <c r="AX249" s="297">
        <f t="shared" ref="AX249" si="2973">AW249+7</f>
        <v>46276</v>
      </c>
      <c r="AY249" s="297" t="s">
        <v>149</v>
      </c>
      <c r="AZ249" s="297">
        <f t="shared" ref="AZ249" si="2974">AX249+7</f>
        <v>46283</v>
      </c>
      <c r="BA249" s="297">
        <f t="shared" ref="BA249" si="2975">AZ249+7</f>
        <v>46290</v>
      </c>
      <c r="BB249" s="297">
        <f t="shared" ref="BB249" si="2976">BA249+7</f>
        <v>46297</v>
      </c>
      <c r="BC249" s="297" t="s">
        <v>149</v>
      </c>
      <c r="BD249" s="297">
        <f t="shared" ref="BD249" si="2977">BB249+7</f>
        <v>46304</v>
      </c>
      <c r="BE249" s="297">
        <f t="shared" ref="BE249" si="2978">BD249+7</f>
        <v>46311</v>
      </c>
      <c r="BF249" s="297">
        <f t="shared" ref="BF249" si="2979">BE249+7</f>
        <v>46318</v>
      </c>
      <c r="BG249" s="297" t="s">
        <v>148</v>
      </c>
      <c r="BH249" s="297">
        <f t="shared" ref="BH249" si="2980">BF249+7</f>
        <v>46325</v>
      </c>
      <c r="BI249" s="297">
        <f t="shared" ref="BI249" si="2981">BH249+7</f>
        <v>46332</v>
      </c>
      <c r="BJ249" s="297">
        <f t="shared" ref="BJ249" si="2982">BI249+7</f>
        <v>46339</v>
      </c>
      <c r="BK249" s="297" t="s">
        <v>148</v>
      </c>
      <c r="BL249" s="297">
        <f t="shared" ref="BL249" si="2983">BJ249+7</f>
        <v>46346</v>
      </c>
      <c r="BM249" s="297">
        <f t="shared" ref="BM249" si="2984">BL249+7</f>
        <v>46353</v>
      </c>
      <c r="BN249" s="297">
        <f t="shared" ref="BN249" si="2985">BM249+7</f>
        <v>46360</v>
      </c>
      <c r="BO249" s="297" t="s">
        <v>149</v>
      </c>
      <c r="BP249" s="297">
        <f t="shared" ref="BP249" si="2986">BN249+7</f>
        <v>46367</v>
      </c>
      <c r="BQ249" s="297">
        <f t="shared" ref="BQ249" si="2987">BP249+7</f>
        <v>46374</v>
      </c>
      <c r="BR249" s="297">
        <f t="shared" ref="BR249" si="2988">BQ249+7</f>
        <v>46381</v>
      </c>
      <c r="BS249" s="297" t="s">
        <v>148</v>
      </c>
      <c r="BT249" s="297">
        <f t="shared" ref="BT249" si="2989">BR249+7</f>
        <v>46388</v>
      </c>
      <c r="BU249" s="297">
        <f t="shared" ref="BU249" si="2990">BT249+7</f>
        <v>46395</v>
      </c>
      <c r="BV249" s="297">
        <f t="shared" ref="BV249" si="2991">BU249+7</f>
        <v>46402</v>
      </c>
      <c r="BW249" s="297" t="s">
        <v>149</v>
      </c>
      <c r="BX249" s="297">
        <f t="shared" ref="BX249" si="2992">BV249+7</f>
        <v>46409</v>
      </c>
      <c r="BY249" s="297">
        <f t="shared" ref="BY249" si="2993">BX249+7</f>
        <v>46416</v>
      </c>
      <c r="BZ249" s="297">
        <f t="shared" ref="BZ249" si="2994">BY249+7</f>
        <v>46423</v>
      </c>
      <c r="CA249" s="297" t="s">
        <v>149</v>
      </c>
      <c r="CB249" s="297"/>
      <c r="CC249" s="297"/>
      <c r="CD249" s="297"/>
      <c r="CE249" s="297"/>
      <c r="CF249" s="297"/>
      <c r="CG249" s="297"/>
      <c r="CH249" s="297"/>
      <c r="CI249" s="297"/>
      <c r="CJ249" s="297"/>
      <c r="CK249" s="297"/>
      <c r="CL249" s="297"/>
      <c r="CM249" s="297"/>
      <c r="CN249" s="297"/>
      <c r="CO249" s="297"/>
      <c r="CP249" s="297"/>
      <c r="CQ249" s="297"/>
      <c r="CR249" s="297"/>
      <c r="CS249" s="297"/>
      <c r="CT249" s="297"/>
      <c r="CU249" s="297"/>
      <c r="CV249" s="297"/>
      <c r="CW249" s="297"/>
      <c r="CX249" s="297"/>
      <c r="CY249" s="297"/>
      <c r="CZ249" s="297"/>
      <c r="DA249" s="297"/>
      <c r="DB249" s="297"/>
      <c r="DC249" s="297"/>
      <c r="DD249" s="297"/>
      <c r="DE249" s="297"/>
      <c r="DF249" s="297"/>
      <c r="DG249" s="297"/>
      <c r="DH249" s="297"/>
      <c r="DI249" s="297"/>
      <c r="DJ249" s="297"/>
      <c r="DK249" s="297"/>
      <c r="DL249" s="297"/>
      <c r="DM249" s="297"/>
      <c r="DN249" s="297"/>
      <c r="DO249" s="297"/>
      <c r="DP249" s="297"/>
      <c r="DQ249" s="297"/>
      <c r="DR249" s="297"/>
      <c r="DS249" s="297"/>
      <c r="DT249" s="294">
        <v>46196</v>
      </c>
      <c r="DU249" s="294"/>
      <c r="DV249" s="293"/>
      <c r="DW249" s="293"/>
      <c r="DX249" s="293"/>
      <c r="DY249" s="293"/>
      <c r="DZ249" s="293"/>
      <c r="EA249" s="293"/>
      <c r="EB249" s="293"/>
      <c r="EC249" s="293"/>
      <c r="ED249" s="295"/>
      <c r="EE249" s="128"/>
      <c r="EF249" s="339"/>
      <c r="EG249" s="338"/>
      <c r="EH249" s="339"/>
    </row>
    <row r="250" spans="2:138" ht="27.75">
      <c r="B250" s="357"/>
      <c r="C250" s="359"/>
      <c r="D250" s="359"/>
      <c r="E250" s="363"/>
      <c r="F250" s="359"/>
      <c r="G250" s="359"/>
      <c r="H250" s="324" t="s">
        <v>150</v>
      </c>
      <c r="I250" s="169">
        <v>46163</v>
      </c>
      <c r="J250" s="324"/>
      <c r="K250" s="169">
        <v>46174</v>
      </c>
      <c r="L250" s="306" t="s">
        <v>439</v>
      </c>
      <c r="M250" s="202">
        <v>46181</v>
      </c>
      <c r="N250" s="169">
        <v>46188</v>
      </c>
      <c r="O250" s="324">
        <v>46195</v>
      </c>
      <c r="P250" s="169"/>
      <c r="Q250" s="169"/>
      <c r="R250" s="169"/>
      <c r="S250" s="324"/>
      <c r="T250" s="169"/>
      <c r="U250" s="169"/>
      <c r="V250" s="169"/>
      <c r="W250" s="152"/>
      <c r="X250" s="169"/>
      <c r="Y250" s="169"/>
      <c r="Z250" s="169"/>
      <c r="AA250" s="176"/>
      <c r="AB250" s="169"/>
      <c r="AC250" s="169"/>
      <c r="AD250" s="169"/>
      <c r="AE250" s="177"/>
      <c r="AF250" s="177"/>
      <c r="AG250" s="177"/>
      <c r="AH250" s="177"/>
      <c r="AI250" s="177"/>
      <c r="AJ250" s="177"/>
      <c r="AK250" s="177"/>
      <c r="AL250" s="177"/>
      <c r="AM250" s="177"/>
      <c r="AN250" s="177"/>
      <c r="AO250" s="177"/>
      <c r="AP250" s="177"/>
      <c r="AQ250" s="178"/>
      <c r="AR250" s="177"/>
      <c r="AS250" s="177"/>
      <c r="AT250" s="177"/>
      <c r="AU250" s="177"/>
      <c r="AV250" s="177"/>
      <c r="AW250" s="177"/>
      <c r="AX250" s="177"/>
      <c r="AY250" s="177"/>
      <c r="AZ250" s="291"/>
      <c r="BA250" s="291"/>
      <c r="BB250" s="291"/>
      <c r="BC250" s="177"/>
      <c r="BD250" s="177"/>
      <c r="BE250" s="177"/>
      <c r="BF250" s="177"/>
      <c r="BG250" s="177"/>
      <c r="BH250" s="177"/>
      <c r="BI250" s="177"/>
      <c r="BJ250" s="177"/>
      <c r="BK250" s="177"/>
      <c r="BL250" s="177"/>
      <c r="BM250" s="177"/>
      <c r="BN250" s="177"/>
      <c r="BO250" s="177"/>
      <c r="BP250" s="177"/>
      <c r="BQ250" s="177"/>
      <c r="BR250" s="177"/>
      <c r="BS250" s="177"/>
      <c r="BT250" s="177"/>
      <c r="BU250" s="177"/>
      <c r="BV250" s="177"/>
      <c r="BW250" s="177"/>
      <c r="BX250" s="177"/>
      <c r="BY250" s="177"/>
      <c r="BZ250" s="177"/>
      <c r="CA250" s="177"/>
      <c r="CB250" s="177"/>
      <c r="CC250" s="177"/>
      <c r="CD250" s="177"/>
      <c r="CE250" s="177"/>
      <c r="CF250" s="177"/>
      <c r="CG250" s="177"/>
      <c r="CH250" s="177"/>
      <c r="CI250" s="177"/>
      <c r="CJ250" s="177"/>
      <c r="CK250" s="177"/>
      <c r="CL250" s="177"/>
      <c r="CM250" s="177"/>
      <c r="CN250" s="177"/>
      <c r="CO250" s="177"/>
      <c r="CP250" s="177"/>
      <c r="CQ250" s="177"/>
      <c r="CR250" s="177"/>
      <c r="CS250" s="177"/>
      <c r="CT250" s="177"/>
      <c r="CU250" s="177"/>
      <c r="CV250" s="177"/>
      <c r="CW250" s="177"/>
      <c r="CX250" s="177"/>
      <c r="CY250" s="177"/>
      <c r="CZ250" s="177"/>
      <c r="DA250" s="177"/>
      <c r="DB250" s="177"/>
      <c r="DC250" s="177"/>
      <c r="DD250" s="177"/>
      <c r="DE250" s="177"/>
      <c r="DF250" s="177"/>
      <c r="DG250" s="177"/>
      <c r="DH250" s="177"/>
      <c r="DI250" s="177"/>
      <c r="DJ250" s="177"/>
      <c r="DK250" s="177"/>
      <c r="DL250" s="177"/>
      <c r="DM250" s="177"/>
      <c r="DN250" s="177"/>
      <c r="DO250" s="177"/>
      <c r="DP250" s="177"/>
      <c r="DQ250" s="177"/>
      <c r="DR250" s="177"/>
      <c r="DS250" s="177"/>
      <c r="DT250" s="28">
        <v>46196</v>
      </c>
      <c r="DU250" s="132"/>
      <c r="DV250" s="69"/>
      <c r="DW250" s="69"/>
      <c r="DX250" s="69"/>
      <c r="DY250" s="69"/>
      <c r="DZ250" s="69"/>
      <c r="EA250" s="69"/>
      <c r="EB250" s="69"/>
      <c r="EC250" s="69"/>
      <c r="ED250" s="22"/>
      <c r="EE250" s="22"/>
      <c r="EF250" s="339"/>
      <c r="EG250" s="338"/>
      <c r="EH250" s="338"/>
    </row>
    <row r="251" spans="2:138" s="119" customFormat="1" ht="31.15">
      <c r="B251" s="352" t="s">
        <v>440</v>
      </c>
      <c r="C251" s="340" t="s">
        <v>441</v>
      </c>
      <c r="D251" s="342" t="s">
        <v>402</v>
      </c>
      <c r="E251" s="342" t="s">
        <v>364</v>
      </c>
      <c r="F251" s="340" t="s">
        <v>229</v>
      </c>
      <c r="G251" s="342"/>
      <c r="H251" s="32" t="s">
        <v>147</v>
      </c>
      <c r="I251" s="93">
        <v>46143</v>
      </c>
      <c r="J251" s="94"/>
      <c r="K251" s="298">
        <v>46169</v>
      </c>
      <c r="L251" s="233">
        <v>46080</v>
      </c>
      <c r="M251" s="96">
        <v>46083</v>
      </c>
      <c r="N251" s="33">
        <f t="shared" ref="N251" si="2995">M251+7</f>
        <v>46090</v>
      </c>
      <c r="O251" s="33" t="s">
        <v>149</v>
      </c>
      <c r="P251" s="33">
        <v>45526</v>
      </c>
      <c r="Q251" s="33">
        <f t="shared" ref="Q251" si="2996">P251+7</f>
        <v>45533</v>
      </c>
      <c r="R251" s="33">
        <f t="shared" ref="R251" si="2997">Q251+7</f>
        <v>45540</v>
      </c>
      <c r="S251" s="34" t="s">
        <v>149</v>
      </c>
      <c r="T251" s="34">
        <f t="shared" ref="T251" si="2998">R251+7</f>
        <v>45547</v>
      </c>
      <c r="U251" s="34">
        <f t="shared" ref="U251" si="2999">T251+7</f>
        <v>45554</v>
      </c>
      <c r="V251" s="34">
        <f t="shared" ref="V251" si="3000">U251+7</f>
        <v>45561</v>
      </c>
      <c r="W251" s="34" t="s">
        <v>149</v>
      </c>
      <c r="X251" s="34">
        <f t="shared" ref="X251" si="3001">V251+7</f>
        <v>45568</v>
      </c>
      <c r="Y251" s="34">
        <f t="shared" ref="Y251" si="3002">X251+7</f>
        <v>45575</v>
      </c>
      <c r="Z251" s="34">
        <f t="shared" ref="Z251" si="3003">Y251+7</f>
        <v>45582</v>
      </c>
      <c r="AA251" s="34" t="s">
        <v>149</v>
      </c>
      <c r="AB251" s="34">
        <f t="shared" ref="AB251" si="3004">Z251+7</f>
        <v>45589</v>
      </c>
      <c r="AC251" s="34">
        <f t="shared" ref="AC251" si="3005">AB251+7</f>
        <v>45596</v>
      </c>
      <c r="AD251" s="34">
        <f t="shared" ref="AD251" si="3006">AC251+7</f>
        <v>45603</v>
      </c>
      <c r="AE251" s="34" t="s">
        <v>149</v>
      </c>
      <c r="AF251" s="34">
        <f t="shared" ref="AF251" si="3007">AD251+7</f>
        <v>45610</v>
      </c>
      <c r="AG251" s="34">
        <f t="shared" ref="AG251" si="3008">AF251+7</f>
        <v>45617</v>
      </c>
      <c r="AH251" s="34">
        <f t="shared" ref="AH251" si="3009">AG251+7</f>
        <v>45624</v>
      </c>
      <c r="AI251" s="34" t="s">
        <v>149</v>
      </c>
      <c r="AJ251" s="34">
        <f t="shared" ref="AJ251" si="3010">AH251+7</f>
        <v>45631</v>
      </c>
      <c r="AK251" s="34">
        <f t="shared" ref="AK251" si="3011">AJ251+7</f>
        <v>45638</v>
      </c>
      <c r="AL251" s="34">
        <f t="shared" ref="AL251" si="3012">AK251+7</f>
        <v>45645</v>
      </c>
      <c r="AM251" s="34" t="s">
        <v>149</v>
      </c>
      <c r="AN251" s="34">
        <f t="shared" ref="AN251" si="3013">AL251+7</f>
        <v>45652</v>
      </c>
      <c r="AO251" s="34">
        <f t="shared" ref="AO251" si="3014">AN251+7</f>
        <v>45659</v>
      </c>
      <c r="AP251" s="34">
        <f t="shared" ref="AP251" si="3015">AO251+7</f>
        <v>45666</v>
      </c>
      <c r="AQ251" s="34" t="s">
        <v>149</v>
      </c>
      <c r="AR251" s="34">
        <f t="shared" ref="AR251" si="3016">AP251+7</f>
        <v>45673</v>
      </c>
      <c r="AS251" s="34">
        <f t="shared" ref="AS251" si="3017">AR251+7</f>
        <v>45680</v>
      </c>
      <c r="AT251" s="34">
        <f t="shared" ref="AT251" si="3018">AS251+7</f>
        <v>45687</v>
      </c>
      <c r="AU251" s="34">
        <f t="shared" ref="AU251" si="3019">AT251+21</f>
        <v>45708</v>
      </c>
      <c r="AV251" s="34">
        <f t="shared" ref="AV251" si="3020">AT251+7</f>
        <v>45694</v>
      </c>
      <c r="AW251" s="34">
        <f t="shared" ref="AW251" si="3021">AV251+7</f>
        <v>45701</v>
      </c>
      <c r="AX251" s="34">
        <f t="shared" ref="AX251" si="3022">AW251+7</f>
        <v>45708</v>
      </c>
      <c r="AY251" s="34">
        <f t="shared" ref="AY251" si="3023">AX251+21</f>
        <v>45729</v>
      </c>
      <c r="AZ251" s="34">
        <f t="shared" ref="AZ251" si="3024">AX251+7</f>
        <v>45715</v>
      </c>
      <c r="BA251" s="34">
        <f t="shared" ref="BA251" si="3025">AZ251+7</f>
        <v>45722</v>
      </c>
      <c r="BB251" s="34">
        <f t="shared" ref="BB251" si="3026">BA251+7</f>
        <v>45729</v>
      </c>
      <c r="BC251" s="34" t="s">
        <v>148</v>
      </c>
      <c r="BD251" s="34">
        <f>BB251+7</f>
        <v>45736</v>
      </c>
      <c r="BE251" s="34">
        <f>BD251+7</f>
        <v>45743</v>
      </c>
      <c r="BF251" s="34">
        <f>BE251+7</f>
        <v>45750</v>
      </c>
      <c r="BG251" s="34" t="s">
        <v>148</v>
      </c>
      <c r="BH251" s="34">
        <f>BF251+7</f>
        <v>45757</v>
      </c>
      <c r="BI251" s="34">
        <f>BH251+7</f>
        <v>45764</v>
      </c>
      <c r="BJ251" s="34">
        <f>BI251+7</f>
        <v>45771</v>
      </c>
      <c r="BK251" s="34" t="s">
        <v>148</v>
      </c>
      <c r="BL251" s="34">
        <f>BJ251+7</f>
        <v>45778</v>
      </c>
      <c r="BM251" s="34">
        <f>BL251+7</f>
        <v>45785</v>
      </c>
      <c r="BN251" s="34">
        <f>BM251+7</f>
        <v>45792</v>
      </c>
      <c r="BO251" s="34" t="s">
        <v>149</v>
      </c>
      <c r="BP251" s="34">
        <f>BN251+7</f>
        <v>45799</v>
      </c>
      <c r="BQ251" s="34">
        <f>BP251+7</f>
        <v>45806</v>
      </c>
      <c r="BR251" s="34">
        <f>BQ251+7</f>
        <v>45813</v>
      </c>
      <c r="BS251" s="34" t="s">
        <v>148</v>
      </c>
      <c r="BT251" s="34">
        <f>BR251+7</f>
        <v>45820</v>
      </c>
      <c r="BU251" s="34">
        <f>BT251+7</f>
        <v>45827</v>
      </c>
      <c r="BV251" s="34">
        <f>BU251+7</f>
        <v>45834</v>
      </c>
      <c r="BW251" s="34" t="s">
        <v>149</v>
      </c>
      <c r="BX251" s="34">
        <f>BV251+7</f>
        <v>45841</v>
      </c>
      <c r="BY251" s="34">
        <f>BX251+7</f>
        <v>45848</v>
      </c>
      <c r="BZ251" s="34">
        <f>BY251+7</f>
        <v>45855</v>
      </c>
      <c r="CA251" s="34" t="s">
        <v>149</v>
      </c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  <c r="CO251" s="34"/>
      <c r="CP251" s="34"/>
      <c r="CQ251" s="34"/>
      <c r="CR251" s="34"/>
      <c r="CS251" s="34"/>
      <c r="CT251" s="34"/>
      <c r="CU251" s="34"/>
      <c r="CV251" s="34"/>
      <c r="CW251" s="34"/>
      <c r="CX251" s="34"/>
      <c r="CY251" s="34"/>
      <c r="CZ251" s="34"/>
      <c r="DA251" s="34"/>
      <c r="DB251" s="34"/>
      <c r="DC251" s="34"/>
      <c r="DD251" s="34"/>
      <c r="DE251" s="34"/>
      <c r="DF251" s="34"/>
      <c r="DG251" s="34"/>
      <c r="DH251" s="34"/>
      <c r="DI251" s="34"/>
      <c r="DJ251" s="34"/>
      <c r="DK251" s="34"/>
      <c r="DL251" s="34"/>
      <c r="DM251" s="34"/>
      <c r="DN251" s="34"/>
      <c r="DO251" s="34"/>
      <c r="DP251" s="34"/>
      <c r="DQ251" s="34"/>
      <c r="DR251" s="34"/>
      <c r="DS251" s="34"/>
      <c r="DT251" s="34"/>
      <c r="DU251" s="34"/>
      <c r="DV251" s="32"/>
      <c r="DW251" s="32"/>
      <c r="DX251" s="32"/>
      <c r="DY251" s="32"/>
      <c r="DZ251" s="32"/>
      <c r="EA251" s="32"/>
      <c r="EB251" s="32"/>
      <c r="EC251" s="32"/>
      <c r="ED251" s="123"/>
      <c r="EE251" s="123"/>
      <c r="EF251" s="344"/>
      <c r="EG251" s="345"/>
      <c r="EH251" s="345"/>
    </row>
    <row r="252" spans="2:138" s="119" customFormat="1" ht="31.15">
      <c r="B252" s="353"/>
      <c r="C252" s="341"/>
      <c r="D252" s="343"/>
      <c r="E252" s="343"/>
      <c r="F252" s="341"/>
      <c r="G252" s="343"/>
      <c r="H252" s="327" t="s">
        <v>150</v>
      </c>
      <c r="I252" s="97">
        <v>46143</v>
      </c>
      <c r="J252" s="193"/>
      <c r="K252" s="98"/>
      <c r="L252" s="112"/>
      <c r="M252" s="83"/>
      <c r="N252" s="327"/>
      <c r="O252" s="327"/>
      <c r="P252" s="327"/>
      <c r="Q252" s="327"/>
      <c r="R252" s="325"/>
      <c r="S252" s="327"/>
      <c r="T252" s="327"/>
      <c r="U252" s="331"/>
      <c r="V252" s="327"/>
      <c r="W252" s="327"/>
      <c r="X252" s="65"/>
      <c r="Y252" s="325"/>
      <c r="Z252" s="327"/>
      <c r="AA252" s="327"/>
      <c r="AB252" s="327"/>
      <c r="AC252" s="327"/>
      <c r="AD252" s="325"/>
      <c r="AE252" s="327"/>
      <c r="AF252" s="327"/>
      <c r="AG252" s="327"/>
      <c r="AH252" s="58"/>
      <c r="AI252" s="327"/>
      <c r="AJ252" s="327"/>
      <c r="AK252" s="327"/>
      <c r="AL252" s="58"/>
      <c r="AM252" s="327"/>
      <c r="AN252" s="327"/>
      <c r="AO252" s="327"/>
      <c r="AP252" s="58"/>
      <c r="AQ252" s="327"/>
      <c r="AR252" s="327"/>
      <c r="AS252" s="327"/>
      <c r="AT252" s="58"/>
      <c r="AU252" s="327"/>
      <c r="AV252" s="327"/>
      <c r="AW252" s="327"/>
      <c r="AX252" s="58"/>
      <c r="AY252" s="327"/>
      <c r="AZ252" s="327"/>
      <c r="BA252" s="327"/>
      <c r="BB252" s="58"/>
      <c r="BC252" s="327"/>
      <c r="BD252" s="327"/>
      <c r="BE252" s="327"/>
      <c r="BF252" s="327"/>
      <c r="BG252" s="327"/>
      <c r="BH252" s="327"/>
      <c r="BI252" s="327"/>
      <c r="BJ252" s="327"/>
      <c r="BK252" s="327"/>
      <c r="BL252" s="327"/>
      <c r="BM252" s="327"/>
      <c r="BN252" s="327"/>
      <c r="BO252" s="327"/>
      <c r="BP252" s="327"/>
      <c r="BQ252" s="327"/>
      <c r="BR252" s="327"/>
      <c r="BS252" s="327"/>
      <c r="BT252" s="327"/>
      <c r="BU252" s="327"/>
      <c r="BV252" s="327"/>
      <c r="BW252" s="327"/>
      <c r="BX252" s="327"/>
      <c r="BY252" s="327"/>
      <c r="BZ252" s="327"/>
      <c r="CA252" s="327"/>
      <c r="CB252" s="327"/>
      <c r="CC252" s="327"/>
      <c r="CD252" s="327"/>
      <c r="CE252" s="327"/>
      <c r="CF252" s="327"/>
      <c r="CG252" s="327"/>
      <c r="CH252" s="327"/>
      <c r="CI252" s="327"/>
      <c r="CJ252" s="327"/>
      <c r="CK252" s="327"/>
      <c r="CL252" s="327"/>
      <c r="CM252" s="327"/>
      <c r="CN252" s="327"/>
      <c r="CO252" s="327"/>
      <c r="CP252" s="327"/>
      <c r="CQ252" s="327"/>
      <c r="CR252" s="327"/>
      <c r="CS252" s="327"/>
      <c r="CT252" s="327"/>
      <c r="CU252" s="327"/>
      <c r="CV252" s="327"/>
      <c r="CW252" s="327"/>
      <c r="CX252" s="327"/>
      <c r="CY252" s="327"/>
      <c r="CZ252" s="327"/>
      <c r="DA252" s="327"/>
      <c r="DB252" s="327"/>
      <c r="DC252" s="327"/>
      <c r="DD252" s="327"/>
      <c r="DE252" s="327"/>
      <c r="DF252" s="327"/>
      <c r="DG252" s="327"/>
      <c r="DH252" s="327"/>
      <c r="DI252" s="327"/>
      <c r="DJ252" s="327"/>
      <c r="DK252" s="327"/>
      <c r="DL252" s="327"/>
      <c r="DM252" s="327"/>
      <c r="DN252" s="327"/>
      <c r="DO252" s="327"/>
      <c r="DP252" s="327"/>
      <c r="DQ252" s="327"/>
      <c r="DR252" s="327"/>
      <c r="DS252" s="327"/>
      <c r="DT252" s="327"/>
      <c r="DU252" s="52"/>
      <c r="DV252" s="327"/>
      <c r="DW252" s="327"/>
      <c r="DX252" s="327"/>
      <c r="DY252" s="327"/>
      <c r="DZ252" s="327"/>
      <c r="EA252" s="327"/>
      <c r="EB252" s="327"/>
      <c r="EC252" s="327"/>
      <c r="ED252" s="124"/>
      <c r="EE252" s="124"/>
      <c r="EF252" s="344"/>
      <c r="EG252" s="345"/>
      <c r="EH252" s="345"/>
    </row>
    <row r="253" spans="2:138" ht="27.75">
      <c r="B253" s="356" t="s">
        <v>440</v>
      </c>
      <c r="C253" s="358" t="s">
        <v>442</v>
      </c>
      <c r="D253" s="360" t="s">
        <v>402</v>
      </c>
      <c r="E253" s="360" t="s">
        <v>364</v>
      </c>
      <c r="F253" s="358" t="s">
        <v>210</v>
      </c>
      <c r="G253" s="360"/>
      <c r="H253" s="74" t="s">
        <v>147</v>
      </c>
      <c r="I253" s="196">
        <v>46156</v>
      </c>
      <c r="J253" s="182"/>
      <c r="K253" s="257">
        <v>46169</v>
      </c>
      <c r="L253" s="249">
        <v>46080</v>
      </c>
      <c r="M253" s="198">
        <v>46083</v>
      </c>
      <c r="N253" s="76">
        <f t="shared" ref="N253" si="3027">M253+7</f>
        <v>46090</v>
      </c>
      <c r="O253" s="76" t="s">
        <v>149</v>
      </c>
      <c r="P253" s="76">
        <v>45526</v>
      </c>
      <c r="Q253" s="76">
        <f t="shared" ref="Q253" si="3028">P253+7</f>
        <v>45533</v>
      </c>
      <c r="R253" s="76">
        <f t="shared" ref="R253" si="3029">Q253+7</f>
        <v>45540</v>
      </c>
      <c r="S253" s="77" t="s">
        <v>149</v>
      </c>
      <c r="T253" s="77">
        <f t="shared" ref="T253" si="3030">R253+7</f>
        <v>45547</v>
      </c>
      <c r="U253" s="77">
        <f t="shared" ref="U253" si="3031">T253+7</f>
        <v>45554</v>
      </c>
      <c r="V253" s="77">
        <f t="shared" ref="V253" si="3032">U253+7</f>
        <v>45561</v>
      </c>
      <c r="W253" s="77" t="s">
        <v>149</v>
      </c>
      <c r="X253" s="77">
        <f t="shared" ref="X253" si="3033">V253+7</f>
        <v>45568</v>
      </c>
      <c r="Y253" s="77">
        <f t="shared" ref="Y253" si="3034">X253+7</f>
        <v>45575</v>
      </c>
      <c r="Z253" s="77">
        <f t="shared" ref="Z253" si="3035">Y253+7</f>
        <v>45582</v>
      </c>
      <c r="AA253" s="77" t="s">
        <v>149</v>
      </c>
      <c r="AB253" s="77">
        <f t="shared" ref="AB253" si="3036">Z253+7</f>
        <v>45589</v>
      </c>
      <c r="AC253" s="77">
        <f t="shared" ref="AC253" si="3037">AB253+7</f>
        <v>45596</v>
      </c>
      <c r="AD253" s="77">
        <f t="shared" ref="AD253" si="3038">AC253+7</f>
        <v>45603</v>
      </c>
      <c r="AE253" s="77" t="s">
        <v>149</v>
      </c>
      <c r="AF253" s="77">
        <f t="shared" ref="AF253" si="3039">AD253+7</f>
        <v>45610</v>
      </c>
      <c r="AG253" s="77">
        <f t="shared" ref="AG253" si="3040">AF253+7</f>
        <v>45617</v>
      </c>
      <c r="AH253" s="77">
        <f t="shared" ref="AH253" si="3041">AG253+7</f>
        <v>45624</v>
      </c>
      <c r="AI253" s="77" t="s">
        <v>149</v>
      </c>
      <c r="AJ253" s="77">
        <f t="shared" ref="AJ253" si="3042">AH253+7</f>
        <v>45631</v>
      </c>
      <c r="AK253" s="77">
        <f t="shared" ref="AK253" si="3043">AJ253+7</f>
        <v>45638</v>
      </c>
      <c r="AL253" s="77">
        <f t="shared" ref="AL253" si="3044">AK253+7</f>
        <v>45645</v>
      </c>
      <c r="AM253" s="77" t="s">
        <v>149</v>
      </c>
      <c r="AN253" s="77">
        <f t="shared" ref="AN253" si="3045">AL253+7</f>
        <v>45652</v>
      </c>
      <c r="AO253" s="77">
        <f t="shared" ref="AO253" si="3046">AN253+7</f>
        <v>45659</v>
      </c>
      <c r="AP253" s="77">
        <f t="shared" ref="AP253" si="3047">AO253+7</f>
        <v>45666</v>
      </c>
      <c r="AQ253" s="77" t="s">
        <v>149</v>
      </c>
      <c r="AR253" s="77">
        <f t="shared" ref="AR253" si="3048">AP253+7</f>
        <v>45673</v>
      </c>
      <c r="AS253" s="77">
        <f t="shared" ref="AS253" si="3049">AR253+7</f>
        <v>45680</v>
      </c>
      <c r="AT253" s="77">
        <f t="shared" ref="AT253" si="3050">AS253+7</f>
        <v>45687</v>
      </c>
      <c r="AU253" s="77">
        <f t="shared" ref="AU253" si="3051">AT253+21</f>
        <v>45708</v>
      </c>
      <c r="AV253" s="77">
        <f t="shared" ref="AV253" si="3052">AT253+7</f>
        <v>45694</v>
      </c>
      <c r="AW253" s="77">
        <f t="shared" ref="AW253" si="3053">AV253+7</f>
        <v>45701</v>
      </c>
      <c r="AX253" s="77">
        <f t="shared" ref="AX253" si="3054">AW253+7</f>
        <v>45708</v>
      </c>
      <c r="AY253" s="77">
        <f t="shared" ref="AY253" si="3055">AX253+21</f>
        <v>45729</v>
      </c>
      <c r="AZ253" s="77">
        <f t="shared" ref="AZ253" si="3056">AX253+7</f>
        <v>45715</v>
      </c>
      <c r="BA253" s="77">
        <f t="shared" ref="BA253" si="3057">AZ253+7</f>
        <v>45722</v>
      </c>
      <c r="BB253" s="77">
        <f t="shared" ref="BB253" si="3058">BA253+7</f>
        <v>45729</v>
      </c>
      <c r="BC253" s="77" t="s">
        <v>148</v>
      </c>
      <c r="BD253" s="77">
        <f>BB253+7</f>
        <v>45736</v>
      </c>
      <c r="BE253" s="77">
        <f>BD253+7</f>
        <v>45743</v>
      </c>
      <c r="BF253" s="77">
        <f>BE253+7</f>
        <v>45750</v>
      </c>
      <c r="BG253" s="77" t="s">
        <v>148</v>
      </c>
      <c r="BH253" s="77">
        <f>BF253+7</f>
        <v>45757</v>
      </c>
      <c r="BI253" s="77">
        <f>BH253+7</f>
        <v>45764</v>
      </c>
      <c r="BJ253" s="77">
        <f>BI253+7</f>
        <v>45771</v>
      </c>
      <c r="BK253" s="77" t="s">
        <v>148</v>
      </c>
      <c r="BL253" s="77">
        <f>BJ253+7</f>
        <v>45778</v>
      </c>
      <c r="BM253" s="77">
        <f>BL253+7</f>
        <v>45785</v>
      </c>
      <c r="BN253" s="77">
        <f>BM253+7</f>
        <v>45792</v>
      </c>
      <c r="BO253" s="77" t="s">
        <v>149</v>
      </c>
      <c r="BP253" s="77">
        <f>BN253+7</f>
        <v>45799</v>
      </c>
      <c r="BQ253" s="77">
        <f>BP253+7</f>
        <v>45806</v>
      </c>
      <c r="BR253" s="77">
        <f>BQ253+7</f>
        <v>45813</v>
      </c>
      <c r="BS253" s="77" t="s">
        <v>148</v>
      </c>
      <c r="BT253" s="77">
        <f>BR253+7</f>
        <v>45820</v>
      </c>
      <c r="BU253" s="77">
        <f>BT253+7</f>
        <v>45827</v>
      </c>
      <c r="BV253" s="77">
        <f>BU253+7</f>
        <v>45834</v>
      </c>
      <c r="BW253" s="77" t="s">
        <v>149</v>
      </c>
      <c r="BX253" s="77">
        <f>BV253+7</f>
        <v>45841</v>
      </c>
      <c r="BY253" s="77">
        <f>BX253+7</f>
        <v>45848</v>
      </c>
      <c r="BZ253" s="77">
        <f>BY253+7</f>
        <v>45855</v>
      </c>
      <c r="CA253" s="77" t="s">
        <v>149</v>
      </c>
      <c r="CB253" s="77"/>
      <c r="CC253" s="77"/>
      <c r="CD253" s="77"/>
      <c r="CE253" s="77"/>
      <c r="CF253" s="77"/>
      <c r="CG253" s="77"/>
      <c r="CH253" s="77"/>
      <c r="CI253" s="77"/>
      <c r="CJ253" s="77"/>
      <c r="CK253" s="77"/>
      <c r="CL253" s="77"/>
      <c r="CM253" s="77"/>
      <c r="CN253" s="77"/>
      <c r="CO253" s="77"/>
      <c r="CP253" s="77"/>
      <c r="CQ253" s="77"/>
      <c r="CR253" s="77"/>
      <c r="CS253" s="77"/>
      <c r="CT253" s="77"/>
      <c r="CU253" s="77"/>
      <c r="CV253" s="77"/>
      <c r="CW253" s="77"/>
      <c r="CX253" s="77"/>
      <c r="CY253" s="77"/>
      <c r="CZ253" s="77"/>
      <c r="DA253" s="77"/>
      <c r="DB253" s="77"/>
      <c r="DC253" s="77"/>
      <c r="DD253" s="77"/>
      <c r="DE253" s="77"/>
      <c r="DF253" s="77"/>
      <c r="DG253" s="77"/>
      <c r="DH253" s="77"/>
      <c r="DI253" s="77"/>
      <c r="DJ253" s="77"/>
      <c r="DK253" s="77"/>
      <c r="DL253" s="77"/>
      <c r="DM253" s="77"/>
      <c r="DN253" s="77"/>
      <c r="DO253" s="77"/>
      <c r="DP253" s="77"/>
      <c r="DQ253" s="77"/>
      <c r="DR253" s="77"/>
      <c r="DS253" s="77"/>
      <c r="DT253" s="17">
        <v>46202</v>
      </c>
      <c r="DU253" s="17"/>
      <c r="DV253" s="13"/>
      <c r="DW253" s="13"/>
      <c r="DX253" s="13"/>
      <c r="DY253" s="13"/>
      <c r="DZ253" s="13"/>
      <c r="EA253" s="13"/>
      <c r="EB253" s="13"/>
      <c r="EC253" s="13"/>
      <c r="ED253" s="24"/>
      <c r="EE253" s="24"/>
      <c r="EF253" s="339"/>
      <c r="EG253" s="338"/>
      <c r="EH253" s="338"/>
    </row>
    <row r="254" spans="2:138" ht="27.75">
      <c r="B254" s="357"/>
      <c r="C254" s="359"/>
      <c r="D254" s="361"/>
      <c r="E254" s="361"/>
      <c r="F254" s="359"/>
      <c r="G254" s="361"/>
      <c r="H254" s="330" t="s">
        <v>150</v>
      </c>
      <c r="I254" s="199">
        <v>46156</v>
      </c>
      <c r="J254" s="200"/>
      <c r="K254" s="201">
        <v>46169</v>
      </c>
      <c r="L254" s="306" t="s">
        <v>443</v>
      </c>
      <c r="M254" s="159">
        <v>46176</v>
      </c>
      <c r="N254" s="330">
        <v>46183</v>
      </c>
      <c r="O254" s="330" t="s">
        <v>149</v>
      </c>
      <c r="P254" s="330">
        <v>46195</v>
      </c>
      <c r="Q254" s="330"/>
      <c r="R254" s="324"/>
      <c r="S254" s="330"/>
      <c r="T254" s="330"/>
      <c r="U254" s="154"/>
      <c r="V254" s="330"/>
      <c r="W254" s="330"/>
      <c r="X254" s="160"/>
      <c r="Y254" s="324"/>
      <c r="Z254" s="330"/>
      <c r="AA254" s="330"/>
      <c r="AB254" s="330"/>
      <c r="AC254" s="330"/>
      <c r="AD254" s="324"/>
      <c r="AE254" s="330"/>
      <c r="AF254" s="330"/>
      <c r="AG254" s="330"/>
      <c r="AH254" s="161"/>
      <c r="AI254" s="330"/>
      <c r="AJ254" s="330"/>
      <c r="AK254" s="330"/>
      <c r="AL254" s="161"/>
      <c r="AM254" s="330"/>
      <c r="AN254" s="330"/>
      <c r="AO254" s="330"/>
      <c r="AP254" s="161"/>
      <c r="AQ254" s="330"/>
      <c r="AR254" s="330"/>
      <c r="AS254" s="330"/>
      <c r="AT254" s="161"/>
      <c r="AU254" s="330"/>
      <c r="AV254" s="330"/>
      <c r="AW254" s="330"/>
      <c r="AX254" s="161"/>
      <c r="AY254" s="330"/>
      <c r="AZ254" s="330"/>
      <c r="BA254" s="330"/>
      <c r="BB254" s="161"/>
      <c r="BC254" s="330"/>
      <c r="BD254" s="330"/>
      <c r="BE254" s="330"/>
      <c r="BF254" s="330"/>
      <c r="BG254" s="330"/>
      <c r="BH254" s="330"/>
      <c r="BI254" s="330"/>
      <c r="BJ254" s="330"/>
      <c r="BK254" s="330"/>
      <c r="BL254" s="330"/>
      <c r="BM254" s="330"/>
      <c r="BN254" s="330"/>
      <c r="BO254" s="330"/>
      <c r="BP254" s="330"/>
      <c r="BQ254" s="330"/>
      <c r="BR254" s="330"/>
      <c r="BS254" s="330"/>
      <c r="BT254" s="330"/>
      <c r="BU254" s="330"/>
      <c r="BV254" s="330"/>
      <c r="BW254" s="330"/>
      <c r="BX254" s="330"/>
      <c r="BY254" s="330"/>
      <c r="BZ254" s="330"/>
      <c r="CA254" s="330"/>
      <c r="CB254" s="330"/>
      <c r="CC254" s="330"/>
      <c r="CD254" s="330"/>
      <c r="CE254" s="330"/>
      <c r="CF254" s="330"/>
      <c r="CG254" s="330"/>
      <c r="CH254" s="330"/>
      <c r="CI254" s="330"/>
      <c r="CJ254" s="330"/>
      <c r="CK254" s="330"/>
      <c r="CL254" s="330"/>
      <c r="CM254" s="330"/>
      <c r="CN254" s="330"/>
      <c r="CO254" s="330"/>
      <c r="CP254" s="330"/>
      <c r="CQ254" s="330"/>
      <c r="CR254" s="330"/>
      <c r="CS254" s="330"/>
      <c r="CT254" s="330"/>
      <c r="CU254" s="330"/>
      <c r="CV254" s="330"/>
      <c r="CW254" s="330"/>
      <c r="CX254" s="330"/>
      <c r="CY254" s="330"/>
      <c r="CZ254" s="330"/>
      <c r="DA254" s="330"/>
      <c r="DB254" s="330"/>
      <c r="DC254" s="330"/>
      <c r="DD254" s="330"/>
      <c r="DE254" s="330"/>
      <c r="DF254" s="330"/>
      <c r="DG254" s="330"/>
      <c r="DH254" s="330"/>
      <c r="DI254" s="330"/>
      <c r="DJ254" s="330"/>
      <c r="DK254" s="330"/>
      <c r="DL254" s="330"/>
      <c r="DM254" s="330"/>
      <c r="DN254" s="330"/>
      <c r="DO254" s="330"/>
      <c r="DP254" s="330"/>
      <c r="DQ254" s="330"/>
      <c r="DR254" s="330"/>
      <c r="DS254" s="330"/>
      <c r="DT254" s="321">
        <v>46202</v>
      </c>
      <c r="DU254" s="148"/>
      <c r="DV254" s="321"/>
      <c r="DW254" s="321"/>
      <c r="DX254" s="321"/>
      <c r="DY254" s="321"/>
      <c r="DZ254" s="321"/>
      <c r="EA254" s="321"/>
      <c r="EB254" s="321"/>
      <c r="EC254" s="321"/>
      <c r="ED254" s="25"/>
      <c r="EE254" s="25"/>
      <c r="EF254" s="339"/>
      <c r="EG254" s="338"/>
      <c r="EH254" s="338"/>
    </row>
    <row r="255" spans="2:138" ht="31.15">
      <c r="B255" s="346" t="s">
        <v>429</v>
      </c>
      <c r="C255" s="348" t="s">
        <v>444</v>
      </c>
      <c r="D255" s="350" t="s">
        <v>270</v>
      </c>
      <c r="E255" s="348" t="s">
        <v>405</v>
      </c>
      <c r="F255" s="348" t="s">
        <v>315</v>
      </c>
      <c r="G255" s="348"/>
      <c r="H255" s="125" t="s">
        <v>147</v>
      </c>
      <c r="I255" s="12">
        <v>46155</v>
      </c>
      <c r="J255" s="126"/>
      <c r="K255" s="232">
        <v>46170</v>
      </c>
      <c r="L255" s="269" t="s">
        <v>148</v>
      </c>
      <c r="M255" s="126">
        <f>K255+7</f>
        <v>46177</v>
      </c>
      <c r="N255" s="126">
        <f>M255+7</f>
        <v>46184</v>
      </c>
      <c r="O255" s="126" t="s">
        <v>149</v>
      </c>
      <c r="P255" s="126">
        <f t="shared" ref="P255" si="3059">N255+7</f>
        <v>46191</v>
      </c>
      <c r="Q255" s="126">
        <f t="shared" ref="Q255" si="3060">P255+7</f>
        <v>46198</v>
      </c>
      <c r="R255" s="126">
        <f t="shared" ref="R255" si="3061">Q255+7</f>
        <v>46205</v>
      </c>
      <c r="S255" s="127" t="s">
        <v>149</v>
      </c>
      <c r="T255" s="127">
        <f t="shared" ref="T255" si="3062">R255+7</f>
        <v>46212</v>
      </c>
      <c r="U255" s="127">
        <f t="shared" ref="U255" si="3063">T255+7</f>
        <v>46219</v>
      </c>
      <c r="V255" s="127">
        <f t="shared" ref="V255" si="3064">U255+7</f>
        <v>46226</v>
      </c>
      <c r="W255" s="127" t="s">
        <v>149</v>
      </c>
      <c r="X255" s="127">
        <f t="shared" ref="X255" si="3065">V255+7</f>
        <v>46233</v>
      </c>
      <c r="Y255" s="127">
        <f t="shared" ref="Y255" si="3066">X255+7</f>
        <v>46240</v>
      </c>
      <c r="Z255" s="127">
        <f t="shared" ref="Z255" si="3067">Y255+7</f>
        <v>46247</v>
      </c>
      <c r="AA255" s="127" t="s">
        <v>149</v>
      </c>
      <c r="AB255" s="127">
        <f t="shared" ref="AB255" si="3068">Z255+7</f>
        <v>46254</v>
      </c>
      <c r="AC255" s="127">
        <f t="shared" ref="AC255" si="3069">AB255+7</f>
        <v>46261</v>
      </c>
      <c r="AD255" s="127">
        <f t="shared" ref="AD255" si="3070">AC255+7</f>
        <v>46268</v>
      </c>
      <c r="AE255" s="127" t="s">
        <v>149</v>
      </c>
      <c r="AF255" s="127">
        <f t="shared" ref="AF255" si="3071">AD255+7</f>
        <v>46275</v>
      </c>
      <c r="AG255" s="127">
        <f t="shared" ref="AG255" si="3072">AF255+7</f>
        <v>46282</v>
      </c>
      <c r="AH255" s="127">
        <f t="shared" ref="AH255" si="3073">AG255+7</f>
        <v>46289</v>
      </c>
      <c r="AI255" s="127" t="s">
        <v>149</v>
      </c>
      <c r="AJ255" s="127">
        <f t="shared" ref="AJ255" si="3074">AH255+7</f>
        <v>46296</v>
      </c>
      <c r="AK255" s="127">
        <f t="shared" ref="AK255" si="3075">AJ255+7</f>
        <v>46303</v>
      </c>
      <c r="AL255" s="127">
        <f t="shared" ref="AL255" si="3076">AK255+7</f>
        <v>46310</v>
      </c>
      <c r="AM255" s="127" t="s">
        <v>149</v>
      </c>
      <c r="AN255" s="127">
        <f t="shared" ref="AN255" si="3077">AL255+7</f>
        <v>46317</v>
      </c>
      <c r="AO255" s="127">
        <f t="shared" ref="AO255" si="3078">AN255+7</f>
        <v>46324</v>
      </c>
      <c r="AP255" s="127">
        <f t="shared" ref="AP255" si="3079">AO255+7</f>
        <v>46331</v>
      </c>
      <c r="AQ255" s="127" t="s">
        <v>149</v>
      </c>
      <c r="AR255" s="127">
        <f t="shared" ref="AR255" si="3080">AP255+7</f>
        <v>46338</v>
      </c>
      <c r="AS255" s="127">
        <f t="shared" ref="AS255" si="3081">AR255+7</f>
        <v>46345</v>
      </c>
      <c r="AT255" s="127">
        <f t="shared" ref="AT255" si="3082">AS255+7</f>
        <v>46352</v>
      </c>
      <c r="AU255" s="127" t="s">
        <v>149</v>
      </c>
      <c r="AV255" s="127">
        <f t="shared" ref="AV255" si="3083">AT255+7</f>
        <v>46359</v>
      </c>
      <c r="AW255" s="127">
        <f t="shared" ref="AW255" si="3084">AV255+7</f>
        <v>46366</v>
      </c>
      <c r="AX255" s="127">
        <f t="shared" ref="AX255" si="3085">AW255+7</f>
        <v>46373</v>
      </c>
      <c r="AY255" s="127" t="s">
        <v>149</v>
      </c>
      <c r="AZ255" s="127">
        <f t="shared" ref="AZ255" si="3086">AX255+7</f>
        <v>46380</v>
      </c>
      <c r="BA255" s="127">
        <f t="shared" ref="BA255" si="3087">AZ255+7</f>
        <v>46387</v>
      </c>
      <c r="BB255" s="127">
        <f t="shared" ref="BB255" si="3088">BA255+7</f>
        <v>46394</v>
      </c>
      <c r="BC255" s="127" t="s">
        <v>149</v>
      </c>
      <c r="BD255" s="127">
        <f t="shared" ref="BD255" si="3089">BB255+7</f>
        <v>46401</v>
      </c>
      <c r="BE255" s="127">
        <f t="shared" ref="BE255" si="3090">BD255+7</f>
        <v>46408</v>
      </c>
      <c r="BF255" s="127">
        <f t="shared" ref="BF255" si="3091">BE255+7</f>
        <v>46415</v>
      </c>
      <c r="BG255" s="127" t="s">
        <v>148</v>
      </c>
      <c r="BH255" s="127">
        <f t="shared" ref="BH255" si="3092">BF255+7</f>
        <v>46422</v>
      </c>
      <c r="BI255" s="127">
        <f t="shared" ref="BI255" si="3093">BH255+7</f>
        <v>46429</v>
      </c>
      <c r="BJ255" s="127">
        <f t="shared" ref="BJ255" si="3094">BI255+7</f>
        <v>46436</v>
      </c>
      <c r="BK255" s="127" t="s">
        <v>148</v>
      </c>
      <c r="BL255" s="127">
        <f t="shared" ref="BL255" si="3095">BJ255+7</f>
        <v>46443</v>
      </c>
      <c r="BM255" s="127">
        <f t="shared" ref="BM255" si="3096">BL255+7</f>
        <v>46450</v>
      </c>
      <c r="BN255" s="127">
        <f t="shared" ref="BN255" si="3097">BM255+7</f>
        <v>46457</v>
      </c>
      <c r="BO255" s="127" t="s">
        <v>149</v>
      </c>
      <c r="BP255" s="127">
        <f t="shared" ref="BP255" si="3098">BN255+7</f>
        <v>46464</v>
      </c>
      <c r="BQ255" s="127">
        <f t="shared" ref="BQ255" si="3099">BP255+7</f>
        <v>46471</v>
      </c>
      <c r="BR255" s="127">
        <f t="shared" ref="BR255" si="3100">BQ255+7</f>
        <v>46478</v>
      </c>
      <c r="BS255" s="127" t="s">
        <v>148</v>
      </c>
      <c r="BT255" s="127">
        <f t="shared" ref="BT255" si="3101">BR255+7</f>
        <v>46485</v>
      </c>
      <c r="BU255" s="127">
        <f t="shared" ref="BU255" si="3102">BT255+7</f>
        <v>46492</v>
      </c>
      <c r="BV255" s="127">
        <f t="shared" ref="BV255" si="3103">BU255+7</f>
        <v>46499</v>
      </c>
      <c r="BW255" s="127" t="s">
        <v>149</v>
      </c>
      <c r="BX255" s="127">
        <f t="shared" ref="BX255" si="3104">BV255+7</f>
        <v>46506</v>
      </c>
      <c r="BY255" s="127">
        <f t="shared" ref="BY255" si="3105">BX255+7</f>
        <v>46513</v>
      </c>
      <c r="BZ255" s="127">
        <f t="shared" ref="BZ255" si="3106">BY255+7</f>
        <v>46520</v>
      </c>
      <c r="CA255" s="127" t="s">
        <v>149</v>
      </c>
      <c r="CB255" s="127"/>
      <c r="CC255" s="127"/>
      <c r="CD255" s="127"/>
      <c r="CE255" s="127"/>
      <c r="CF255" s="127"/>
      <c r="CG255" s="127"/>
      <c r="CH255" s="127"/>
      <c r="CI255" s="127"/>
      <c r="CJ255" s="127"/>
      <c r="CK255" s="127"/>
      <c r="CL255" s="127"/>
      <c r="CM255" s="127"/>
      <c r="CN255" s="127"/>
      <c r="CO255" s="127"/>
      <c r="CP255" s="127"/>
      <c r="CQ255" s="127"/>
      <c r="CR255" s="127"/>
      <c r="CS255" s="127"/>
      <c r="CT255" s="127"/>
      <c r="CU255" s="127"/>
      <c r="CV255" s="127"/>
      <c r="CW255" s="127"/>
      <c r="CX255" s="127"/>
      <c r="CY255" s="127"/>
      <c r="CZ255" s="127"/>
      <c r="DA255" s="127"/>
      <c r="DB255" s="127"/>
      <c r="DC255" s="127"/>
      <c r="DD255" s="127"/>
      <c r="DE255" s="127"/>
      <c r="DF255" s="127"/>
      <c r="DG255" s="127"/>
      <c r="DH255" s="127"/>
      <c r="DI255" s="127"/>
      <c r="DJ255" s="127"/>
      <c r="DK255" s="127"/>
      <c r="DL255" s="127"/>
      <c r="DM255" s="127"/>
      <c r="DN255" s="127"/>
      <c r="DO255" s="127"/>
      <c r="DP255" s="127"/>
      <c r="DQ255" s="127"/>
      <c r="DR255" s="127"/>
      <c r="DS255" s="127"/>
      <c r="DT255" s="127"/>
      <c r="DU255" s="127"/>
      <c r="DV255" s="125"/>
      <c r="DW255" s="125"/>
      <c r="DX255" s="125"/>
      <c r="DY255" s="125"/>
      <c r="DZ255" s="125"/>
      <c r="EA255" s="125"/>
      <c r="EB255" s="125"/>
      <c r="EC255" s="125"/>
      <c r="ED255" s="268"/>
      <c r="EE255" s="128"/>
      <c r="EF255" s="339"/>
      <c r="EG255" s="338"/>
      <c r="EH255" s="339"/>
    </row>
    <row r="256" spans="2:138" ht="27.75">
      <c r="B256" s="347"/>
      <c r="C256" s="349"/>
      <c r="D256" s="351"/>
      <c r="E256" s="349"/>
      <c r="F256" s="349"/>
      <c r="G256" s="349"/>
      <c r="H256" s="320" t="s">
        <v>150</v>
      </c>
      <c r="I256" s="113">
        <v>46155</v>
      </c>
      <c r="J256" s="320"/>
      <c r="K256" s="113">
        <v>46170</v>
      </c>
      <c r="L256" s="271"/>
      <c r="M256" s="304">
        <v>46195</v>
      </c>
      <c r="N256" s="113">
        <v>46202</v>
      </c>
      <c r="O256" s="320" t="s">
        <v>149</v>
      </c>
      <c r="P256" s="113">
        <v>46209</v>
      </c>
      <c r="Q256" s="113">
        <v>46216</v>
      </c>
      <c r="R256" s="113"/>
      <c r="S256" s="320"/>
      <c r="T256" s="113"/>
      <c r="U256" s="113"/>
      <c r="V256" s="113"/>
      <c r="W256" s="69"/>
      <c r="X256" s="113"/>
      <c r="Y256" s="113"/>
      <c r="Z256" s="113"/>
      <c r="AA256" s="22"/>
      <c r="AB256" s="113"/>
      <c r="AC256" s="113"/>
      <c r="AD256" s="113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323"/>
      <c r="AR256" s="28"/>
      <c r="AS256" s="28"/>
      <c r="AT256" s="28"/>
      <c r="AU256" s="28"/>
      <c r="AV256" s="28"/>
      <c r="AW256" s="28"/>
      <c r="AX256" s="28"/>
      <c r="AY256" s="28"/>
      <c r="AZ256" s="122"/>
      <c r="BA256" s="122"/>
      <c r="BB256" s="122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28"/>
      <c r="BV256" s="28"/>
      <c r="BW256" s="28"/>
      <c r="BX256" s="28"/>
      <c r="BY256" s="28"/>
      <c r="BZ256" s="28"/>
      <c r="CA256" s="28"/>
      <c r="CB256" s="28"/>
      <c r="CC256" s="28"/>
      <c r="CD256" s="28"/>
      <c r="CE256" s="28"/>
      <c r="CF256" s="28"/>
      <c r="CG256" s="28"/>
      <c r="CH256" s="28"/>
      <c r="CI256" s="28"/>
      <c r="CJ256" s="28"/>
      <c r="CK256" s="28"/>
      <c r="CL256" s="28"/>
      <c r="CM256" s="28"/>
      <c r="CN256" s="28"/>
      <c r="CO256" s="28"/>
      <c r="CP256" s="28"/>
      <c r="CQ256" s="28"/>
      <c r="CR256" s="28"/>
      <c r="CS256" s="28"/>
      <c r="CT256" s="28"/>
      <c r="CU256" s="28"/>
      <c r="CV256" s="28"/>
      <c r="CW256" s="28"/>
      <c r="CX256" s="28"/>
      <c r="CY256" s="28"/>
      <c r="CZ256" s="28"/>
      <c r="DA256" s="28"/>
      <c r="DB256" s="28"/>
      <c r="DC256" s="28"/>
      <c r="DD256" s="28"/>
      <c r="DE256" s="28"/>
      <c r="DF256" s="28"/>
      <c r="DG256" s="28"/>
      <c r="DH256" s="28"/>
      <c r="DI256" s="28"/>
      <c r="DJ256" s="28"/>
      <c r="DK256" s="28"/>
      <c r="DL256" s="28"/>
      <c r="DM256" s="28"/>
      <c r="DN256" s="28"/>
      <c r="DO256" s="28"/>
      <c r="DP256" s="28"/>
      <c r="DQ256" s="28"/>
      <c r="DR256" s="28"/>
      <c r="DS256" s="28"/>
      <c r="DT256" s="28"/>
      <c r="DU256" s="132"/>
      <c r="DV256" s="69"/>
      <c r="DW256" s="69"/>
      <c r="DX256" s="69"/>
      <c r="DY256" s="69"/>
      <c r="DZ256" s="69"/>
      <c r="EA256" s="69"/>
      <c r="EB256" s="69"/>
      <c r="EC256" s="69"/>
      <c r="ED256" s="22"/>
      <c r="EE256" s="22"/>
      <c r="EF256" s="339"/>
      <c r="EG256" s="338"/>
      <c r="EH256" s="338"/>
    </row>
    <row r="257" spans="2:138" ht="27.75">
      <c r="B257" s="346" t="s">
        <v>445</v>
      </c>
      <c r="C257" s="348" t="s">
        <v>446</v>
      </c>
      <c r="D257" s="350" t="s">
        <v>270</v>
      </c>
      <c r="E257" s="348" t="s">
        <v>405</v>
      </c>
      <c r="F257" s="348" t="s">
        <v>292</v>
      </c>
      <c r="G257" s="348"/>
      <c r="H257" s="125" t="s">
        <v>147</v>
      </c>
      <c r="I257" s="12">
        <v>46164</v>
      </c>
      <c r="J257" s="126"/>
      <c r="K257" s="232">
        <v>46170</v>
      </c>
      <c r="L257" s="269" t="s">
        <v>148</v>
      </c>
      <c r="M257" s="126">
        <f>K257+7</f>
        <v>46177</v>
      </c>
      <c r="N257" s="126">
        <f>M257+7</f>
        <v>46184</v>
      </c>
      <c r="O257" s="126" t="s">
        <v>149</v>
      </c>
      <c r="P257" s="126">
        <f t="shared" ref="P257" si="3107">N257+7</f>
        <v>46191</v>
      </c>
      <c r="Q257" s="126">
        <f t="shared" ref="Q257" si="3108">P257+7</f>
        <v>46198</v>
      </c>
      <c r="R257" s="126">
        <f t="shared" ref="R257" si="3109">Q257+7</f>
        <v>46205</v>
      </c>
      <c r="S257" s="127" t="s">
        <v>149</v>
      </c>
      <c r="T257" s="127">
        <f t="shared" ref="T257" si="3110">R257+7</f>
        <v>46212</v>
      </c>
      <c r="U257" s="127">
        <f t="shared" ref="U257" si="3111">T257+7</f>
        <v>46219</v>
      </c>
      <c r="V257" s="127">
        <f t="shared" ref="V257" si="3112">U257+7</f>
        <v>46226</v>
      </c>
      <c r="W257" s="127" t="s">
        <v>149</v>
      </c>
      <c r="X257" s="127">
        <f t="shared" ref="X257" si="3113">V257+7</f>
        <v>46233</v>
      </c>
      <c r="Y257" s="127">
        <f t="shared" ref="Y257" si="3114">X257+7</f>
        <v>46240</v>
      </c>
      <c r="Z257" s="127">
        <f t="shared" ref="Z257" si="3115">Y257+7</f>
        <v>46247</v>
      </c>
      <c r="AA257" s="127" t="s">
        <v>149</v>
      </c>
      <c r="AB257" s="127">
        <f t="shared" ref="AB257" si="3116">Z257+7</f>
        <v>46254</v>
      </c>
      <c r="AC257" s="127">
        <f t="shared" ref="AC257" si="3117">AB257+7</f>
        <v>46261</v>
      </c>
      <c r="AD257" s="127">
        <f t="shared" ref="AD257" si="3118">AC257+7</f>
        <v>46268</v>
      </c>
      <c r="AE257" s="127" t="s">
        <v>149</v>
      </c>
      <c r="AF257" s="127">
        <f t="shared" ref="AF257" si="3119">AD257+7</f>
        <v>46275</v>
      </c>
      <c r="AG257" s="127">
        <f t="shared" ref="AG257" si="3120">AF257+7</f>
        <v>46282</v>
      </c>
      <c r="AH257" s="127">
        <f t="shared" ref="AH257" si="3121">AG257+7</f>
        <v>46289</v>
      </c>
      <c r="AI257" s="127" t="s">
        <v>149</v>
      </c>
      <c r="AJ257" s="127">
        <f t="shared" ref="AJ257" si="3122">AH257+7</f>
        <v>46296</v>
      </c>
      <c r="AK257" s="127">
        <f t="shared" ref="AK257" si="3123">AJ257+7</f>
        <v>46303</v>
      </c>
      <c r="AL257" s="127">
        <f t="shared" ref="AL257" si="3124">AK257+7</f>
        <v>46310</v>
      </c>
      <c r="AM257" s="127" t="s">
        <v>149</v>
      </c>
      <c r="AN257" s="127">
        <f t="shared" ref="AN257" si="3125">AL257+7</f>
        <v>46317</v>
      </c>
      <c r="AO257" s="127">
        <f t="shared" ref="AO257" si="3126">AN257+7</f>
        <v>46324</v>
      </c>
      <c r="AP257" s="127">
        <f t="shared" ref="AP257" si="3127">AO257+7</f>
        <v>46331</v>
      </c>
      <c r="AQ257" s="127" t="s">
        <v>149</v>
      </c>
      <c r="AR257" s="127">
        <f t="shared" ref="AR257" si="3128">AP257+7</f>
        <v>46338</v>
      </c>
      <c r="AS257" s="127">
        <f t="shared" ref="AS257" si="3129">AR257+7</f>
        <v>46345</v>
      </c>
      <c r="AT257" s="127">
        <f t="shared" ref="AT257" si="3130">AS257+7</f>
        <v>46352</v>
      </c>
      <c r="AU257" s="127" t="s">
        <v>149</v>
      </c>
      <c r="AV257" s="127">
        <f t="shared" ref="AV257" si="3131">AT257+7</f>
        <v>46359</v>
      </c>
      <c r="AW257" s="127">
        <f t="shared" ref="AW257" si="3132">AV257+7</f>
        <v>46366</v>
      </c>
      <c r="AX257" s="127">
        <f t="shared" ref="AX257" si="3133">AW257+7</f>
        <v>46373</v>
      </c>
      <c r="AY257" s="127" t="s">
        <v>149</v>
      </c>
      <c r="AZ257" s="127">
        <f t="shared" ref="AZ257" si="3134">AX257+7</f>
        <v>46380</v>
      </c>
      <c r="BA257" s="127">
        <f t="shared" ref="BA257" si="3135">AZ257+7</f>
        <v>46387</v>
      </c>
      <c r="BB257" s="127">
        <f t="shared" ref="BB257" si="3136">BA257+7</f>
        <v>46394</v>
      </c>
      <c r="BC257" s="127" t="s">
        <v>149</v>
      </c>
      <c r="BD257" s="127">
        <f t="shared" ref="BD257" si="3137">BB257+7</f>
        <v>46401</v>
      </c>
      <c r="BE257" s="127">
        <f t="shared" ref="BE257" si="3138">BD257+7</f>
        <v>46408</v>
      </c>
      <c r="BF257" s="127">
        <f t="shared" ref="BF257" si="3139">BE257+7</f>
        <v>46415</v>
      </c>
      <c r="BG257" s="127" t="s">
        <v>148</v>
      </c>
      <c r="BH257" s="127">
        <f t="shared" ref="BH257" si="3140">BF257+7</f>
        <v>46422</v>
      </c>
      <c r="BI257" s="127">
        <f t="shared" ref="BI257" si="3141">BH257+7</f>
        <v>46429</v>
      </c>
      <c r="BJ257" s="127">
        <f t="shared" ref="BJ257" si="3142">BI257+7</f>
        <v>46436</v>
      </c>
      <c r="BK257" s="127" t="s">
        <v>148</v>
      </c>
      <c r="BL257" s="127">
        <f t="shared" ref="BL257" si="3143">BJ257+7</f>
        <v>46443</v>
      </c>
      <c r="BM257" s="127">
        <f t="shared" ref="BM257" si="3144">BL257+7</f>
        <v>46450</v>
      </c>
      <c r="BN257" s="127">
        <f t="shared" ref="BN257" si="3145">BM257+7</f>
        <v>46457</v>
      </c>
      <c r="BO257" s="127" t="s">
        <v>149</v>
      </c>
      <c r="BP257" s="127">
        <f t="shared" ref="BP257" si="3146">BN257+7</f>
        <v>46464</v>
      </c>
      <c r="BQ257" s="127">
        <f t="shared" ref="BQ257" si="3147">BP257+7</f>
        <v>46471</v>
      </c>
      <c r="BR257" s="127">
        <f t="shared" ref="BR257" si="3148">BQ257+7</f>
        <v>46478</v>
      </c>
      <c r="BS257" s="127" t="s">
        <v>148</v>
      </c>
      <c r="BT257" s="127">
        <f t="shared" ref="BT257" si="3149">BR257+7</f>
        <v>46485</v>
      </c>
      <c r="BU257" s="127">
        <f t="shared" ref="BU257" si="3150">BT257+7</f>
        <v>46492</v>
      </c>
      <c r="BV257" s="127">
        <f t="shared" ref="BV257" si="3151">BU257+7</f>
        <v>46499</v>
      </c>
      <c r="BW257" s="127" t="s">
        <v>149</v>
      </c>
      <c r="BX257" s="127">
        <f t="shared" ref="BX257" si="3152">BV257+7</f>
        <v>46506</v>
      </c>
      <c r="BY257" s="127">
        <f t="shared" ref="BY257" si="3153">BX257+7</f>
        <v>46513</v>
      </c>
      <c r="BZ257" s="127">
        <f t="shared" ref="BZ257" si="3154">BY257+7</f>
        <v>46520</v>
      </c>
      <c r="CA257" s="127" t="s">
        <v>149</v>
      </c>
      <c r="CB257" s="127"/>
      <c r="CC257" s="127"/>
      <c r="CD257" s="127"/>
      <c r="CE257" s="127"/>
      <c r="CF257" s="127"/>
      <c r="CG257" s="127"/>
      <c r="CH257" s="127"/>
      <c r="CI257" s="127"/>
      <c r="CJ257" s="127"/>
      <c r="CK257" s="127"/>
      <c r="CL257" s="127"/>
      <c r="CM257" s="127"/>
      <c r="CN257" s="127"/>
      <c r="CO257" s="127"/>
      <c r="CP257" s="127"/>
      <c r="CQ257" s="127"/>
      <c r="CR257" s="127"/>
      <c r="CS257" s="127"/>
      <c r="CT257" s="127"/>
      <c r="CU257" s="127"/>
      <c r="CV257" s="127"/>
      <c r="CW257" s="127"/>
      <c r="CX257" s="127"/>
      <c r="CY257" s="127"/>
      <c r="CZ257" s="127"/>
      <c r="DA257" s="127"/>
      <c r="DB257" s="127"/>
      <c r="DC257" s="127"/>
      <c r="DD257" s="127"/>
      <c r="DE257" s="127"/>
      <c r="DF257" s="127"/>
      <c r="DG257" s="127"/>
      <c r="DH257" s="127"/>
      <c r="DI257" s="127"/>
      <c r="DJ257" s="127"/>
      <c r="DK257" s="127"/>
      <c r="DL257" s="127"/>
      <c r="DM257" s="127"/>
      <c r="DN257" s="127"/>
      <c r="DO257" s="127"/>
      <c r="DP257" s="127"/>
      <c r="DQ257" s="127"/>
      <c r="DR257" s="127"/>
      <c r="DS257" s="127"/>
      <c r="DT257" s="127"/>
      <c r="DU257" s="127"/>
      <c r="DV257" s="125"/>
      <c r="DW257" s="125"/>
      <c r="DX257" s="125"/>
      <c r="DY257" s="125"/>
      <c r="DZ257" s="125"/>
      <c r="EA257" s="125"/>
      <c r="EB257" s="125"/>
      <c r="EC257" s="125"/>
      <c r="ED257" s="268"/>
      <c r="EE257" s="128"/>
      <c r="EF257" s="339"/>
      <c r="EG257" s="338"/>
      <c r="EH257" s="339"/>
    </row>
    <row r="258" spans="2:138" ht="31.15" customHeight="1">
      <c r="B258" s="347"/>
      <c r="C258" s="349"/>
      <c r="D258" s="351"/>
      <c r="E258" s="349"/>
      <c r="F258" s="349"/>
      <c r="G258" s="349"/>
      <c r="H258" s="320" t="s">
        <v>150</v>
      </c>
      <c r="I258" s="113">
        <v>46164</v>
      </c>
      <c r="J258" s="320"/>
      <c r="K258" s="113">
        <v>46183</v>
      </c>
      <c r="L258" s="271"/>
      <c r="M258" s="194">
        <v>46190</v>
      </c>
      <c r="N258" s="113">
        <v>46197</v>
      </c>
      <c r="O258" s="318" t="s">
        <v>149</v>
      </c>
      <c r="P258" s="113">
        <v>46218</v>
      </c>
      <c r="Q258" s="113">
        <v>46224</v>
      </c>
      <c r="R258" s="113"/>
      <c r="S258" s="320"/>
      <c r="T258" s="113"/>
      <c r="U258" s="113"/>
      <c r="V258" s="113"/>
      <c r="W258" s="69"/>
      <c r="X258" s="113"/>
      <c r="Y258" s="113"/>
      <c r="Z258" s="113"/>
      <c r="AA258" s="22"/>
      <c r="AB258" s="113"/>
      <c r="AC258" s="113"/>
      <c r="AD258" s="113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323"/>
      <c r="AR258" s="28"/>
      <c r="AS258" s="28"/>
      <c r="AT258" s="28"/>
      <c r="AU258" s="28"/>
      <c r="AV258" s="28"/>
      <c r="AW258" s="28"/>
      <c r="AX258" s="28"/>
      <c r="AY258" s="28"/>
      <c r="AZ258" s="122"/>
      <c r="BA258" s="122"/>
      <c r="BB258" s="122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  <c r="CB258" s="28"/>
      <c r="CC258" s="28"/>
      <c r="CD258" s="28"/>
      <c r="CE258" s="28"/>
      <c r="CF258" s="28"/>
      <c r="CG258" s="28"/>
      <c r="CH258" s="28"/>
      <c r="CI258" s="28"/>
      <c r="CJ258" s="28"/>
      <c r="CK258" s="28"/>
      <c r="CL258" s="28"/>
      <c r="CM258" s="28"/>
      <c r="CN258" s="28"/>
      <c r="CO258" s="28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  <c r="CZ258" s="28"/>
      <c r="DA258" s="28"/>
      <c r="DB258" s="28"/>
      <c r="DC258" s="28"/>
      <c r="DD258" s="28"/>
      <c r="DE258" s="28"/>
      <c r="DF258" s="28"/>
      <c r="DG258" s="28"/>
      <c r="DH258" s="28"/>
      <c r="DI258" s="28"/>
      <c r="DJ258" s="28"/>
      <c r="DK258" s="28"/>
      <c r="DL258" s="28"/>
      <c r="DM258" s="28"/>
      <c r="DN258" s="28"/>
      <c r="DO258" s="28"/>
      <c r="DP258" s="28"/>
      <c r="DQ258" s="28"/>
      <c r="DR258" s="28"/>
      <c r="DS258" s="28"/>
      <c r="DT258" s="28"/>
      <c r="DU258" s="132"/>
      <c r="DV258" s="69"/>
      <c r="DW258" s="69"/>
      <c r="DX258" s="69"/>
      <c r="DY258" s="69"/>
      <c r="DZ258" s="69"/>
      <c r="EA258" s="69"/>
      <c r="EB258" s="69"/>
      <c r="EC258" s="69"/>
      <c r="ED258" s="22"/>
      <c r="EE258" s="22"/>
      <c r="EF258" s="339"/>
      <c r="EG258" s="338"/>
      <c r="EH258" s="338"/>
    </row>
    <row r="259" spans="2:138" ht="27.75">
      <c r="B259" s="356" t="s">
        <v>422</v>
      </c>
      <c r="C259" s="358" t="s">
        <v>447</v>
      </c>
      <c r="D259" s="360" t="s">
        <v>428</v>
      </c>
      <c r="E259" s="358" t="s">
        <v>364</v>
      </c>
      <c r="F259" s="358" t="s">
        <v>210</v>
      </c>
      <c r="G259" s="358"/>
      <c r="H259" s="181" t="s">
        <v>147</v>
      </c>
      <c r="I259" s="75">
        <v>46142</v>
      </c>
      <c r="J259" s="182"/>
      <c r="K259" s="249">
        <v>46160</v>
      </c>
      <c r="L259" s="249">
        <v>46164</v>
      </c>
      <c r="M259" s="182">
        <v>45849</v>
      </c>
      <c r="N259" s="182">
        <f t="shared" ref="N259" si="3155">M259+7</f>
        <v>45856</v>
      </c>
      <c r="O259" s="182" t="s">
        <v>149</v>
      </c>
      <c r="P259" s="182">
        <f t="shared" ref="P259" si="3156">N259+7</f>
        <v>45863</v>
      </c>
      <c r="Q259" s="182">
        <f t="shared" ref="Q259" si="3157">P259+7</f>
        <v>45870</v>
      </c>
      <c r="R259" s="182">
        <f t="shared" ref="R259" si="3158">Q259+7</f>
        <v>45877</v>
      </c>
      <c r="S259" s="180" t="s">
        <v>149</v>
      </c>
      <c r="T259" s="180">
        <f t="shared" ref="T259" si="3159">R259+7</f>
        <v>45884</v>
      </c>
      <c r="U259" s="180">
        <f t="shared" ref="U259" si="3160">T259+7</f>
        <v>45891</v>
      </c>
      <c r="V259" s="180">
        <f t="shared" ref="V259" si="3161">U259+7</f>
        <v>45898</v>
      </c>
      <c r="W259" s="180" t="s">
        <v>149</v>
      </c>
      <c r="X259" s="180">
        <f t="shared" ref="X259" si="3162">V259+7</f>
        <v>45905</v>
      </c>
      <c r="Y259" s="180">
        <f t="shared" ref="Y259" si="3163">X259+7</f>
        <v>45912</v>
      </c>
      <c r="Z259" s="180">
        <f t="shared" ref="Z259" si="3164">Y259+7</f>
        <v>45919</v>
      </c>
      <c r="AA259" s="180" t="s">
        <v>149</v>
      </c>
      <c r="AB259" s="180">
        <f t="shared" ref="AB259" si="3165">Z259+7</f>
        <v>45926</v>
      </c>
      <c r="AC259" s="180">
        <f t="shared" ref="AC259" si="3166">AB259+7</f>
        <v>45933</v>
      </c>
      <c r="AD259" s="180">
        <f t="shared" ref="AD259" si="3167">AC259+7</f>
        <v>45940</v>
      </c>
      <c r="AE259" s="180" t="s">
        <v>149</v>
      </c>
      <c r="AF259" s="180">
        <f t="shared" ref="AF259" si="3168">AD259+7</f>
        <v>45947</v>
      </c>
      <c r="AG259" s="180">
        <f t="shared" ref="AG259" si="3169">AF259+7</f>
        <v>45954</v>
      </c>
      <c r="AH259" s="180">
        <f t="shared" ref="AH259" si="3170">AG259+7</f>
        <v>45961</v>
      </c>
      <c r="AI259" s="180" t="s">
        <v>149</v>
      </c>
      <c r="AJ259" s="180">
        <f t="shared" ref="AJ259" si="3171">AH259+7</f>
        <v>45968</v>
      </c>
      <c r="AK259" s="180">
        <f t="shared" ref="AK259" si="3172">AJ259+7</f>
        <v>45975</v>
      </c>
      <c r="AL259" s="180">
        <f t="shared" ref="AL259" si="3173">AK259+7</f>
        <v>45982</v>
      </c>
      <c r="AM259" s="180" t="s">
        <v>149</v>
      </c>
      <c r="AN259" s="180">
        <f t="shared" ref="AN259" si="3174">AL259+7</f>
        <v>45989</v>
      </c>
      <c r="AO259" s="180">
        <f t="shared" ref="AO259" si="3175">AN259+7</f>
        <v>45996</v>
      </c>
      <c r="AP259" s="180">
        <f t="shared" ref="AP259" si="3176">AO259+7</f>
        <v>46003</v>
      </c>
      <c r="AQ259" s="180" t="s">
        <v>149</v>
      </c>
      <c r="AR259" s="180">
        <f t="shared" ref="AR259" si="3177">AP259+7</f>
        <v>46010</v>
      </c>
      <c r="AS259" s="180">
        <f t="shared" ref="AS259" si="3178">AR259+7</f>
        <v>46017</v>
      </c>
      <c r="AT259" s="180">
        <f t="shared" ref="AT259" si="3179">AS259+7</f>
        <v>46024</v>
      </c>
      <c r="AU259" s="180" t="s">
        <v>149</v>
      </c>
      <c r="AV259" s="180">
        <f t="shared" ref="AV259" si="3180">AT259+7</f>
        <v>46031</v>
      </c>
      <c r="AW259" s="180">
        <f t="shared" ref="AW259" si="3181">AV259+7</f>
        <v>46038</v>
      </c>
      <c r="AX259" s="180">
        <f t="shared" ref="AX259" si="3182">AW259+7</f>
        <v>46045</v>
      </c>
      <c r="AY259" s="180" t="s">
        <v>149</v>
      </c>
      <c r="AZ259" s="180">
        <f t="shared" ref="AZ259" si="3183">AX259+7</f>
        <v>46052</v>
      </c>
      <c r="BA259" s="180">
        <f t="shared" ref="BA259" si="3184">AZ259+7</f>
        <v>46059</v>
      </c>
      <c r="BB259" s="180">
        <f t="shared" ref="BB259" si="3185">BA259+7</f>
        <v>46066</v>
      </c>
      <c r="BC259" s="180" t="s">
        <v>149</v>
      </c>
      <c r="BD259" s="180">
        <f t="shared" ref="BD259" si="3186">BB259+7</f>
        <v>46073</v>
      </c>
      <c r="BE259" s="180">
        <f t="shared" ref="BE259" si="3187">BD259+7</f>
        <v>46080</v>
      </c>
      <c r="BF259" s="180">
        <f t="shared" ref="BF259" si="3188">BE259+7</f>
        <v>46087</v>
      </c>
      <c r="BG259" s="180" t="s">
        <v>148</v>
      </c>
      <c r="BH259" s="180">
        <f t="shared" ref="BH259" si="3189">BF259+7</f>
        <v>46094</v>
      </c>
      <c r="BI259" s="180">
        <f t="shared" ref="BI259" si="3190">BH259+7</f>
        <v>46101</v>
      </c>
      <c r="BJ259" s="180">
        <f t="shared" ref="BJ259" si="3191">BI259+7</f>
        <v>46108</v>
      </c>
      <c r="BK259" s="180" t="s">
        <v>148</v>
      </c>
      <c r="BL259" s="180">
        <f t="shared" ref="BL259" si="3192">BJ259+7</f>
        <v>46115</v>
      </c>
      <c r="BM259" s="180">
        <f t="shared" ref="BM259" si="3193">BL259+7</f>
        <v>46122</v>
      </c>
      <c r="BN259" s="180">
        <f t="shared" ref="BN259" si="3194">BM259+7</f>
        <v>46129</v>
      </c>
      <c r="BO259" s="180" t="s">
        <v>149</v>
      </c>
      <c r="BP259" s="180">
        <f t="shared" ref="BP259" si="3195">BN259+7</f>
        <v>46136</v>
      </c>
      <c r="BQ259" s="180">
        <f t="shared" ref="BQ259" si="3196">BP259+7</f>
        <v>46143</v>
      </c>
      <c r="BR259" s="180">
        <f t="shared" ref="BR259" si="3197">BQ259+7</f>
        <v>46150</v>
      </c>
      <c r="BS259" s="180" t="s">
        <v>148</v>
      </c>
      <c r="BT259" s="180">
        <f t="shared" ref="BT259" si="3198">BR259+7</f>
        <v>46157</v>
      </c>
      <c r="BU259" s="180">
        <f t="shared" ref="BU259" si="3199">BT259+7</f>
        <v>46164</v>
      </c>
      <c r="BV259" s="180">
        <f t="shared" ref="BV259" si="3200">BU259+7</f>
        <v>46171</v>
      </c>
      <c r="BW259" s="180" t="s">
        <v>149</v>
      </c>
      <c r="BX259" s="180">
        <f t="shared" ref="BX259" si="3201">BV259+7</f>
        <v>46178</v>
      </c>
      <c r="BY259" s="180">
        <f t="shared" ref="BY259" si="3202">BX259+7</f>
        <v>46185</v>
      </c>
      <c r="BZ259" s="180">
        <f t="shared" ref="BZ259" si="3203">BY259+7</f>
        <v>46192</v>
      </c>
      <c r="CA259" s="180" t="s">
        <v>149</v>
      </c>
      <c r="CB259" s="180"/>
      <c r="CC259" s="180"/>
      <c r="CD259" s="180"/>
      <c r="CE259" s="180"/>
      <c r="CF259" s="180"/>
      <c r="CG259" s="180"/>
      <c r="CH259" s="180"/>
      <c r="CI259" s="180"/>
      <c r="CJ259" s="180"/>
      <c r="CK259" s="180"/>
      <c r="CL259" s="180"/>
      <c r="CM259" s="180"/>
      <c r="CN259" s="180"/>
      <c r="CO259" s="180"/>
      <c r="CP259" s="180"/>
      <c r="CQ259" s="180"/>
      <c r="CR259" s="180"/>
      <c r="CS259" s="180"/>
      <c r="CT259" s="180"/>
      <c r="CU259" s="180"/>
      <c r="CV259" s="180"/>
      <c r="CW259" s="180"/>
      <c r="CX259" s="180"/>
      <c r="CY259" s="180"/>
      <c r="CZ259" s="180"/>
      <c r="DA259" s="180"/>
      <c r="DB259" s="180"/>
      <c r="DC259" s="180"/>
      <c r="DD259" s="180"/>
      <c r="DE259" s="180"/>
      <c r="DF259" s="180"/>
      <c r="DG259" s="180"/>
      <c r="DH259" s="180"/>
      <c r="DI259" s="180"/>
      <c r="DJ259" s="180"/>
      <c r="DK259" s="180"/>
      <c r="DL259" s="180"/>
      <c r="DM259" s="180"/>
      <c r="DN259" s="180"/>
      <c r="DO259" s="180"/>
      <c r="DP259" s="180"/>
      <c r="DQ259" s="180"/>
      <c r="DR259" s="180"/>
      <c r="DS259" s="180"/>
      <c r="DT259" s="127"/>
      <c r="DU259" s="127"/>
      <c r="DV259" s="125"/>
      <c r="DW259" s="125"/>
      <c r="DX259" s="125"/>
      <c r="DY259" s="125"/>
      <c r="DZ259" s="125"/>
      <c r="EA259" s="125"/>
      <c r="EB259" s="125"/>
      <c r="EC259" s="125"/>
      <c r="ED259" s="268"/>
      <c r="EE259" s="128"/>
      <c r="EF259" s="339"/>
      <c r="EG259" s="338"/>
      <c r="EH259" s="339"/>
    </row>
    <row r="260" spans="2:138" ht="27.75">
      <c r="B260" s="357"/>
      <c r="C260" s="359"/>
      <c r="D260" s="361"/>
      <c r="E260" s="359"/>
      <c r="F260" s="359"/>
      <c r="G260" s="359"/>
      <c r="H260" s="324" t="s">
        <v>150</v>
      </c>
      <c r="I260" s="169">
        <v>46142</v>
      </c>
      <c r="J260" s="324"/>
      <c r="K260" s="169">
        <v>46160</v>
      </c>
      <c r="L260" s="169">
        <v>46164</v>
      </c>
      <c r="M260" s="202">
        <v>46168</v>
      </c>
      <c r="N260" s="169">
        <v>46175</v>
      </c>
      <c r="O260" s="324" t="s">
        <v>148</v>
      </c>
      <c r="P260" s="169">
        <v>46183</v>
      </c>
      <c r="Q260" s="169">
        <v>46189</v>
      </c>
      <c r="R260" s="169">
        <v>46198</v>
      </c>
      <c r="S260" s="324"/>
      <c r="T260" s="169"/>
      <c r="U260" s="169"/>
      <c r="V260" s="169"/>
      <c r="W260" s="152"/>
      <c r="X260" s="169"/>
      <c r="Y260" s="169"/>
      <c r="Z260" s="169"/>
      <c r="AA260" s="176"/>
      <c r="AB260" s="169"/>
      <c r="AC260" s="169"/>
      <c r="AD260" s="169"/>
      <c r="AE260" s="177"/>
      <c r="AF260" s="177"/>
      <c r="AG260" s="177"/>
      <c r="AH260" s="177"/>
      <c r="AI260" s="177"/>
      <c r="AJ260" s="177"/>
      <c r="AK260" s="177"/>
      <c r="AL260" s="177"/>
      <c r="AM260" s="177"/>
      <c r="AN260" s="177"/>
      <c r="AO260" s="177"/>
      <c r="AP260" s="177"/>
      <c r="AQ260" s="178"/>
      <c r="AR260" s="177"/>
      <c r="AS260" s="177"/>
      <c r="AT260" s="177"/>
      <c r="AU260" s="177"/>
      <c r="AV260" s="177"/>
      <c r="AW260" s="177"/>
      <c r="AX260" s="177"/>
      <c r="AY260" s="177"/>
      <c r="AZ260" s="179"/>
      <c r="BA260" s="179"/>
      <c r="BB260" s="179"/>
      <c r="BC260" s="177"/>
      <c r="BD260" s="177"/>
      <c r="BE260" s="177"/>
      <c r="BF260" s="177"/>
      <c r="BG260" s="177"/>
      <c r="BH260" s="177"/>
      <c r="BI260" s="177"/>
      <c r="BJ260" s="177"/>
      <c r="BK260" s="177"/>
      <c r="BL260" s="177"/>
      <c r="BM260" s="177"/>
      <c r="BN260" s="177"/>
      <c r="BO260" s="177"/>
      <c r="BP260" s="177"/>
      <c r="BQ260" s="177"/>
      <c r="BR260" s="177"/>
      <c r="BS260" s="177"/>
      <c r="BT260" s="177"/>
      <c r="BU260" s="177"/>
      <c r="BV260" s="177"/>
      <c r="BW260" s="177"/>
      <c r="BX260" s="177"/>
      <c r="BY260" s="177"/>
      <c r="BZ260" s="177"/>
      <c r="CA260" s="177"/>
      <c r="CB260" s="177"/>
      <c r="CC260" s="177"/>
      <c r="CD260" s="177"/>
      <c r="CE260" s="177"/>
      <c r="CF260" s="177"/>
      <c r="CG260" s="177"/>
      <c r="CH260" s="177"/>
      <c r="CI260" s="177"/>
      <c r="CJ260" s="177"/>
      <c r="CK260" s="177"/>
      <c r="CL260" s="177"/>
      <c r="CM260" s="177"/>
      <c r="CN260" s="177"/>
      <c r="CO260" s="177"/>
      <c r="CP260" s="177"/>
      <c r="CQ260" s="177"/>
      <c r="CR260" s="177"/>
      <c r="CS260" s="177"/>
      <c r="CT260" s="177"/>
      <c r="CU260" s="177"/>
      <c r="CV260" s="177"/>
      <c r="CW260" s="177"/>
      <c r="CX260" s="177"/>
      <c r="CY260" s="177"/>
      <c r="CZ260" s="177"/>
      <c r="DA260" s="177"/>
      <c r="DB260" s="177"/>
      <c r="DC260" s="177"/>
      <c r="DD260" s="177"/>
      <c r="DE260" s="177"/>
      <c r="DF260" s="177"/>
      <c r="DG260" s="177"/>
      <c r="DH260" s="177"/>
      <c r="DI260" s="177"/>
      <c r="DJ260" s="177"/>
      <c r="DK260" s="177"/>
      <c r="DL260" s="177"/>
      <c r="DM260" s="177"/>
      <c r="DN260" s="177"/>
      <c r="DO260" s="177"/>
      <c r="DP260" s="177"/>
      <c r="DQ260" s="177"/>
      <c r="DR260" s="177"/>
      <c r="DS260" s="177"/>
      <c r="DT260" s="28" t="s">
        <v>183</v>
      </c>
      <c r="DU260" s="132" t="s">
        <v>183</v>
      </c>
      <c r="DV260" s="69"/>
      <c r="DW260" s="69"/>
      <c r="DX260" s="69"/>
      <c r="DY260" s="69"/>
      <c r="DZ260" s="69"/>
      <c r="EA260" s="69"/>
      <c r="EB260" s="69"/>
      <c r="EC260" s="69"/>
      <c r="ED260" s="22"/>
      <c r="EE260" s="22"/>
      <c r="EF260" s="339"/>
      <c r="EG260" s="338"/>
      <c r="EH260" s="338"/>
    </row>
    <row r="261" spans="2:138" ht="27.75">
      <c r="B261" s="381" t="s">
        <v>436</v>
      </c>
      <c r="C261" s="383" t="s">
        <v>448</v>
      </c>
      <c r="D261" s="383" t="s">
        <v>381</v>
      </c>
      <c r="E261" s="385" t="s">
        <v>364</v>
      </c>
      <c r="F261" s="383" t="s">
        <v>292</v>
      </c>
      <c r="G261" s="383"/>
      <c r="H261" s="307" t="s">
        <v>147</v>
      </c>
      <c r="I261" s="308">
        <v>46198</v>
      </c>
      <c r="J261" s="309"/>
      <c r="K261" s="308">
        <v>46073</v>
      </c>
      <c r="L261" s="308">
        <v>46078</v>
      </c>
      <c r="M261" s="309">
        <v>46080</v>
      </c>
      <c r="N261" s="309">
        <f>M261+7</f>
        <v>46087</v>
      </c>
      <c r="O261" s="309">
        <v>46093</v>
      </c>
      <c r="P261" s="309">
        <f t="shared" ref="P261" si="3204">N261+7</f>
        <v>46094</v>
      </c>
      <c r="Q261" s="309">
        <f t="shared" ref="Q261" si="3205">P261+7</f>
        <v>46101</v>
      </c>
      <c r="R261" s="309">
        <f t="shared" ref="R261" si="3206">Q261+7</f>
        <v>46108</v>
      </c>
      <c r="S261" s="310" t="s">
        <v>149</v>
      </c>
      <c r="T261" s="310">
        <f t="shared" ref="T261" si="3207">R261+7</f>
        <v>46115</v>
      </c>
      <c r="U261" s="310">
        <f t="shared" ref="U261" si="3208">T261+7</f>
        <v>46122</v>
      </c>
      <c r="V261" s="310">
        <f t="shared" ref="V261" si="3209">U261+7</f>
        <v>46129</v>
      </c>
      <c r="W261" s="310" t="s">
        <v>149</v>
      </c>
      <c r="X261" s="310">
        <f t="shared" ref="X261" si="3210">V261+7</f>
        <v>46136</v>
      </c>
      <c r="Y261" s="310">
        <f t="shared" ref="Y261" si="3211">X261+7</f>
        <v>46143</v>
      </c>
      <c r="Z261" s="310">
        <f t="shared" ref="Z261" si="3212">Y261+7</f>
        <v>46150</v>
      </c>
      <c r="AA261" s="310" t="s">
        <v>149</v>
      </c>
      <c r="AB261" s="310">
        <f t="shared" ref="AB261" si="3213">Z261+7</f>
        <v>46157</v>
      </c>
      <c r="AC261" s="310">
        <f t="shared" ref="AC261" si="3214">AB261+7</f>
        <v>46164</v>
      </c>
      <c r="AD261" s="310">
        <f t="shared" ref="AD261" si="3215">AC261+7</f>
        <v>46171</v>
      </c>
      <c r="AE261" s="310" t="s">
        <v>149</v>
      </c>
      <c r="AF261" s="310">
        <f t="shared" ref="AF261" si="3216">AD261+7</f>
        <v>46178</v>
      </c>
      <c r="AG261" s="310">
        <f t="shared" ref="AG261" si="3217">AF261+7</f>
        <v>46185</v>
      </c>
      <c r="AH261" s="310">
        <f t="shared" ref="AH261" si="3218">AG261+7</f>
        <v>46192</v>
      </c>
      <c r="AI261" s="310" t="s">
        <v>149</v>
      </c>
      <c r="AJ261" s="310">
        <f t="shared" ref="AJ261" si="3219">AH261+7</f>
        <v>46199</v>
      </c>
      <c r="AK261" s="310">
        <f t="shared" ref="AK261" si="3220">AJ261+7</f>
        <v>46206</v>
      </c>
      <c r="AL261" s="310">
        <f t="shared" ref="AL261" si="3221">AK261+7</f>
        <v>46213</v>
      </c>
      <c r="AM261" s="310" t="s">
        <v>149</v>
      </c>
      <c r="AN261" s="310">
        <f t="shared" ref="AN261" si="3222">AL261+7</f>
        <v>46220</v>
      </c>
      <c r="AO261" s="310">
        <f t="shared" ref="AO261" si="3223">AN261+7</f>
        <v>46227</v>
      </c>
      <c r="AP261" s="310">
        <f t="shared" ref="AP261" si="3224">AO261+7</f>
        <v>46234</v>
      </c>
      <c r="AQ261" s="310" t="s">
        <v>149</v>
      </c>
      <c r="AR261" s="310">
        <f t="shared" ref="AR261" si="3225">AP261+7</f>
        <v>46241</v>
      </c>
      <c r="AS261" s="310">
        <f t="shared" ref="AS261" si="3226">AR261+7</f>
        <v>46248</v>
      </c>
      <c r="AT261" s="310">
        <f t="shared" ref="AT261" si="3227">AS261+7</f>
        <v>46255</v>
      </c>
      <c r="AU261" s="310" t="s">
        <v>149</v>
      </c>
      <c r="AV261" s="310">
        <f t="shared" ref="AV261" si="3228">AT261+7</f>
        <v>46262</v>
      </c>
      <c r="AW261" s="310">
        <f t="shared" ref="AW261" si="3229">AV261+7</f>
        <v>46269</v>
      </c>
      <c r="AX261" s="310">
        <f t="shared" ref="AX261" si="3230">AW261+7</f>
        <v>46276</v>
      </c>
      <c r="AY261" s="310" t="s">
        <v>149</v>
      </c>
      <c r="AZ261" s="310">
        <f t="shared" ref="AZ261" si="3231">AX261+7</f>
        <v>46283</v>
      </c>
      <c r="BA261" s="310">
        <f t="shared" ref="BA261" si="3232">AZ261+7</f>
        <v>46290</v>
      </c>
      <c r="BB261" s="310">
        <f t="shared" ref="BB261" si="3233">BA261+7</f>
        <v>46297</v>
      </c>
      <c r="BC261" s="310" t="s">
        <v>149</v>
      </c>
      <c r="BD261" s="310">
        <f t="shared" ref="BD261" si="3234">BB261+7</f>
        <v>46304</v>
      </c>
      <c r="BE261" s="310">
        <f t="shared" ref="BE261" si="3235">BD261+7</f>
        <v>46311</v>
      </c>
      <c r="BF261" s="310">
        <f t="shared" ref="BF261" si="3236">BE261+7</f>
        <v>46318</v>
      </c>
      <c r="BG261" s="310" t="s">
        <v>148</v>
      </c>
      <c r="BH261" s="310">
        <f t="shared" ref="BH261" si="3237">BF261+7</f>
        <v>46325</v>
      </c>
      <c r="BI261" s="310">
        <f t="shared" ref="BI261" si="3238">BH261+7</f>
        <v>46332</v>
      </c>
      <c r="BJ261" s="310">
        <f t="shared" ref="BJ261" si="3239">BI261+7</f>
        <v>46339</v>
      </c>
      <c r="BK261" s="310" t="s">
        <v>148</v>
      </c>
      <c r="BL261" s="310">
        <f t="shared" ref="BL261" si="3240">BJ261+7</f>
        <v>46346</v>
      </c>
      <c r="BM261" s="310">
        <f t="shared" ref="BM261" si="3241">BL261+7</f>
        <v>46353</v>
      </c>
      <c r="BN261" s="310">
        <f t="shared" ref="BN261" si="3242">BM261+7</f>
        <v>46360</v>
      </c>
      <c r="BO261" s="310" t="s">
        <v>149</v>
      </c>
      <c r="BP261" s="310">
        <f t="shared" ref="BP261" si="3243">BN261+7</f>
        <v>46367</v>
      </c>
      <c r="BQ261" s="310">
        <f t="shared" ref="BQ261" si="3244">BP261+7</f>
        <v>46374</v>
      </c>
      <c r="BR261" s="310">
        <f t="shared" ref="BR261" si="3245">BQ261+7</f>
        <v>46381</v>
      </c>
      <c r="BS261" s="310" t="s">
        <v>148</v>
      </c>
      <c r="BT261" s="310">
        <f t="shared" ref="BT261" si="3246">BR261+7</f>
        <v>46388</v>
      </c>
      <c r="BU261" s="310">
        <f t="shared" ref="BU261" si="3247">BT261+7</f>
        <v>46395</v>
      </c>
      <c r="BV261" s="310">
        <f t="shared" ref="BV261" si="3248">BU261+7</f>
        <v>46402</v>
      </c>
      <c r="BW261" s="310" t="s">
        <v>149</v>
      </c>
      <c r="BX261" s="310">
        <f t="shared" ref="BX261" si="3249">BV261+7</f>
        <v>46409</v>
      </c>
      <c r="BY261" s="310">
        <f t="shared" ref="BY261" si="3250">BX261+7</f>
        <v>46416</v>
      </c>
      <c r="BZ261" s="310">
        <f t="shared" ref="BZ261" si="3251">BY261+7</f>
        <v>46423</v>
      </c>
      <c r="CA261" s="310" t="s">
        <v>149</v>
      </c>
      <c r="CB261" s="310"/>
      <c r="CC261" s="310"/>
      <c r="CD261" s="310"/>
      <c r="CE261" s="310"/>
      <c r="CF261" s="310"/>
      <c r="CG261" s="310"/>
      <c r="CH261" s="310"/>
      <c r="CI261" s="310"/>
      <c r="CJ261" s="310"/>
      <c r="CK261" s="310"/>
      <c r="CL261" s="310"/>
      <c r="CM261" s="310"/>
      <c r="CN261" s="310"/>
      <c r="CO261" s="310"/>
      <c r="CP261" s="310"/>
      <c r="CQ261" s="310"/>
      <c r="CR261" s="310"/>
      <c r="CS261" s="310"/>
      <c r="CT261" s="310"/>
      <c r="CU261" s="310"/>
      <c r="CV261" s="310"/>
      <c r="CW261" s="310"/>
      <c r="CX261" s="310"/>
      <c r="CY261" s="310"/>
      <c r="CZ261" s="310"/>
      <c r="DA261" s="310"/>
      <c r="DB261" s="310"/>
      <c r="DC261" s="310"/>
      <c r="DD261" s="310"/>
      <c r="DE261" s="310"/>
      <c r="DF261" s="310"/>
      <c r="DG261" s="310"/>
      <c r="DH261" s="310"/>
      <c r="DI261" s="310"/>
      <c r="DJ261" s="310"/>
      <c r="DK261" s="310"/>
      <c r="DL261" s="310"/>
      <c r="DM261" s="310"/>
      <c r="DN261" s="310"/>
      <c r="DO261" s="310"/>
      <c r="DP261" s="310"/>
      <c r="DQ261" s="310"/>
      <c r="DR261" s="310"/>
      <c r="DS261" s="310"/>
      <c r="DT261" s="310"/>
      <c r="DU261" s="310"/>
      <c r="DV261" s="309"/>
      <c r="DW261" s="309"/>
      <c r="DX261" s="309"/>
      <c r="DY261" s="309"/>
      <c r="DZ261" s="309"/>
      <c r="EA261" s="309"/>
      <c r="EB261" s="309"/>
      <c r="EC261" s="309"/>
      <c r="ED261" s="311"/>
      <c r="EE261" s="312"/>
      <c r="EF261" s="387"/>
      <c r="EG261" s="388"/>
      <c r="EH261" s="387"/>
    </row>
    <row r="262" spans="2:138" ht="27.75">
      <c r="B262" s="382"/>
      <c r="C262" s="384"/>
      <c r="D262" s="384"/>
      <c r="E262" s="386"/>
      <c r="F262" s="384"/>
      <c r="G262" s="384"/>
      <c r="H262" s="318" t="s">
        <v>150</v>
      </c>
      <c r="I262" s="301">
        <v>46198</v>
      </c>
      <c r="J262" s="318"/>
      <c r="K262" s="301">
        <v>46209</v>
      </c>
      <c r="L262" s="313" t="s">
        <v>449</v>
      </c>
      <c r="M262" s="304">
        <v>46216</v>
      </c>
      <c r="N262" s="301">
        <v>46223</v>
      </c>
      <c r="O262" s="318"/>
      <c r="P262" s="301"/>
      <c r="Q262" s="301"/>
      <c r="R262" s="301"/>
      <c r="S262" s="318"/>
      <c r="T262" s="301"/>
      <c r="U262" s="301"/>
      <c r="V262" s="301"/>
      <c r="W262" s="314"/>
      <c r="X262" s="301"/>
      <c r="Y262" s="301"/>
      <c r="Z262" s="301"/>
      <c r="AA262" s="315"/>
      <c r="AB262" s="301"/>
      <c r="AC262" s="301"/>
      <c r="AD262" s="301"/>
      <c r="AE262" s="305"/>
      <c r="AF262" s="305"/>
      <c r="AG262" s="305"/>
      <c r="AH262" s="305"/>
      <c r="AI262" s="305"/>
      <c r="AJ262" s="305"/>
      <c r="AK262" s="305"/>
      <c r="AL262" s="305"/>
      <c r="AM262" s="305"/>
      <c r="AN262" s="305"/>
      <c r="AO262" s="305"/>
      <c r="AP262" s="305"/>
      <c r="AQ262" s="319"/>
      <c r="AR262" s="305"/>
      <c r="AS262" s="305"/>
      <c r="AT262" s="305"/>
      <c r="AU262" s="305"/>
      <c r="AV262" s="305"/>
      <c r="AW262" s="305"/>
      <c r="AX262" s="305"/>
      <c r="AY262" s="305"/>
      <c r="AZ262" s="316"/>
      <c r="BA262" s="316"/>
      <c r="BB262" s="316"/>
      <c r="BC262" s="305"/>
      <c r="BD262" s="305"/>
      <c r="BE262" s="305"/>
      <c r="BF262" s="305"/>
      <c r="BG262" s="305"/>
      <c r="BH262" s="305"/>
      <c r="BI262" s="305"/>
      <c r="BJ262" s="305"/>
      <c r="BK262" s="305"/>
      <c r="BL262" s="305"/>
      <c r="BM262" s="305"/>
      <c r="BN262" s="305"/>
      <c r="BO262" s="305"/>
      <c r="BP262" s="305"/>
      <c r="BQ262" s="305"/>
      <c r="BR262" s="305"/>
      <c r="BS262" s="305"/>
      <c r="BT262" s="305"/>
      <c r="BU262" s="305"/>
      <c r="BV262" s="305"/>
      <c r="BW262" s="305"/>
      <c r="BX262" s="305"/>
      <c r="BY262" s="305"/>
      <c r="BZ262" s="305"/>
      <c r="CA262" s="305"/>
      <c r="CB262" s="305"/>
      <c r="CC262" s="305"/>
      <c r="CD262" s="305"/>
      <c r="CE262" s="305"/>
      <c r="CF262" s="305"/>
      <c r="CG262" s="305"/>
      <c r="CH262" s="305"/>
      <c r="CI262" s="305"/>
      <c r="CJ262" s="305"/>
      <c r="CK262" s="305"/>
      <c r="CL262" s="305"/>
      <c r="CM262" s="305"/>
      <c r="CN262" s="305"/>
      <c r="CO262" s="305"/>
      <c r="CP262" s="305"/>
      <c r="CQ262" s="305"/>
      <c r="CR262" s="305"/>
      <c r="CS262" s="305"/>
      <c r="CT262" s="305"/>
      <c r="CU262" s="305"/>
      <c r="CV262" s="305"/>
      <c r="CW262" s="305"/>
      <c r="CX262" s="305"/>
      <c r="CY262" s="305"/>
      <c r="CZ262" s="305"/>
      <c r="DA262" s="305"/>
      <c r="DB262" s="305"/>
      <c r="DC262" s="305"/>
      <c r="DD262" s="305"/>
      <c r="DE262" s="305"/>
      <c r="DF262" s="305"/>
      <c r="DG262" s="305"/>
      <c r="DH262" s="305"/>
      <c r="DI262" s="305"/>
      <c r="DJ262" s="305"/>
      <c r="DK262" s="305"/>
      <c r="DL262" s="305"/>
      <c r="DM262" s="305"/>
      <c r="DN262" s="305"/>
      <c r="DO262" s="305"/>
      <c r="DP262" s="305"/>
      <c r="DQ262" s="305"/>
      <c r="DR262" s="305"/>
      <c r="DS262" s="305"/>
      <c r="DT262" s="305"/>
      <c r="DU262" s="317"/>
      <c r="DV262" s="314"/>
      <c r="DW262" s="314"/>
      <c r="DX262" s="314"/>
      <c r="DY262" s="314"/>
      <c r="DZ262" s="314"/>
      <c r="EA262" s="314"/>
      <c r="EB262" s="314"/>
      <c r="EC262" s="314"/>
      <c r="ED262" s="315"/>
      <c r="EE262" s="315"/>
      <c r="EF262" s="387"/>
      <c r="EG262" s="388"/>
      <c r="EH262" s="388"/>
    </row>
  </sheetData>
  <autoFilter ref="A2:EI260" xr:uid="{00000000-0001-0000-0000-000000000000}"/>
  <mergeCells count="1175">
    <mergeCell ref="B261:B262"/>
    <mergeCell ref="C261:C262"/>
    <mergeCell ref="D261:D262"/>
    <mergeCell ref="E261:E262"/>
    <mergeCell ref="F261:F262"/>
    <mergeCell ref="G261:G262"/>
    <mergeCell ref="EF261:EF262"/>
    <mergeCell ref="EG261:EG262"/>
    <mergeCell ref="EH261:EH262"/>
    <mergeCell ref="B257:B258"/>
    <mergeCell ref="C257:C258"/>
    <mergeCell ref="D257:D258"/>
    <mergeCell ref="E257:E258"/>
    <mergeCell ref="F257:F258"/>
    <mergeCell ref="G257:G258"/>
    <mergeCell ref="EF257:EF258"/>
    <mergeCell ref="EG257:EG258"/>
    <mergeCell ref="EH257:EH258"/>
    <mergeCell ref="B259:B260"/>
    <mergeCell ref="C259:C260"/>
    <mergeCell ref="D259:D260"/>
    <mergeCell ref="E259:E260"/>
    <mergeCell ref="F259:F260"/>
    <mergeCell ref="G259:G260"/>
    <mergeCell ref="EF259:EF260"/>
    <mergeCell ref="EG259:EG260"/>
    <mergeCell ref="EH259:EH260"/>
    <mergeCell ref="B253:B254"/>
    <mergeCell ref="C253:C254"/>
    <mergeCell ref="D253:D254"/>
    <mergeCell ref="E253:E254"/>
    <mergeCell ref="F253:F254"/>
    <mergeCell ref="G253:G254"/>
    <mergeCell ref="EF253:EF254"/>
    <mergeCell ref="EG253:EG254"/>
    <mergeCell ref="EH253:EH254"/>
    <mergeCell ref="B255:B256"/>
    <mergeCell ref="C255:C256"/>
    <mergeCell ref="D255:D256"/>
    <mergeCell ref="E255:E256"/>
    <mergeCell ref="F255:F256"/>
    <mergeCell ref="G255:G256"/>
    <mergeCell ref="EF255:EF256"/>
    <mergeCell ref="EG255:EG256"/>
    <mergeCell ref="EH255:EH256"/>
    <mergeCell ref="B249:B250"/>
    <mergeCell ref="C249:C250"/>
    <mergeCell ref="D249:D250"/>
    <mergeCell ref="E249:E250"/>
    <mergeCell ref="F249:F250"/>
    <mergeCell ref="G249:G250"/>
    <mergeCell ref="EF249:EF250"/>
    <mergeCell ref="EG249:EG250"/>
    <mergeCell ref="EH249:EH250"/>
    <mergeCell ref="B251:B252"/>
    <mergeCell ref="C251:C252"/>
    <mergeCell ref="D251:D252"/>
    <mergeCell ref="E251:E252"/>
    <mergeCell ref="F251:F252"/>
    <mergeCell ref="G251:G252"/>
    <mergeCell ref="EF251:EF252"/>
    <mergeCell ref="EG251:EG252"/>
    <mergeCell ref="EH251:EH252"/>
    <mergeCell ref="B245:B246"/>
    <mergeCell ref="C245:C246"/>
    <mergeCell ref="D245:D246"/>
    <mergeCell ref="E245:E246"/>
    <mergeCell ref="F245:F246"/>
    <mergeCell ref="G245:G246"/>
    <mergeCell ref="EF245:EF246"/>
    <mergeCell ref="EG245:EG246"/>
    <mergeCell ref="EH245:EH246"/>
    <mergeCell ref="B247:B248"/>
    <mergeCell ref="C247:C248"/>
    <mergeCell ref="D247:D248"/>
    <mergeCell ref="E247:E248"/>
    <mergeCell ref="F247:F248"/>
    <mergeCell ref="G247:G248"/>
    <mergeCell ref="EF247:EF248"/>
    <mergeCell ref="EG247:EG248"/>
    <mergeCell ref="EH247:EH248"/>
    <mergeCell ref="B241:B242"/>
    <mergeCell ref="C241:C242"/>
    <mergeCell ref="D241:D242"/>
    <mergeCell ref="E241:E242"/>
    <mergeCell ref="F241:F242"/>
    <mergeCell ref="G241:G242"/>
    <mergeCell ref="EF241:EF242"/>
    <mergeCell ref="EG241:EG242"/>
    <mergeCell ref="EH241:EH242"/>
    <mergeCell ref="B243:B244"/>
    <mergeCell ref="C243:C244"/>
    <mergeCell ref="D243:D244"/>
    <mergeCell ref="E243:E244"/>
    <mergeCell ref="F243:F244"/>
    <mergeCell ref="G243:G244"/>
    <mergeCell ref="EF243:EF244"/>
    <mergeCell ref="EG243:EG244"/>
    <mergeCell ref="EH243:EH244"/>
    <mergeCell ref="B239:B240"/>
    <mergeCell ref="C239:C240"/>
    <mergeCell ref="D239:D240"/>
    <mergeCell ref="E239:E240"/>
    <mergeCell ref="F239:F240"/>
    <mergeCell ref="G239:G240"/>
    <mergeCell ref="EF239:EF240"/>
    <mergeCell ref="EG239:EG240"/>
    <mergeCell ref="EH239:EH240"/>
    <mergeCell ref="B237:B238"/>
    <mergeCell ref="C237:C238"/>
    <mergeCell ref="D237:D238"/>
    <mergeCell ref="E237:E238"/>
    <mergeCell ref="F237:F238"/>
    <mergeCell ref="G237:G238"/>
    <mergeCell ref="EF237:EF238"/>
    <mergeCell ref="EG237:EG238"/>
    <mergeCell ref="EH237:EH238"/>
    <mergeCell ref="B235:B236"/>
    <mergeCell ref="C235:C236"/>
    <mergeCell ref="D235:D236"/>
    <mergeCell ref="E235:E236"/>
    <mergeCell ref="F235:F236"/>
    <mergeCell ref="G235:G236"/>
    <mergeCell ref="EF235:EF236"/>
    <mergeCell ref="EG235:EG236"/>
    <mergeCell ref="EH235:EH236"/>
    <mergeCell ref="B233:B234"/>
    <mergeCell ref="C233:C234"/>
    <mergeCell ref="D233:D234"/>
    <mergeCell ref="E233:E234"/>
    <mergeCell ref="F233:F234"/>
    <mergeCell ref="G233:G234"/>
    <mergeCell ref="EF233:EF234"/>
    <mergeCell ref="EG233:EG234"/>
    <mergeCell ref="EH233:EH234"/>
    <mergeCell ref="B223:B224"/>
    <mergeCell ref="C223:C224"/>
    <mergeCell ref="D223:D224"/>
    <mergeCell ref="E223:E224"/>
    <mergeCell ref="F223:F224"/>
    <mergeCell ref="G223:G224"/>
    <mergeCell ref="EF223:EF224"/>
    <mergeCell ref="EG223:EG224"/>
    <mergeCell ref="EH223:EH224"/>
    <mergeCell ref="B221:B222"/>
    <mergeCell ref="B231:B232"/>
    <mergeCell ref="C231:C232"/>
    <mergeCell ref="D231:D232"/>
    <mergeCell ref="E231:E232"/>
    <mergeCell ref="F231:F232"/>
    <mergeCell ref="G231:G232"/>
    <mergeCell ref="EF231:EF232"/>
    <mergeCell ref="EG231:EG232"/>
    <mergeCell ref="EH231:EH232"/>
    <mergeCell ref="B229:B230"/>
    <mergeCell ref="C229:C230"/>
    <mergeCell ref="D229:D230"/>
    <mergeCell ref="E229:E230"/>
    <mergeCell ref="F229:F230"/>
    <mergeCell ref="G229:G230"/>
    <mergeCell ref="EF229:EF230"/>
    <mergeCell ref="EG229:EG230"/>
    <mergeCell ref="EH229:EH230"/>
    <mergeCell ref="B227:B228"/>
    <mergeCell ref="C227:C228"/>
    <mergeCell ref="D227:D228"/>
    <mergeCell ref="E227:E228"/>
    <mergeCell ref="F227:F228"/>
    <mergeCell ref="G227:G228"/>
    <mergeCell ref="EF227:EF228"/>
    <mergeCell ref="EG227:EG228"/>
    <mergeCell ref="EH227:EH228"/>
    <mergeCell ref="B225:B226"/>
    <mergeCell ref="C225:C226"/>
    <mergeCell ref="D225:D226"/>
    <mergeCell ref="E225:E226"/>
    <mergeCell ref="F225:F226"/>
    <mergeCell ref="G225:G226"/>
    <mergeCell ref="EF225:EF226"/>
    <mergeCell ref="EG225:EG226"/>
    <mergeCell ref="EH225:EH226"/>
    <mergeCell ref="C221:C222"/>
    <mergeCell ref="D221:D222"/>
    <mergeCell ref="E221:E222"/>
    <mergeCell ref="F221:F222"/>
    <mergeCell ref="G221:G222"/>
    <mergeCell ref="EF221:EF222"/>
    <mergeCell ref="EG221:EG222"/>
    <mergeCell ref="EH221:EH222"/>
    <mergeCell ref="F219:F220"/>
    <mergeCell ref="G219:G220"/>
    <mergeCell ref="EF219:EF220"/>
    <mergeCell ref="EG219:EG220"/>
    <mergeCell ref="EH219:EH220"/>
    <mergeCell ref="B217:B218"/>
    <mergeCell ref="C217:C218"/>
    <mergeCell ref="D217:D218"/>
    <mergeCell ref="E217:E218"/>
    <mergeCell ref="F217:F218"/>
    <mergeCell ref="G217:G218"/>
    <mergeCell ref="EF217:EF218"/>
    <mergeCell ref="EG217:EG218"/>
    <mergeCell ref="EH217:EH218"/>
    <mergeCell ref="B219:B220"/>
    <mergeCell ref="C219:C220"/>
    <mergeCell ref="D219:D220"/>
    <mergeCell ref="E219:E220"/>
    <mergeCell ref="B203:B204"/>
    <mergeCell ref="C203:C204"/>
    <mergeCell ref="D203:D204"/>
    <mergeCell ref="E203:E204"/>
    <mergeCell ref="F203:F204"/>
    <mergeCell ref="G203:G204"/>
    <mergeCell ref="EF203:EF204"/>
    <mergeCell ref="EG203:EG204"/>
    <mergeCell ref="EH203:EH204"/>
    <mergeCell ref="B205:B206"/>
    <mergeCell ref="C205:C206"/>
    <mergeCell ref="D205:D206"/>
    <mergeCell ref="E205:E206"/>
    <mergeCell ref="F205:F206"/>
    <mergeCell ref="G205:G206"/>
    <mergeCell ref="EF205:EF206"/>
    <mergeCell ref="EG205:EG206"/>
    <mergeCell ref="EH205:EH206"/>
    <mergeCell ref="B201:B202"/>
    <mergeCell ref="C201:C202"/>
    <mergeCell ref="D201:D202"/>
    <mergeCell ref="E201:E202"/>
    <mergeCell ref="F201:F202"/>
    <mergeCell ref="G201:G202"/>
    <mergeCell ref="EF201:EF202"/>
    <mergeCell ref="EG201:EG202"/>
    <mergeCell ref="EH201:EH202"/>
    <mergeCell ref="EF179:EF180"/>
    <mergeCell ref="EG179:EG180"/>
    <mergeCell ref="F183:F184"/>
    <mergeCell ref="EG189:EG190"/>
    <mergeCell ref="EH189:EH190"/>
    <mergeCell ref="B187:B188"/>
    <mergeCell ref="B199:B200"/>
    <mergeCell ref="C199:C200"/>
    <mergeCell ref="D199:D200"/>
    <mergeCell ref="E199:E200"/>
    <mergeCell ref="F199:F200"/>
    <mergeCell ref="G199:G200"/>
    <mergeCell ref="EF199:EF200"/>
    <mergeCell ref="EG199:EG200"/>
    <mergeCell ref="B197:B198"/>
    <mergeCell ref="C197:C198"/>
    <mergeCell ref="D197:D198"/>
    <mergeCell ref="E197:E198"/>
    <mergeCell ref="F197:F198"/>
    <mergeCell ref="EH199:EH200"/>
    <mergeCell ref="EH197:EH198"/>
    <mergeCell ref="EG183:EG184"/>
    <mergeCell ref="EH183:EH184"/>
    <mergeCell ref="B195:B196"/>
    <mergeCell ref="C195:C196"/>
    <mergeCell ref="D195:D196"/>
    <mergeCell ref="E195:E196"/>
    <mergeCell ref="F195:F196"/>
    <mergeCell ref="B189:B190"/>
    <mergeCell ref="C189:C190"/>
    <mergeCell ref="D189:D190"/>
    <mergeCell ref="EG195:EG196"/>
    <mergeCell ref="G197:G198"/>
    <mergeCell ref="EF197:EF198"/>
    <mergeCell ref="EG197:EG198"/>
    <mergeCell ref="EH195:EH196"/>
    <mergeCell ref="EG185:EG186"/>
    <mergeCell ref="C187:C188"/>
    <mergeCell ref="D187:D188"/>
    <mergeCell ref="E187:E188"/>
    <mergeCell ref="F187:F188"/>
    <mergeCell ref="G187:G188"/>
    <mergeCell ref="EF187:EF188"/>
    <mergeCell ref="EG187:EG188"/>
    <mergeCell ref="EH187:EH188"/>
    <mergeCell ref="EH185:EH186"/>
    <mergeCell ref="B185:B186"/>
    <mergeCell ref="C185:C186"/>
    <mergeCell ref="D185:D186"/>
    <mergeCell ref="E185:E186"/>
    <mergeCell ref="F185:F186"/>
    <mergeCell ref="G185:G186"/>
    <mergeCell ref="EF185:EF186"/>
    <mergeCell ref="EG193:EG194"/>
    <mergeCell ref="EH193:EH194"/>
    <mergeCell ref="B161:B162"/>
    <mergeCell ref="C161:C162"/>
    <mergeCell ref="D161:D162"/>
    <mergeCell ref="E161:E162"/>
    <mergeCell ref="F161:F162"/>
    <mergeCell ref="B163:B164"/>
    <mergeCell ref="C163:C164"/>
    <mergeCell ref="D163:D164"/>
    <mergeCell ref="E163:E164"/>
    <mergeCell ref="F163:F164"/>
    <mergeCell ref="B159:B160"/>
    <mergeCell ref="C159:C160"/>
    <mergeCell ref="D159:D160"/>
    <mergeCell ref="E159:E160"/>
    <mergeCell ref="F159:F160"/>
    <mergeCell ref="G159:G160"/>
    <mergeCell ref="EF159:EF160"/>
    <mergeCell ref="G161:G162"/>
    <mergeCell ref="EF161:EF162"/>
    <mergeCell ref="G163:G164"/>
    <mergeCell ref="EF163:EF164"/>
    <mergeCell ref="EF165:EF166"/>
    <mergeCell ref="EG165:EG166"/>
    <mergeCell ref="EH165:EH166"/>
    <mergeCell ref="G183:G184"/>
    <mergeCell ref="EF183:EF184"/>
    <mergeCell ref="G195:G196"/>
    <mergeCell ref="EF195:EF196"/>
    <mergeCell ref="E189:E190"/>
    <mergeCell ref="F189:F190"/>
    <mergeCell ref="G189:G190"/>
    <mergeCell ref="EF189:EF190"/>
    <mergeCell ref="B145:B146"/>
    <mergeCell ref="C145:C146"/>
    <mergeCell ref="D145:D146"/>
    <mergeCell ref="E145:E146"/>
    <mergeCell ref="F145:F146"/>
    <mergeCell ref="EF145:EF146"/>
    <mergeCell ref="EG145:EG146"/>
    <mergeCell ref="EH145:EH146"/>
    <mergeCell ref="F149:F150"/>
    <mergeCell ref="EF149:EF150"/>
    <mergeCell ref="B153:B154"/>
    <mergeCell ref="C153:C154"/>
    <mergeCell ref="D153:D154"/>
    <mergeCell ref="E153:E154"/>
    <mergeCell ref="F153:F154"/>
    <mergeCell ref="EF153:EF154"/>
    <mergeCell ref="B151:B152"/>
    <mergeCell ref="C151:C152"/>
    <mergeCell ref="D151:D152"/>
    <mergeCell ref="E151:E152"/>
    <mergeCell ref="F151:F152"/>
    <mergeCell ref="B143:B144"/>
    <mergeCell ref="C143:C144"/>
    <mergeCell ref="D143:D144"/>
    <mergeCell ref="E143:E144"/>
    <mergeCell ref="F143:F144"/>
    <mergeCell ref="EF143:EF144"/>
    <mergeCell ref="EG143:EG144"/>
    <mergeCell ref="G143:G144"/>
    <mergeCell ref="G145:G146"/>
    <mergeCell ref="B141:B142"/>
    <mergeCell ref="C141:C142"/>
    <mergeCell ref="D141:D142"/>
    <mergeCell ref="E141:E142"/>
    <mergeCell ref="F141:F142"/>
    <mergeCell ref="EF141:EF142"/>
    <mergeCell ref="EG141:EG142"/>
    <mergeCell ref="EH141:EH142"/>
    <mergeCell ref="B139:B140"/>
    <mergeCell ref="C139:C140"/>
    <mergeCell ref="D139:D140"/>
    <mergeCell ref="E139:E140"/>
    <mergeCell ref="F139:F140"/>
    <mergeCell ref="EF139:EF140"/>
    <mergeCell ref="EG139:EG140"/>
    <mergeCell ref="G139:G140"/>
    <mergeCell ref="G141:G142"/>
    <mergeCell ref="B137:B138"/>
    <mergeCell ref="C137:C138"/>
    <mergeCell ref="D137:D138"/>
    <mergeCell ref="E137:E138"/>
    <mergeCell ref="F137:F138"/>
    <mergeCell ref="EF137:EF138"/>
    <mergeCell ref="EG137:EG138"/>
    <mergeCell ref="EH137:EH138"/>
    <mergeCell ref="B135:B136"/>
    <mergeCell ref="C135:C136"/>
    <mergeCell ref="D135:D136"/>
    <mergeCell ref="E135:E136"/>
    <mergeCell ref="F135:F136"/>
    <mergeCell ref="EF135:EF136"/>
    <mergeCell ref="EG135:EG136"/>
    <mergeCell ref="B123:B124"/>
    <mergeCell ref="EH133:EH134"/>
    <mergeCell ref="B133:B134"/>
    <mergeCell ref="C133:C134"/>
    <mergeCell ref="D133:D134"/>
    <mergeCell ref="E133:E134"/>
    <mergeCell ref="F133:F134"/>
    <mergeCell ref="EF133:EF134"/>
    <mergeCell ref="EG133:EG134"/>
    <mergeCell ref="EH129:EH130"/>
    <mergeCell ref="B131:B132"/>
    <mergeCell ref="C131:C132"/>
    <mergeCell ref="D131:D132"/>
    <mergeCell ref="E131:E132"/>
    <mergeCell ref="F131:F132"/>
    <mergeCell ref="EF131:EF132"/>
    <mergeCell ref="EG131:EG132"/>
    <mergeCell ref="EH131:EH132"/>
    <mergeCell ref="B129:B130"/>
    <mergeCell ref="C129:C130"/>
    <mergeCell ref="D129:D130"/>
    <mergeCell ref="E129:E130"/>
    <mergeCell ref="F129:F130"/>
    <mergeCell ref="EF129:EF130"/>
    <mergeCell ref="G123:G124"/>
    <mergeCell ref="B121:B122"/>
    <mergeCell ref="C121:C122"/>
    <mergeCell ref="D121:D122"/>
    <mergeCell ref="E121:E122"/>
    <mergeCell ref="F121:F122"/>
    <mergeCell ref="EF121:EF122"/>
    <mergeCell ref="EG121:EG122"/>
    <mergeCell ref="EH121:EH122"/>
    <mergeCell ref="B127:B128"/>
    <mergeCell ref="C127:C128"/>
    <mergeCell ref="D127:D128"/>
    <mergeCell ref="E127:E128"/>
    <mergeCell ref="F127:F128"/>
    <mergeCell ref="EF127:EF128"/>
    <mergeCell ref="EG127:EG128"/>
    <mergeCell ref="EH123:EH124"/>
    <mergeCell ref="B125:B126"/>
    <mergeCell ref="C125:C126"/>
    <mergeCell ref="D125:D126"/>
    <mergeCell ref="E125:E126"/>
    <mergeCell ref="F125:F126"/>
    <mergeCell ref="EF125:EF126"/>
    <mergeCell ref="C123:C124"/>
    <mergeCell ref="D123:D124"/>
    <mergeCell ref="E123:E124"/>
    <mergeCell ref="F123:F124"/>
    <mergeCell ref="EF123:EF124"/>
    <mergeCell ref="EG123:EG124"/>
    <mergeCell ref="EH117:EH118"/>
    <mergeCell ref="B119:B120"/>
    <mergeCell ref="C119:C120"/>
    <mergeCell ref="D119:D120"/>
    <mergeCell ref="E119:E120"/>
    <mergeCell ref="F119:F120"/>
    <mergeCell ref="EF119:EF120"/>
    <mergeCell ref="EG119:EG120"/>
    <mergeCell ref="EH119:EH120"/>
    <mergeCell ref="B117:B118"/>
    <mergeCell ref="C117:C118"/>
    <mergeCell ref="D117:D118"/>
    <mergeCell ref="E117:E118"/>
    <mergeCell ref="F117:F118"/>
    <mergeCell ref="EF117:EF118"/>
    <mergeCell ref="EG117:EG118"/>
    <mergeCell ref="G117:G118"/>
    <mergeCell ref="G119:G120"/>
    <mergeCell ref="EH113:EH114"/>
    <mergeCell ref="B115:B116"/>
    <mergeCell ref="C115:C116"/>
    <mergeCell ref="D115:D116"/>
    <mergeCell ref="E115:E116"/>
    <mergeCell ref="F115:F116"/>
    <mergeCell ref="EF115:EF116"/>
    <mergeCell ref="EG115:EG116"/>
    <mergeCell ref="EH115:EH116"/>
    <mergeCell ref="B113:B114"/>
    <mergeCell ref="C113:C114"/>
    <mergeCell ref="D113:D114"/>
    <mergeCell ref="E113:E114"/>
    <mergeCell ref="F113:F114"/>
    <mergeCell ref="EF113:EF114"/>
    <mergeCell ref="EG113:EG114"/>
    <mergeCell ref="G113:G114"/>
    <mergeCell ref="G115:G116"/>
    <mergeCell ref="EH101:EH102"/>
    <mergeCell ref="B103:B104"/>
    <mergeCell ref="C103:C104"/>
    <mergeCell ref="D103:D104"/>
    <mergeCell ref="E103:E104"/>
    <mergeCell ref="F103:F104"/>
    <mergeCell ref="EF103:EF104"/>
    <mergeCell ref="EG103:EG104"/>
    <mergeCell ref="EH103:EH104"/>
    <mergeCell ref="B101:B102"/>
    <mergeCell ref="C101:C102"/>
    <mergeCell ref="D101:D102"/>
    <mergeCell ref="E101:E102"/>
    <mergeCell ref="F101:F102"/>
    <mergeCell ref="EF101:EF102"/>
    <mergeCell ref="EG101:EG102"/>
    <mergeCell ref="G101:G102"/>
    <mergeCell ref="G103:G104"/>
    <mergeCell ref="EH99:EH100"/>
    <mergeCell ref="B99:B100"/>
    <mergeCell ref="C99:C100"/>
    <mergeCell ref="D99:D100"/>
    <mergeCell ref="E99:E100"/>
    <mergeCell ref="F99:F100"/>
    <mergeCell ref="EF99:EF100"/>
    <mergeCell ref="EG99:EG100"/>
    <mergeCell ref="G99:G100"/>
    <mergeCell ref="EH87:EH88"/>
    <mergeCell ref="B89:B90"/>
    <mergeCell ref="C89:C90"/>
    <mergeCell ref="D89:D90"/>
    <mergeCell ref="E89:E90"/>
    <mergeCell ref="F89:F90"/>
    <mergeCell ref="EF89:EF90"/>
    <mergeCell ref="EG89:EG90"/>
    <mergeCell ref="EH89:EH90"/>
    <mergeCell ref="B87:B88"/>
    <mergeCell ref="C87:C88"/>
    <mergeCell ref="D87:D88"/>
    <mergeCell ref="E87:E88"/>
    <mergeCell ref="F87:F88"/>
    <mergeCell ref="EF87:EF88"/>
    <mergeCell ref="EG87:EG88"/>
    <mergeCell ref="G87:G88"/>
    <mergeCell ref="G89:G90"/>
    <mergeCell ref="E91:E92"/>
    <mergeCell ref="F91:F92"/>
    <mergeCell ref="EG91:EG92"/>
    <mergeCell ref="G91:G92"/>
    <mergeCell ref="EH93:EH94"/>
    <mergeCell ref="B79:B80"/>
    <mergeCell ref="C79:C80"/>
    <mergeCell ref="D79:D80"/>
    <mergeCell ref="E79:E80"/>
    <mergeCell ref="F79:F80"/>
    <mergeCell ref="EF79:EF80"/>
    <mergeCell ref="EG79:EG80"/>
    <mergeCell ref="EH79:EH80"/>
    <mergeCell ref="B83:B84"/>
    <mergeCell ref="C83:C84"/>
    <mergeCell ref="D83:D84"/>
    <mergeCell ref="E83:E84"/>
    <mergeCell ref="F83:F84"/>
    <mergeCell ref="EF83:EF84"/>
    <mergeCell ref="EG83:EG84"/>
    <mergeCell ref="G83:G84"/>
    <mergeCell ref="E81:E82"/>
    <mergeCell ref="F81:F82"/>
    <mergeCell ref="EF81:EF82"/>
    <mergeCell ref="EG81:EG82"/>
    <mergeCell ref="EH81:EH82"/>
    <mergeCell ref="G81:G82"/>
    <mergeCell ref="B81:B82"/>
    <mergeCell ref="C81:C82"/>
    <mergeCell ref="D81:D82"/>
    <mergeCell ref="EH83:EH84"/>
    <mergeCell ref="EH37:EH38"/>
    <mergeCell ref="B39:B40"/>
    <mergeCell ref="C39:C40"/>
    <mergeCell ref="D39:D40"/>
    <mergeCell ref="E39:E40"/>
    <mergeCell ref="F39:F40"/>
    <mergeCell ref="EF39:EF40"/>
    <mergeCell ref="EG39:EG40"/>
    <mergeCell ref="EH39:EH40"/>
    <mergeCell ref="B37:B38"/>
    <mergeCell ref="C37:C38"/>
    <mergeCell ref="D37:D38"/>
    <mergeCell ref="E37:E38"/>
    <mergeCell ref="F37:F38"/>
    <mergeCell ref="EF37:EF38"/>
    <mergeCell ref="EG37:EG38"/>
    <mergeCell ref="G37:G38"/>
    <mergeCell ref="G39:G40"/>
    <mergeCell ref="EF33:EF34"/>
    <mergeCell ref="EG33:EG34"/>
    <mergeCell ref="G33:G34"/>
    <mergeCell ref="G35:G36"/>
    <mergeCell ref="B5:B6"/>
    <mergeCell ref="C5:C6"/>
    <mergeCell ref="D5:D6"/>
    <mergeCell ref="E5:E6"/>
    <mergeCell ref="F5:F6"/>
    <mergeCell ref="EF5:EF6"/>
    <mergeCell ref="EG5:EG6"/>
    <mergeCell ref="EH5:EH6"/>
    <mergeCell ref="EH15:EH16"/>
    <mergeCell ref="B11:B12"/>
    <mergeCell ref="C11:C12"/>
    <mergeCell ref="D11:D12"/>
    <mergeCell ref="E11:E12"/>
    <mergeCell ref="F11:F12"/>
    <mergeCell ref="EF11:EF12"/>
    <mergeCell ref="EG11:EG12"/>
    <mergeCell ref="EF13:EF14"/>
    <mergeCell ref="EG13:EG14"/>
    <mergeCell ref="EH13:EH14"/>
    <mergeCell ref="B13:B14"/>
    <mergeCell ref="C13:C14"/>
    <mergeCell ref="D13:D14"/>
    <mergeCell ref="E13:E14"/>
    <mergeCell ref="F13:F14"/>
    <mergeCell ref="G15:G16"/>
    <mergeCell ref="G11:G12"/>
    <mergeCell ref="G13:G14"/>
    <mergeCell ref="EH11:EH12"/>
    <mergeCell ref="G3:G4"/>
    <mergeCell ref="G5:G6"/>
    <mergeCell ref="AF1:AU1"/>
    <mergeCell ref="B3:B4"/>
    <mergeCell ref="C3:C4"/>
    <mergeCell ref="D3:D4"/>
    <mergeCell ref="E3:E4"/>
    <mergeCell ref="F3:F4"/>
    <mergeCell ref="EF3:EF4"/>
    <mergeCell ref="EG3:EG4"/>
    <mergeCell ref="EH3:EH4"/>
    <mergeCell ref="EH7:EH8"/>
    <mergeCell ref="B9:B10"/>
    <mergeCell ref="C9:C10"/>
    <mergeCell ref="D9:D10"/>
    <mergeCell ref="E9:E10"/>
    <mergeCell ref="F9:F10"/>
    <mergeCell ref="EF9:EF10"/>
    <mergeCell ref="EG9:EG10"/>
    <mergeCell ref="EH9:EH10"/>
    <mergeCell ref="B7:B8"/>
    <mergeCell ref="C7:C8"/>
    <mergeCell ref="D7:D8"/>
    <mergeCell ref="E7:E8"/>
    <mergeCell ref="F7:F8"/>
    <mergeCell ref="EF7:EF8"/>
    <mergeCell ref="EG7:EG8"/>
    <mergeCell ref="G7:G8"/>
    <mergeCell ref="G9:G10"/>
    <mergeCell ref="B15:B16"/>
    <mergeCell ref="C15:C16"/>
    <mergeCell ref="D15:D16"/>
    <mergeCell ref="E15:E16"/>
    <mergeCell ref="F15:F16"/>
    <mergeCell ref="EF15:EF16"/>
    <mergeCell ref="EG15:EG16"/>
    <mergeCell ref="G23:G24"/>
    <mergeCell ref="EH21:EH22"/>
    <mergeCell ref="B17:B18"/>
    <mergeCell ref="C17:C18"/>
    <mergeCell ref="D17:D18"/>
    <mergeCell ref="E17:E18"/>
    <mergeCell ref="F17:F18"/>
    <mergeCell ref="EF19:EF20"/>
    <mergeCell ref="EG19:EG20"/>
    <mergeCell ref="EH19:EH20"/>
    <mergeCell ref="AS20:BY20"/>
    <mergeCell ref="EG17:EG18"/>
    <mergeCell ref="EG27:EG28"/>
    <mergeCell ref="EH27:EH28"/>
    <mergeCell ref="V28:BY28"/>
    <mergeCell ref="G29:G30"/>
    <mergeCell ref="D25:D26"/>
    <mergeCell ref="E25:E26"/>
    <mergeCell ref="F25:F26"/>
    <mergeCell ref="B19:B20"/>
    <mergeCell ref="C19:C20"/>
    <mergeCell ref="D19:D20"/>
    <mergeCell ref="E19:E20"/>
    <mergeCell ref="F19:F20"/>
    <mergeCell ref="B23:B24"/>
    <mergeCell ref="C23:C24"/>
    <mergeCell ref="D23:D24"/>
    <mergeCell ref="E23:E24"/>
    <mergeCell ref="F23:F24"/>
    <mergeCell ref="C29:C30"/>
    <mergeCell ref="D29:D30"/>
    <mergeCell ref="E29:E30"/>
    <mergeCell ref="F29:F30"/>
    <mergeCell ref="B29:B30"/>
    <mergeCell ref="G25:G26"/>
    <mergeCell ref="G27:G28"/>
    <mergeCell ref="EF21:EF22"/>
    <mergeCell ref="EG21:EG22"/>
    <mergeCell ref="EF23:EF24"/>
    <mergeCell ref="EG23:EG24"/>
    <mergeCell ref="B21:B22"/>
    <mergeCell ref="C21:C22"/>
    <mergeCell ref="D21:D22"/>
    <mergeCell ref="E21:E22"/>
    <mergeCell ref="EH53:EH54"/>
    <mergeCell ref="EF49:EF50"/>
    <mergeCell ref="EG49:EG50"/>
    <mergeCell ref="G53:G54"/>
    <mergeCell ref="EH17:EH18"/>
    <mergeCell ref="EF17:EF18"/>
    <mergeCell ref="F21:F22"/>
    <mergeCell ref="G17:G18"/>
    <mergeCell ref="G19:G20"/>
    <mergeCell ref="G21:G22"/>
    <mergeCell ref="EH23:EH24"/>
    <mergeCell ref="B25:B26"/>
    <mergeCell ref="C25:C26"/>
    <mergeCell ref="EH33:EH34"/>
    <mergeCell ref="E49:E50"/>
    <mergeCell ref="B51:B52"/>
    <mergeCell ref="C51:C52"/>
    <mergeCell ref="E51:E52"/>
    <mergeCell ref="F51:F52"/>
    <mergeCell ref="EF51:EF52"/>
    <mergeCell ref="EF25:EF26"/>
    <mergeCell ref="EG25:EG26"/>
    <mergeCell ref="EH25:EH26"/>
    <mergeCell ref="B27:B28"/>
    <mergeCell ref="C27:C28"/>
    <mergeCell ref="D27:D28"/>
    <mergeCell ref="E27:E28"/>
    <mergeCell ref="F27:F28"/>
    <mergeCell ref="EF29:EF30"/>
    <mergeCell ref="EG29:EG30"/>
    <mergeCell ref="EH29:EH30"/>
    <mergeCell ref="EF27:EF28"/>
    <mergeCell ref="EH51:EH52"/>
    <mergeCell ref="B31:B32"/>
    <mergeCell ref="C31:C32"/>
    <mergeCell ref="D31:D32"/>
    <mergeCell ref="E31:E32"/>
    <mergeCell ref="F31:F32"/>
    <mergeCell ref="EF31:EF32"/>
    <mergeCell ref="EG31:EG32"/>
    <mergeCell ref="EH31:EH32"/>
    <mergeCell ref="B35:B36"/>
    <mergeCell ref="C35:C36"/>
    <mergeCell ref="D35:D36"/>
    <mergeCell ref="E35:E36"/>
    <mergeCell ref="F35:F36"/>
    <mergeCell ref="EF35:EF36"/>
    <mergeCell ref="EG35:EG36"/>
    <mergeCell ref="EH35:EH36"/>
    <mergeCell ref="EH43:EH44"/>
    <mergeCell ref="B43:B44"/>
    <mergeCell ref="C43:C44"/>
    <mergeCell ref="D43:D44"/>
    <mergeCell ref="E43:E44"/>
    <mergeCell ref="F43:F44"/>
    <mergeCell ref="EF43:EF44"/>
    <mergeCell ref="EG43:EG44"/>
    <mergeCell ref="EH49:EH50"/>
    <mergeCell ref="EG51:EG52"/>
    <mergeCell ref="B33:B34"/>
    <mergeCell ref="C33:C34"/>
    <mergeCell ref="D33:D34"/>
    <mergeCell ref="E33:E34"/>
    <mergeCell ref="F33:F34"/>
    <mergeCell ref="EH59:EH60"/>
    <mergeCell ref="EH57:EH58"/>
    <mergeCell ref="B41:B42"/>
    <mergeCell ref="C41:C42"/>
    <mergeCell ref="D41:D42"/>
    <mergeCell ref="E41:E42"/>
    <mergeCell ref="F41:F42"/>
    <mergeCell ref="EF41:EF42"/>
    <mergeCell ref="EG41:EG42"/>
    <mergeCell ref="EH41:EH42"/>
    <mergeCell ref="EG45:EG46"/>
    <mergeCell ref="EG47:EG48"/>
    <mergeCell ref="B57:B58"/>
    <mergeCell ref="C57:C58"/>
    <mergeCell ref="D57:D58"/>
    <mergeCell ref="E57:E58"/>
    <mergeCell ref="F57:F58"/>
    <mergeCell ref="EF57:EF58"/>
    <mergeCell ref="EG57:EG58"/>
    <mergeCell ref="B55:B56"/>
    <mergeCell ref="C55:C56"/>
    <mergeCell ref="F49:F50"/>
    <mergeCell ref="B49:B50"/>
    <mergeCell ref="C49:C50"/>
    <mergeCell ref="D49:D50"/>
    <mergeCell ref="D55:D56"/>
    <mergeCell ref="E55:E56"/>
    <mergeCell ref="F55:F56"/>
    <mergeCell ref="EF55:EF56"/>
    <mergeCell ref="EG55:EG56"/>
    <mergeCell ref="EH55:EH56"/>
    <mergeCell ref="D51:D52"/>
    <mergeCell ref="B59:B60"/>
    <mergeCell ref="C59:C60"/>
    <mergeCell ref="D59:D60"/>
    <mergeCell ref="E59:E60"/>
    <mergeCell ref="F59:F60"/>
    <mergeCell ref="EF59:EF60"/>
    <mergeCell ref="EG59:EG60"/>
    <mergeCell ref="G59:G60"/>
    <mergeCell ref="G61:G62"/>
    <mergeCell ref="A45:A46"/>
    <mergeCell ref="B45:B46"/>
    <mergeCell ref="C45:C46"/>
    <mergeCell ref="D45:D46"/>
    <mergeCell ref="E45:E46"/>
    <mergeCell ref="F45:F46"/>
    <mergeCell ref="EE45:EE46"/>
    <mergeCell ref="EF45:EF46"/>
    <mergeCell ref="A47:A48"/>
    <mergeCell ref="B47:B48"/>
    <mergeCell ref="C47:C48"/>
    <mergeCell ref="D47:D48"/>
    <mergeCell ref="E47:E48"/>
    <mergeCell ref="F47:F48"/>
    <mergeCell ref="EE47:EE48"/>
    <mergeCell ref="EF47:EF48"/>
    <mergeCell ref="B53:B54"/>
    <mergeCell ref="C53:C54"/>
    <mergeCell ref="D53:D54"/>
    <mergeCell ref="E53:E54"/>
    <mergeCell ref="F53:F54"/>
    <mergeCell ref="EF53:EF54"/>
    <mergeCell ref="EG53:EG54"/>
    <mergeCell ref="B61:B62"/>
    <mergeCell ref="C61:C62"/>
    <mergeCell ref="D61:D62"/>
    <mergeCell ref="E61:E62"/>
    <mergeCell ref="F61:F62"/>
    <mergeCell ref="EF61:EF62"/>
    <mergeCell ref="EG61:EG62"/>
    <mergeCell ref="EH61:EH62"/>
    <mergeCell ref="EH63:EH64"/>
    <mergeCell ref="B63:B64"/>
    <mergeCell ref="C63:C64"/>
    <mergeCell ref="D63:D64"/>
    <mergeCell ref="E63:E64"/>
    <mergeCell ref="F63:F64"/>
    <mergeCell ref="EF63:EF64"/>
    <mergeCell ref="EG63:EG64"/>
    <mergeCell ref="G63:G64"/>
    <mergeCell ref="EH71:EH72"/>
    <mergeCell ref="B69:B70"/>
    <mergeCell ref="C69:C70"/>
    <mergeCell ref="D69:D70"/>
    <mergeCell ref="G69:G70"/>
    <mergeCell ref="G71:G72"/>
    <mergeCell ref="F67:F68"/>
    <mergeCell ref="EF67:EF68"/>
    <mergeCell ref="EG67:EG68"/>
    <mergeCell ref="EH67:EH68"/>
    <mergeCell ref="B65:B66"/>
    <mergeCell ref="C65:C66"/>
    <mergeCell ref="D65:D66"/>
    <mergeCell ref="E65:E66"/>
    <mergeCell ref="F65:F66"/>
    <mergeCell ref="EF65:EF66"/>
    <mergeCell ref="EG65:EG66"/>
    <mergeCell ref="G65:G66"/>
    <mergeCell ref="G67:G68"/>
    <mergeCell ref="EH65:EH66"/>
    <mergeCell ref="B67:B68"/>
    <mergeCell ref="C67:C68"/>
    <mergeCell ref="D67:D68"/>
    <mergeCell ref="E67:E68"/>
    <mergeCell ref="E69:E70"/>
    <mergeCell ref="F69:F70"/>
    <mergeCell ref="EF69:EF70"/>
    <mergeCell ref="EG69:EG70"/>
    <mergeCell ref="EH69:EH70"/>
    <mergeCell ref="B71:B72"/>
    <mergeCell ref="C71:C72"/>
    <mergeCell ref="D71:D72"/>
    <mergeCell ref="B73:B74"/>
    <mergeCell ref="C73:C74"/>
    <mergeCell ref="D73:D74"/>
    <mergeCell ref="E73:E74"/>
    <mergeCell ref="F73:F74"/>
    <mergeCell ref="EF73:EF74"/>
    <mergeCell ref="EG73:EG74"/>
    <mergeCell ref="EH73:EH74"/>
    <mergeCell ref="B75:B76"/>
    <mergeCell ref="C75:C76"/>
    <mergeCell ref="D75:D76"/>
    <mergeCell ref="E75:E76"/>
    <mergeCell ref="F75:F76"/>
    <mergeCell ref="EF75:EF76"/>
    <mergeCell ref="EG75:EG76"/>
    <mergeCell ref="G73:G74"/>
    <mergeCell ref="G75:G76"/>
    <mergeCell ref="E71:E72"/>
    <mergeCell ref="F71:F72"/>
    <mergeCell ref="EF71:EF72"/>
    <mergeCell ref="EG71:EG72"/>
    <mergeCell ref="C93:C94"/>
    <mergeCell ref="D93:D94"/>
    <mergeCell ref="E93:E94"/>
    <mergeCell ref="F93:F94"/>
    <mergeCell ref="EF93:EF94"/>
    <mergeCell ref="EG93:EG94"/>
    <mergeCell ref="G93:G94"/>
    <mergeCell ref="G95:G96"/>
    <mergeCell ref="EH75:EH76"/>
    <mergeCell ref="EH85:EH86"/>
    <mergeCell ref="B85:B86"/>
    <mergeCell ref="C85:C86"/>
    <mergeCell ref="D85:D86"/>
    <mergeCell ref="E85:E86"/>
    <mergeCell ref="F85:F86"/>
    <mergeCell ref="EF85:EF86"/>
    <mergeCell ref="EG85:EG86"/>
    <mergeCell ref="G85:G86"/>
    <mergeCell ref="B77:B78"/>
    <mergeCell ref="C77:C78"/>
    <mergeCell ref="D77:D78"/>
    <mergeCell ref="E77:E78"/>
    <mergeCell ref="F77:F78"/>
    <mergeCell ref="EF77:EF78"/>
    <mergeCell ref="EG77:EG78"/>
    <mergeCell ref="G77:G78"/>
    <mergeCell ref="G79:G80"/>
    <mergeCell ref="EH77:EH78"/>
    <mergeCell ref="EH97:EH98"/>
    <mergeCell ref="B97:B98"/>
    <mergeCell ref="C97:C98"/>
    <mergeCell ref="D97:D98"/>
    <mergeCell ref="E97:E98"/>
    <mergeCell ref="F97:F98"/>
    <mergeCell ref="EF97:EF98"/>
    <mergeCell ref="EG97:EG98"/>
    <mergeCell ref="G97:G98"/>
    <mergeCell ref="B95:B96"/>
    <mergeCell ref="C95:C96"/>
    <mergeCell ref="D95:D96"/>
    <mergeCell ref="E95:E96"/>
    <mergeCell ref="F95:F96"/>
    <mergeCell ref="EF95:EF96"/>
    <mergeCell ref="EG95:EG96"/>
    <mergeCell ref="EH95:EH96"/>
    <mergeCell ref="EG111:EG112"/>
    <mergeCell ref="EH111:EH112"/>
    <mergeCell ref="B109:B110"/>
    <mergeCell ref="C109:C110"/>
    <mergeCell ref="D109:D110"/>
    <mergeCell ref="E109:E110"/>
    <mergeCell ref="F109:F110"/>
    <mergeCell ref="EF109:EF110"/>
    <mergeCell ref="EG109:EG110"/>
    <mergeCell ref="G109:G110"/>
    <mergeCell ref="G111:G112"/>
    <mergeCell ref="EH91:EH92"/>
    <mergeCell ref="B91:B92"/>
    <mergeCell ref="C91:C92"/>
    <mergeCell ref="D91:D92"/>
    <mergeCell ref="EH105:EH106"/>
    <mergeCell ref="B107:B108"/>
    <mergeCell ref="C107:C108"/>
    <mergeCell ref="D107:D108"/>
    <mergeCell ref="E107:E108"/>
    <mergeCell ref="F107:F108"/>
    <mergeCell ref="EF107:EF108"/>
    <mergeCell ref="EG107:EG108"/>
    <mergeCell ref="EH107:EH108"/>
    <mergeCell ref="B105:B106"/>
    <mergeCell ref="C105:C106"/>
    <mergeCell ref="D105:D106"/>
    <mergeCell ref="E105:E106"/>
    <mergeCell ref="F105:F106"/>
    <mergeCell ref="EF105:EF106"/>
    <mergeCell ref="EG105:EG106"/>
    <mergeCell ref="G105:G106"/>
    <mergeCell ref="EF91:EF92"/>
    <mergeCell ref="EG151:EG152"/>
    <mergeCell ref="G151:G152"/>
    <mergeCell ref="G153:G154"/>
    <mergeCell ref="EH155:EH156"/>
    <mergeCell ref="B157:B158"/>
    <mergeCell ref="C157:C158"/>
    <mergeCell ref="D157:D158"/>
    <mergeCell ref="E157:E158"/>
    <mergeCell ref="F157:F158"/>
    <mergeCell ref="EF157:EF158"/>
    <mergeCell ref="EG157:EG158"/>
    <mergeCell ref="EH157:EH158"/>
    <mergeCell ref="B155:B156"/>
    <mergeCell ref="C155:C156"/>
    <mergeCell ref="D155:D156"/>
    <mergeCell ref="E155:E156"/>
    <mergeCell ref="F155:F156"/>
    <mergeCell ref="EF155:EF156"/>
    <mergeCell ref="EG155:EG156"/>
    <mergeCell ref="G155:G156"/>
    <mergeCell ref="B147:B148"/>
    <mergeCell ref="C147:C148"/>
    <mergeCell ref="D147:D148"/>
    <mergeCell ref="E149:E150"/>
    <mergeCell ref="EH109:EH110"/>
    <mergeCell ref="B111:B112"/>
    <mergeCell ref="C111:C112"/>
    <mergeCell ref="D111:D112"/>
    <mergeCell ref="E111:E112"/>
    <mergeCell ref="F111:F112"/>
    <mergeCell ref="EF111:EF112"/>
    <mergeCell ref="G41:G42"/>
    <mergeCell ref="G43:G44"/>
    <mergeCell ref="G45:G46"/>
    <mergeCell ref="G47:G48"/>
    <mergeCell ref="G49:G50"/>
    <mergeCell ref="G51:G52"/>
    <mergeCell ref="G31:G32"/>
    <mergeCell ref="G55:G56"/>
    <mergeCell ref="G57:G58"/>
    <mergeCell ref="G121:G122"/>
    <mergeCell ref="B165:B166"/>
    <mergeCell ref="C165:C166"/>
    <mergeCell ref="D165:D166"/>
    <mergeCell ref="E165:E166"/>
    <mergeCell ref="F165:F166"/>
    <mergeCell ref="G165:G166"/>
    <mergeCell ref="G125:G126"/>
    <mergeCell ref="G127:G128"/>
    <mergeCell ref="G129:G130"/>
    <mergeCell ref="G131:G132"/>
    <mergeCell ref="G133:G134"/>
    <mergeCell ref="G135:G136"/>
    <mergeCell ref="G137:G138"/>
    <mergeCell ref="E147:E148"/>
    <mergeCell ref="F147:F148"/>
    <mergeCell ref="G147:G148"/>
    <mergeCell ref="G149:G150"/>
    <mergeCell ref="B149:B150"/>
    <mergeCell ref="C149:C150"/>
    <mergeCell ref="D149:D150"/>
    <mergeCell ref="G107:G108"/>
    <mergeCell ref="B93:B94"/>
    <mergeCell ref="EG163:EG164"/>
    <mergeCell ref="EH163:EH164"/>
    <mergeCell ref="G157:G158"/>
    <mergeCell ref="EG149:EG150"/>
    <mergeCell ref="EH149:EH150"/>
    <mergeCell ref="EH151:EH152"/>
    <mergeCell ref="EG125:EG126"/>
    <mergeCell ref="EH125:EH126"/>
    <mergeCell ref="EG129:EG130"/>
    <mergeCell ref="EH135:EH136"/>
    <mergeCell ref="EH139:EH140"/>
    <mergeCell ref="EH143:EH144"/>
    <mergeCell ref="EH147:EH148"/>
    <mergeCell ref="EG161:EG162"/>
    <mergeCell ref="EH161:EH162"/>
    <mergeCell ref="EF147:EF148"/>
    <mergeCell ref="EG147:EG148"/>
    <mergeCell ref="EG153:EG154"/>
    <mergeCell ref="EH153:EH154"/>
    <mergeCell ref="EG159:EG160"/>
    <mergeCell ref="EH159:EH160"/>
    <mergeCell ref="EH127:EH128"/>
    <mergeCell ref="EF151:EF152"/>
    <mergeCell ref="EG171:EG172"/>
    <mergeCell ref="EH171:EH172"/>
    <mergeCell ref="B171:B172"/>
    <mergeCell ref="C171:C172"/>
    <mergeCell ref="D171:D172"/>
    <mergeCell ref="E171:E172"/>
    <mergeCell ref="F171:F172"/>
    <mergeCell ref="G171:G172"/>
    <mergeCell ref="EF171:EF172"/>
    <mergeCell ref="EF169:EF170"/>
    <mergeCell ref="EG169:EG170"/>
    <mergeCell ref="EH169:EH170"/>
    <mergeCell ref="B167:B168"/>
    <mergeCell ref="C167:C168"/>
    <mergeCell ref="D167:D168"/>
    <mergeCell ref="E167:E168"/>
    <mergeCell ref="F167:F168"/>
    <mergeCell ref="G167:G168"/>
    <mergeCell ref="EF167:EF168"/>
    <mergeCell ref="EG167:EG168"/>
    <mergeCell ref="EH167:EH168"/>
    <mergeCell ref="B169:B170"/>
    <mergeCell ref="C169:C170"/>
    <mergeCell ref="D169:D170"/>
    <mergeCell ref="E169:E170"/>
    <mergeCell ref="F169:F170"/>
    <mergeCell ref="G169:G170"/>
    <mergeCell ref="EG173:EG174"/>
    <mergeCell ref="EH173:EH174"/>
    <mergeCell ref="B173:B174"/>
    <mergeCell ref="C173:C174"/>
    <mergeCell ref="D173:D174"/>
    <mergeCell ref="E173:E174"/>
    <mergeCell ref="F173:F174"/>
    <mergeCell ref="G173:G174"/>
    <mergeCell ref="EF173:EF174"/>
    <mergeCell ref="EG175:EG176"/>
    <mergeCell ref="EH175:EH176"/>
    <mergeCell ref="B177:B178"/>
    <mergeCell ref="C177:C178"/>
    <mergeCell ref="D177:D178"/>
    <mergeCell ref="E177:E178"/>
    <mergeCell ref="F177:F178"/>
    <mergeCell ref="G177:G178"/>
    <mergeCell ref="EF177:EF178"/>
    <mergeCell ref="EG177:EG178"/>
    <mergeCell ref="EH177:EH178"/>
    <mergeCell ref="B175:B176"/>
    <mergeCell ref="C175:C176"/>
    <mergeCell ref="D175:D176"/>
    <mergeCell ref="EF175:EF176"/>
    <mergeCell ref="E175:E176"/>
    <mergeCell ref="F175:F176"/>
    <mergeCell ref="G175:G176"/>
    <mergeCell ref="EH179:EH180"/>
    <mergeCell ref="B181:B182"/>
    <mergeCell ref="C181:C182"/>
    <mergeCell ref="D181:D182"/>
    <mergeCell ref="E181:E182"/>
    <mergeCell ref="F181:F182"/>
    <mergeCell ref="G181:G182"/>
    <mergeCell ref="EF181:EF182"/>
    <mergeCell ref="EG181:EG182"/>
    <mergeCell ref="EH181:EH182"/>
    <mergeCell ref="B179:B180"/>
    <mergeCell ref="C179:C180"/>
    <mergeCell ref="D179:D180"/>
    <mergeCell ref="E179:E180"/>
    <mergeCell ref="F179:F180"/>
    <mergeCell ref="G179:G180"/>
    <mergeCell ref="B183:B184"/>
    <mergeCell ref="C183:C184"/>
    <mergeCell ref="D183:D184"/>
    <mergeCell ref="E183:E184"/>
    <mergeCell ref="B191:B192"/>
    <mergeCell ref="C191:C192"/>
    <mergeCell ref="D191:D192"/>
    <mergeCell ref="E191:E192"/>
    <mergeCell ref="F191:F192"/>
    <mergeCell ref="G191:G192"/>
    <mergeCell ref="EF191:EF192"/>
    <mergeCell ref="EG191:EG192"/>
    <mergeCell ref="EH191:EH192"/>
    <mergeCell ref="B193:B194"/>
    <mergeCell ref="C193:C194"/>
    <mergeCell ref="D193:D194"/>
    <mergeCell ref="E193:E194"/>
    <mergeCell ref="F193:F194"/>
    <mergeCell ref="G193:G194"/>
    <mergeCell ref="EF193:EF194"/>
    <mergeCell ref="B209:B210"/>
    <mergeCell ref="C209:C210"/>
    <mergeCell ref="D209:D210"/>
    <mergeCell ref="E209:E210"/>
    <mergeCell ref="F209:F210"/>
    <mergeCell ref="G209:G210"/>
    <mergeCell ref="EF209:EF210"/>
    <mergeCell ref="EG209:EG210"/>
    <mergeCell ref="EH209:EH210"/>
    <mergeCell ref="B207:B208"/>
    <mergeCell ref="C207:C208"/>
    <mergeCell ref="D207:D208"/>
    <mergeCell ref="E207:E208"/>
    <mergeCell ref="F207:F208"/>
    <mergeCell ref="G207:G208"/>
    <mergeCell ref="EF207:EF208"/>
    <mergeCell ref="EG207:EG208"/>
    <mergeCell ref="EH207:EH208"/>
    <mergeCell ref="C213:C214"/>
    <mergeCell ref="D213:D214"/>
    <mergeCell ref="E213:E214"/>
    <mergeCell ref="F213:F214"/>
    <mergeCell ref="G213:G214"/>
    <mergeCell ref="EF213:EF214"/>
    <mergeCell ref="EG213:EG214"/>
    <mergeCell ref="EH213:EH214"/>
    <mergeCell ref="B215:B216"/>
    <mergeCell ref="C215:C216"/>
    <mergeCell ref="D215:D216"/>
    <mergeCell ref="E215:E216"/>
    <mergeCell ref="F215:F216"/>
    <mergeCell ref="G215:G216"/>
    <mergeCell ref="EF215:EF216"/>
    <mergeCell ref="EG215:EG216"/>
    <mergeCell ref="EH215:EH216"/>
    <mergeCell ref="B211:B212"/>
    <mergeCell ref="C211:C212"/>
    <mergeCell ref="D211:D212"/>
    <mergeCell ref="E211:E212"/>
    <mergeCell ref="F211:F212"/>
    <mergeCell ref="G211:G212"/>
    <mergeCell ref="EF211:EF212"/>
    <mergeCell ref="EG211:EG212"/>
    <mergeCell ref="EH211:EH212"/>
    <mergeCell ref="B213:B21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8"/>
  <sheetViews>
    <sheetView workbookViewId="0">
      <selection activeCell="F140" sqref="F140"/>
    </sheetView>
  </sheetViews>
  <sheetFormatPr defaultRowHeight="17.45"/>
  <cols>
    <col min="7" max="7" width="21.625" customWidth="1"/>
    <col min="9" max="9" width="17.125" bestFit="1" customWidth="1"/>
    <col min="10" max="10" width="15.25" bestFit="1" customWidth="1"/>
    <col min="12" max="12" width="23.25" bestFit="1" customWidth="1"/>
    <col min="16" max="16" width="13.625" customWidth="1"/>
  </cols>
  <sheetData>
    <row r="1" spans="1:18">
      <c r="A1" t="s">
        <v>450</v>
      </c>
      <c r="B1" t="s">
        <v>451</v>
      </c>
      <c r="C1" t="s">
        <v>452</v>
      </c>
      <c r="D1" t="s">
        <v>7</v>
      </c>
      <c r="E1" t="s">
        <v>453</v>
      </c>
      <c r="F1" t="s">
        <v>454</v>
      </c>
      <c r="G1" t="s">
        <v>455</v>
      </c>
      <c r="H1" t="s">
        <v>456</v>
      </c>
      <c r="I1" t="s">
        <v>457</v>
      </c>
      <c r="J1" t="s">
        <v>458</v>
      </c>
      <c r="K1" t="s">
        <v>459</v>
      </c>
      <c r="L1" t="s">
        <v>460</v>
      </c>
      <c r="M1" t="s">
        <v>461</v>
      </c>
      <c r="N1" t="s">
        <v>462</v>
      </c>
      <c r="O1" t="s">
        <v>463</v>
      </c>
      <c r="P1" t="s">
        <v>464</v>
      </c>
      <c r="Q1" t="s">
        <v>465</v>
      </c>
      <c r="R1" t="s">
        <v>466</v>
      </c>
    </row>
    <row r="2" spans="1:18">
      <c r="A2" t="s">
        <v>467</v>
      </c>
      <c r="B2">
        <v>5</v>
      </c>
      <c r="C2" t="s">
        <v>468</v>
      </c>
      <c r="D2" t="s">
        <v>157</v>
      </c>
      <c r="E2">
        <v>537</v>
      </c>
      <c r="F2" t="s">
        <v>469</v>
      </c>
      <c r="G2" t="s">
        <v>470</v>
      </c>
      <c r="H2">
        <v>0</v>
      </c>
      <c r="I2" t="s">
        <v>471</v>
      </c>
      <c r="J2" t="s">
        <v>472</v>
      </c>
      <c r="K2">
        <v>0</v>
      </c>
      <c r="L2" t="s">
        <v>473</v>
      </c>
      <c r="M2">
        <v>537</v>
      </c>
      <c r="N2" t="s">
        <v>474</v>
      </c>
      <c r="O2" t="s">
        <v>253</v>
      </c>
      <c r="P2" s="26">
        <v>45035</v>
      </c>
    </row>
    <row r="3" spans="1:18">
      <c r="A3" t="s">
        <v>467</v>
      </c>
      <c r="B3">
        <v>5</v>
      </c>
      <c r="C3" t="s">
        <v>475</v>
      </c>
      <c r="D3" t="s">
        <v>157</v>
      </c>
      <c r="E3">
        <v>537</v>
      </c>
      <c r="F3" t="s">
        <v>469</v>
      </c>
      <c r="G3" t="s">
        <v>470</v>
      </c>
      <c r="H3">
        <v>0</v>
      </c>
      <c r="I3" t="s">
        <v>471</v>
      </c>
      <c r="J3" t="s">
        <v>472</v>
      </c>
      <c r="K3">
        <v>0</v>
      </c>
      <c r="L3" t="s">
        <v>476</v>
      </c>
      <c r="M3">
        <v>537</v>
      </c>
      <c r="N3" t="s">
        <v>474</v>
      </c>
      <c r="O3" t="s">
        <v>253</v>
      </c>
      <c r="P3" s="26">
        <v>45042</v>
      </c>
    </row>
    <row r="4" spans="1:18">
      <c r="A4" t="s">
        <v>467</v>
      </c>
      <c r="B4">
        <v>5</v>
      </c>
      <c r="C4" t="s">
        <v>475</v>
      </c>
      <c r="D4" t="s">
        <v>157</v>
      </c>
      <c r="E4">
        <v>537</v>
      </c>
      <c r="F4" t="s">
        <v>469</v>
      </c>
      <c r="G4" t="s">
        <v>477</v>
      </c>
      <c r="H4">
        <v>0</v>
      </c>
      <c r="I4" t="s">
        <v>478</v>
      </c>
      <c r="J4" t="s">
        <v>472</v>
      </c>
      <c r="K4">
        <v>0</v>
      </c>
      <c r="L4" t="s">
        <v>476</v>
      </c>
      <c r="M4">
        <v>537</v>
      </c>
      <c r="N4" t="s">
        <v>474</v>
      </c>
      <c r="O4" t="s">
        <v>253</v>
      </c>
      <c r="P4" s="26">
        <v>45057</v>
      </c>
    </row>
    <row r="5" spans="1:18">
      <c r="A5" t="s">
        <v>467</v>
      </c>
      <c r="B5">
        <v>5</v>
      </c>
      <c r="C5" t="s">
        <v>475</v>
      </c>
      <c r="D5" t="s">
        <v>157</v>
      </c>
      <c r="E5">
        <v>537</v>
      </c>
      <c r="F5" t="s">
        <v>469</v>
      </c>
      <c r="G5" t="s">
        <v>479</v>
      </c>
      <c r="H5">
        <v>0</v>
      </c>
      <c r="I5" t="s">
        <v>480</v>
      </c>
      <c r="J5" t="s">
        <v>472</v>
      </c>
      <c r="K5">
        <v>0</v>
      </c>
      <c r="L5" t="s">
        <v>476</v>
      </c>
      <c r="M5">
        <v>537</v>
      </c>
      <c r="N5" t="s">
        <v>474</v>
      </c>
      <c r="O5" t="s">
        <v>253</v>
      </c>
      <c r="P5" s="26">
        <v>45064</v>
      </c>
    </row>
    <row r="6" spans="1:18">
      <c r="A6" t="s">
        <v>467</v>
      </c>
      <c r="B6">
        <v>5</v>
      </c>
      <c r="C6" t="s">
        <v>475</v>
      </c>
      <c r="D6" t="s">
        <v>157</v>
      </c>
      <c r="E6">
        <v>537</v>
      </c>
      <c r="F6" t="s">
        <v>469</v>
      </c>
      <c r="G6" t="s">
        <v>481</v>
      </c>
      <c r="H6">
        <v>0</v>
      </c>
      <c r="I6" t="s">
        <v>482</v>
      </c>
      <c r="J6" t="s">
        <v>472</v>
      </c>
      <c r="K6">
        <v>0</v>
      </c>
      <c r="L6" t="s">
        <v>483</v>
      </c>
      <c r="M6">
        <v>537</v>
      </c>
      <c r="N6" t="s">
        <v>474</v>
      </c>
      <c r="O6" t="s">
        <v>253</v>
      </c>
      <c r="P6" s="26">
        <v>45071</v>
      </c>
    </row>
    <row r="7" spans="1:18">
      <c r="A7" t="s">
        <v>467</v>
      </c>
      <c r="B7">
        <v>5</v>
      </c>
      <c r="C7" t="s">
        <v>475</v>
      </c>
      <c r="D7" t="s">
        <v>157</v>
      </c>
      <c r="E7">
        <v>537</v>
      </c>
      <c r="F7" t="s">
        <v>469</v>
      </c>
      <c r="G7" t="s">
        <v>484</v>
      </c>
      <c r="H7">
        <v>0</v>
      </c>
      <c r="I7" t="s">
        <v>485</v>
      </c>
      <c r="J7" t="s">
        <v>472</v>
      </c>
      <c r="K7">
        <v>0</v>
      </c>
      <c r="L7" t="s">
        <v>486</v>
      </c>
      <c r="M7">
        <v>537</v>
      </c>
      <c r="N7" t="s">
        <v>487</v>
      </c>
      <c r="O7" t="s">
        <v>149</v>
      </c>
    </row>
    <row r="8" spans="1:18">
      <c r="A8" t="s">
        <v>467</v>
      </c>
      <c r="B8">
        <v>5</v>
      </c>
      <c r="C8" t="s">
        <v>475</v>
      </c>
      <c r="D8" t="s">
        <v>157</v>
      </c>
      <c r="E8">
        <v>537</v>
      </c>
      <c r="F8" t="s">
        <v>469</v>
      </c>
      <c r="G8" t="s">
        <v>488</v>
      </c>
      <c r="H8">
        <v>0</v>
      </c>
      <c r="I8" t="s">
        <v>489</v>
      </c>
      <c r="J8" t="s">
        <v>472</v>
      </c>
      <c r="K8">
        <v>0</v>
      </c>
      <c r="L8" t="s">
        <v>483</v>
      </c>
      <c r="M8">
        <v>537</v>
      </c>
      <c r="N8" t="s">
        <v>474</v>
      </c>
      <c r="O8" t="s">
        <v>253</v>
      </c>
      <c r="P8" s="26">
        <v>45078</v>
      </c>
    </row>
    <row r="9" spans="1:18">
      <c r="A9" t="s">
        <v>467</v>
      </c>
      <c r="B9">
        <v>5</v>
      </c>
      <c r="C9" t="s">
        <v>475</v>
      </c>
      <c r="D9" t="s">
        <v>157</v>
      </c>
      <c r="E9">
        <v>537</v>
      </c>
      <c r="F9" t="s">
        <v>469</v>
      </c>
      <c r="G9" t="s">
        <v>490</v>
      </c>
      <c r="H9">
        <v>0</v>
      </c>
      <c r="I9" t="s">
        <v>491</v>
      </c>
      <c r="J9" t="s">
        <v>472</v>
      </c>
      <c r="K9">
        <v>0</v>
      </c>
      <c r="L9" t="s">
        <v>486</v>
      </c>
      <c r="M9">
        <v>537</v>
      </c>
      <c r="N9" t="s">
        <v>474</v>
      </c>
      <c r="O9" t="s">
        <v>253</v>
      </c>
      <c r="P9" s="26">
        <v>45085</v>
      </c>
    </row>
    <row r="10" spans="1:18">
      <c r="A10" t="s">
        <v>467</v>
      </c>
      <c r="B10">
        <v>5</v>
      </c>
      <c r="C10" t="s">
        <v>475</v>
      </c>
      <c r="D10" t="s">
        <v>157</v>
      </c>
      <c r="E10">
        <v>537</v>
      </c>
      <c r="F10" t="s">
        <v>469</v>
      </c>
      <c r="G10" t="s">
        <v>492</v>
      </c>
      <c r="H10">
        <v>0</v>
      </c>
      <c r="I10" t="s">
        <v>493</v>
      </c>
      <c r="J10" t="s">
        <v>472</v>
      </c>
      <c r="K10">
        <v>0</v>
      </c>
      <c r="L10" t="s">
        <v>494</v>
      </c>
      <c r="M10">
        <v>537</v>
      </c>
      <c r="N10" t="s">
        <v>474</v>
      </c>
      <c r="O10" t="s">
        <v>253</v>
      </c>
      <c r="P10" s="26">
        <v>45092</v>
      </c>
    </row>
    <row r="11" spans="1:18">
      <c r="A11" t="s">
        <v>467</v>
      </c>
      <c r="B11">
        <v>5</v>
      </c>
      <c r="C11" t="s">
        <v>475</v>
      </c>
      <c r="D11" t="s">
        <v>157</v>
      </c>
      <c r="E11">
        <v>537</v>
      </c>
      <c r="F11" t="s">
        <v>469</v>
      </c>
      <c r="G11" t="s">
        <v>495</v>
      </c>
      <c r="H11">
        <v>0</v>
      </c>
      <c r="I11" t="s">
        <v>496</v>
      </c>
      <c r="J11" t="s">
        <v>472</v>
      </c>
      <c r="K11">
        <v>0</v>
      </c>
      <c r="L11" t="s">
        <v>494</v>
      </c>
      <c r="M11">
        <v>537</v>
      </c>
      <c r="N11" t="s">
        <v>487</v>
      </c>
      <c r="O11" t="s">
        <v>149</v>
      </c>
    </row>
    <row r="12" spans="1:18">
      <c r="A12" t="s">
        <v>467</v>
      </c>
      <c r="B12">
        <v>5</v>
      </c>
      <c r="C12" t="s">
        <v>475</v>
      </c>
      <c r="D12" t="s">
        <v>157</v>
      </c>
      <c r="E12">
        <v>537</v>
      </c>
      <c r="F12" t="s">
        <v>469</v>
      </c>
      <c r="G12" t="s">
        <v>497</v>
      </c>
      <c r="H12">
        <v>0</v>
      </c>
      <c r="I12" t="s">
        <v>498</v>
      </c>
      <c r="J12" t="s">
        <v>472</v>
      </c>
      <c r="K12">
        <v>0</v>
      </c>
      <c r="L12" t="s">
        <v>494</v>
      </c>
      <c r="M12">
        <v>537</v>
      </c>
      <c r="N12" t="s">
        <v>474</v>
      </c>
      <c r="O12" t="s">
        <v>253</v>
      </c>
      <c r="P12" s="26">
        <v>45099</v>
      </c>
    </row>
    <row r="13" spans="1:18">
      <c r="A13" t="s">
        <v>467</v>
      </c>
      <c r="B13">
        <v>5</v>
      </c>
      <c r="C13" t="s">
        <v>475</v>
      </c>
      <c r="D13" t="s">
        <v>157</v>
      </c>
      <c r="E13">
        <v>537</v>
      </c>
      <c r="F13" t="s">
        <v>469</v>
      </c>
      <c r="G13" t="s">
        <v>499</v>
      </c>
      <c r="H13">
        <v>0</v>
      </c>
      <c r="I13" t="s">
        <v>500</v>
      </c>
      <c r="J13" t="s">
        <v>472</v>
      </c>
      <c r="K13">
        <v>0</v>
      </c>
      <c r="L13" t="s">
        <v>494</v>
      </c>
      <c r="M13">
        <v>537</v>
      </c>
      <c r="N13" t="s">
        <v>474</v>
      </c>
      <c r="O13" t="s">
        <v>253</v>
      </c>
      <c r="P13" s="26">
        <v>45106</v>
      </c>
    </row>
    <row r="14" spans="1:18">
      <c r="A14" t="s">
        <v>467</v>
      </c>
      <c r="B14">
        <v>5</v>
      </c>
      <c r="C14" t="s">
        <v>475</v>
      </c>
      <c r="D14" t="s">
        <v>157</v>
      </c>
      <c r="E14">
        <v>537</v>
      </c>
      <c r="F14" t="s">
        <v>469</v>
      </c>
      <c r="G14" t="s">
        <v>501</v>
      </c>
      <c r="H14">
        <v>0</v>
      </c>
      <c r="I14" t="s">
        <v>502</v>
      </c>
      <c r="J14" t="s">
        <v>472</v>
      </c>
      <c r="K14">
        <v>0</v>
      </c>
      <c r="L14" t="s">
        <v>494</v>
      </c>
      <c r="M14">
        <v>537</v>
      </c>
      <c r="N14" t="s">
        <v>474</v>
      </c>
      <c r="O14" t="s">
        <v>253</v>
      </c>
      <c r="P14" s="26">
        <v>45113</v>
      </c>
    </row>
    <row r="15" spans="1:18">
      <c r="A15" t="s">
        <v>467</v>
      </c>
      <c r="B15">
        <v>5</v>
      </c>
      <c r="C15" t="s">
        <v>475</v>
      </c>
      <c r="D15" t="s">
        <v>157</v>
      </c>
      <c r="E15">
        <v>537</v>
      </c>
      <c r="F15" t="s">
        <v>469</v>
      </c>
      <c r="G15" t="s">
        <v>503</v>
      </c>
      <c r="H15">
        <v>0</v>
      </c>
      <c r="I15" t="s">
        <v>504</v>
      </c>
      <c r="J15" t="s">
        <v>472</v>
      </c>
      <c r="K15">
        <v>0</v>
      </c>
      <c r="L15" t="s">
        <v>494</v>
      </c>
      <c r="M15">
        <v>537</v>
      </c>
      <c r="N15" t="s">
        <v>487</v>
      </c>
      <c r="O15" t="s">
        <v>149</v>
      </c>
    </row>
    <row r="16" spans="1:18">
      <c r="A16" t="s">
        <v>467</v>
      </c>
      <c r="B16">
        <v>5</v>
      </c>
      <c r="C16" t="s">
        <v>475</v>
      </c>
      <c r="D16" t="s">
        <v>157</v>
      </c>
      <c r="E16">
        <v>537</v>
      </c>
      <c r="F16" t="s">
        <v>469</v>
      </c>
      <c r="G16" t="s">
        <v>505</v>
      </c>
      <c r="H16">
        <v>0</v>
      </c>
      <c r="I16" t="s">
        <v>506</v>
      </c>
      <c r="J16" t="s">
        <v>472</v>
      </c>
      <c r="K16">
        <v>0</v>
      </c>
      <c r="L16" t="s">
        <v>494</v>
      </c>
      <c r="M16">
        <v>537</v>
      </c>
      <c r="N16" t="s">
        <v>474</v>
      </c>
      <c r="O16" t="s">
        <v>253</v>
      </c>
      <c r="P16" s="26">
        <v>45120</v>
      </c>
    </row>
    <row r="17" spans="1:16">
      <c r="A17" t="s">
        <v>467</v>
      </c>
      <c r="B17">
        <v>5</v>
      </c>
      <c r="C17" t="s">
        <v>475</v>
      </c>
      <c r="D17" t="s">
        <v>157</v>
      </c>
      <c r="E17">
        <v>537</v>
      </c>
      <c r="F17" t="s">
        <v>469</v>
      </c>
      <c r="G17" t="s">
        <v>507</v>
      </c>
      <c r="H17">
        <v>0</v>
      </c>
      <c r="I17" t="s">
        <v>508</v>
      </c>
      <c r="J17" t="s">
        <v>472</v>
      </c>
      <c r="K17">
        <v>0</v>
      </c>
      <c r="L17" t="s">
        <v>509</v>
      </c>
      <c r="M17">
        <v>537</v>
      </c>
      <c r="N17" t="s">
        <v>474</v>
      </c>
      <c r="O17" t="s">
        <v>253</v>
      </c>
      <c r="P17" s="26">
        <v>45127</v>
      </c>
    </row>
    <row r="18" spans="1:16">
      <c r="A18" t="s">
        <v>467</v>
      </c>
      <c r="B18">
        <v>5</v>
      </c>
      <c r="C18" t="s">
        <v>475</v>
      </c>
      <c r="D18" t="s">
        <v>157</v>
      </c>
      <c r="E18">
        <v>537</v>
      </c>
      <c r="F18" t="s">
        <v>469</v>
      </c>
      <c r="G18" t="s">
        <v>510</v>
      </c>
      <c r="H18">
        <v>0</v>
      </c>
      <c r="I18" t="s">
        <v>511</v>
      </c>
      <c r="J18" t="s">
        <v>472</v>
      </c>
      <c r="K18">
        <v>0</v>
      </c>
      <c r="L18" t="s">
        <v>512</v>
      </c>
      <c r="M18">
        <v>537</v>
      </c>
      <c r="N18" t="s">
        <v>474</v>
      </c>
      <c r="O18" t="s">
        <v>253</v>
      </c>
      <c r="P18" s="26">
        <v>45134</v>
      </c>
    </row>
    <row r="19" spans="1:16">
      <c r="A19" t="s">
        <v>467</v>
      </c>
      <c r="B19">
        <v>5</v>
      </c>
      <c r="C19" t="s">
        <v>475</v>
      </c>
      <c r="D19" t="s">
        <v>157</v>
      </c>
      <c r="E19">
        <v>537</v>
      </c>
      <c r="F19" t="s">
        <v>469</v>
      </c>
      <c r="G19" t="s">
        <v>513</v>
      </c>
      <c r="H19">
        <v>0</v>
      </c>
      <c r="I19" t="s">
        <v>514</v>
      </c>
      <c r="J19" t="s">
        <v>472</v>
      </c>
      <c r="K19">
        <v>0</v>
      </c>
      <c r="L19" t="s">
        <v>515</v>
      </c>
      <c r="M19">
        <v>537</v>
      </c>
      <c r="N19" t="s">
        <v>487</v>
      </c>
      <c r="O19" t="s">
        <v>149</v>
      </c>
    </row>
    <row r="20" spans="1:16">
      <c r="A20" t="s">
        <v>467</v>
      </c>
      <c r="B20">
        <v>5</v>
      </c>
      <c r="C20" t="s">
        <v>475</v>
      </c>
      <c r="D20" t="s">
        <v>157</v>
      </c>
      <c r="E20">
        <v>537</v>
      </c>
      <c r="F20" t="s">
        <v>469</v>
      </c>
      <c r="G20" t="s">
        <v>516</v>
      </c>
      <c r="H20">
        <v>0</v>
      </c>
      <c r="I20" t="s">
        <v>517</v>
      </c>
      <c r="J20" t="s">
        <v>472</v>
      </c>
      <c r="K20">
        <v>0</v>
      </c>
      <c r="L20" t="s">
        <v>518</v>
      </c>
      <c r="M20">
        <v>537</v>
      </c>
      <c r="N20" t="s">
        <v>474</v>
      </c>
      <c r="O20" t="s">
        <v>253</v>
      </c>
      <c r="P20" s="26">
        <v>45141</v>
      </c>
    </row>
    <row r="21" spans="1:16">
      <c r="A21" t="s">
        <v>467</v>
      </c>
      <c r="B21">
        <v>5</v>
      </c>
      <c r="C21" t="s">
        <v>475</v>
      </c>
      <c r="D21" t="s">
        <v>157</v>
      </c>
      <c r="E21">
        <v>537</v>
      </c>
      <c r="F21" t="s">
        <v>469</v>
      </c>
      <c r="G21" t="s">
        <v>519</v>
      </c>
      <c r="H21">
        <v>0</v>
      </c>
      <c r="I21" t="s">
        <v>517</v>
      </c>
      <c r="J21" t="s">
        <v>472</v>
      </c>
      <c r="K21">
        <v>0</v>
      </c>
      <c r="L21" t="s">
        <v>520</v>
      </c>
      <c r="M21">
        <v>537</v>
      </c>
      <c r="N21" t="s">
        <v>474</v>
      </c>
      <c r="O21" t="s">
        <v>253</v>
      </c>
      <c r="P21" s="26">
        <v>45162</v>
      </c>
    </row>
    <row r="22" spans="1:16">
      <c r="A22" t="s">
        <v>467</v>
      </c>
      <c r="B22">
        <v>5</v>
      </c>
      <c r="C22" t="s">
        <v>475</v>
      </c>
      <c r="D22" t="s">
        <v>157</v>
      </c>
      <c r="E22">
        <v>537</v>
      </c>
      <c r="F22" t="s">
        <v>469</v>
      </c>
      <c r="G22" t="s">
        <v>521</v>
      </c>
      <c r="H22">
        <v>0</v>
      </c>
      <c r="I22" t="s">
        <v>517</v>
      </c>
      <c r="J22" t="s">
        <v>472</v>
      </c>
      <c r="K22">
        <v>0</v>
      </c>
      <c r="L22" t="s">
        <v>522</v>
      </c>
      <c r="M22">
        <v>537</v>
      </c>
      <c r="N22" t="s">
        <v>474</v>
      </c>
      <c r="O22" t="s">
        <v>253</v>
      </c>
      <c r="P22" s="26">
        <v>45183</v>
      </c>
    </row>
    <row r="23" spans="1:16">
      <c r="A23" t="s">
        <v>467</v>
      </c>
      <c r="B23">
        <v>5</v>
      </c>
      <c r="C23" t="s">
        <v>475</v>
      </c>
      <c r="D23" t="s">
        <v>157</v>
      </c>
      <c r="E23">
        <v>537</v>
      </c>
      <c r="F23" t="s">
        <v>469</v>
      </c>
      <c r="G23" t="s">
        <v>523</v>
      </c>
      <c r="H23">
        <v>0</v>
      </c>
      <c r="I23" t="s">
        <v>517</v>
      </c>
      <c r="J23" t="s">
        <v>472</v>
      </c>
      <c r="K23">
        <v>0</v>
      </c>
      <c r="L23" t="s">
        <v>520</v>
      </c>
      <c r="M23">
        <v>537</v>
      </c>
      <c r="N23" t="s">
        <v>474</v>
      </c>
      <c r="O23" t="s">
        <v>253</v>
      </c>
      <c r="P23" s="26">
        <v>45204</v>
      </c>
    </row>
    <row r="24" spans="1:16">
      <c r="A24" t="s">
        <v>467</v>
      </c>
      <c r="B24">
        <v>5</v>
      </c>
      <c r="C24" t="s">
        <v>475</v>
      </c>
      <c r="D24" t="s">
        <v>157</v>
      </c>
      <c r="E24">
        <v>537</v>
      </c>
      <c r="F24" t="s">
        <v>469</v>
      </c>
      <c r="G24" t="s">
        <v>524</v>
      </c>
      <c r="H24">
        <v>0</v>
      </c>
      <c r="I24" t="s">
        <v>525</v>
      </c>
      <c r="J24" t="s">
        <v>472</v>
      </c>
      <c r="K24">
        <v>0</v>
      </c>
      <c r="L24" t="s">
        <v>520</v>
      </c>
      <c r="M24">
        <v>537</v>
      </c>
      <c r="N24" t="s">
        <v>474</v>
      </c>
      <c r="O24" t="s">
        <v>253</v>
      </c>
      <c r="P24" s="26">
        <v>45211</v>
      </c>
    </row>
    <row r="25" spans="1:16">
      <c r="A25" t="s">
        <v>467</v>
      </c>
      <c r="B25">
        <v>5</v>
      </c>
      <c r="C25" t="s">
        <v>475</v>
      </c>
      <c r="D25" t="s">
        <v>157</v>
      </c>
      <c r="E25">
        <v>537</v>
      </c>
      <c r="F25" t="s">
        <v>469</v>
      </c>
      <c r="G25" t="s">
        <v>526</v>
      </c>
      <c r="H25">
        <v>0</v>
      </c>
      <c r="I25" t="s">
        <v>525</v>
      </c>
      <c r="J25" t="s">
        <v>472</v>
      </c>
      <c r="K25">
        <v>0</v>
      </c>
      <c r="L25" t="s">
        <v>527</v>
      </c>
      <c r="M25">
        <v>537</v>
      </c>
      <c r="N25" t="s">
        <v>474</v>
      </c>
      <c r="O25" t="s">
        <v>253</v>
      </c>
      <c r="P25" s="26">
        <v>45190</v>
      </c>
    </row>
    <row r="26" spans="1:16">
      <c r="A26" t="s">
        <v>467</v>
      </c>
      <c r="B26">
        <v>5</v>
      </c>
      <c r="C26" t="s">
        <v>475</v>
      </c>
      <c r="D26" t="s">
        <v>157</v>
      </c>
      <c r="E26">
        <v>537</v>
      </c>
      <c r="F26" t="s">
        <v>469</v>
      </c>
      <c r="G26" t="s">
        <v>528</v>
      </c>
      <c r="H26">
        <v>0</v>
      </c>
      <c r="I26" t="s">
        <v>525</v>
      </c>
      <c r="J26" t="s">
        <v>472</v>
      </c>
      <c r="K26">
        <v>0</v>
      </c>
      <c r="L26" t="s">
        <v>529</v>
      </c>
      <c r="M26">
        <v>537</v>
      </c>
      <c r="N26" t="s">
        <v>474</v>
      </c>
      <c r="O26" t="s">
        <v>253</v>
      </c>
      <c r="P26" s="26">
        <v>45169</v>
      </c>
    </row>
    <row r="27" spans="1:16">
      <c r="A27" t="s">
        <v>467</v>
      </c>
      <c r="B27">
        <v>5</v>
      </c>
      <c r="C27" t="s">
        <v>475</v>
      </c>
      <c r="D27" t="s">
        <v>157</v>
      </c>
      <c r="E27">
        <v>537</v>
      </c>
      <c r="F27" t="s">
        <v>469</v>
      </c>
      <c r="G27" t="s">
        <v>530</v>
      </c>
      <c r="H27">
        <v>0</v>
      </c>
      <c r="I27" t="s">
        <v>525</v>
      </c>
      <c r="J27" t="s">
        <v>472</v>
      </c>
      <c r="K27">
        <v>0</v>
      </c>
      <c r="L27" t="s">
        <v>531</v>
      </c>
      <c r="M27">
        <v>537</v>
      </c>
      <c r="N27" t="s">
        <v>474</v>
      </c>
      <c r="O27" t="s">
        <v>253</v>
      </c>
      <c r="P27" s="26">
        <v>45148</v>
      </c>
    </row>
    <row r="28" spans="1:16">
      <c r="A28" t="s">
        <v>467</v>
      </c>
      <c r="B28">
        <v>5</v>
      </c>
      <c r="C28" t="s">
        <v>475</v>
      </c>
      <c r="D28" t="s">
        <v>157</v>
      </c>
      <c r="E28">
        <v>537</v>
      </c>
      <c r="F28" t="s">
        <v>469</v>
      </c>
      <c r="G28" t="s">
        <v>532</v>
      </c>
      <c r="H28">
        <v>0</v>
      </c>
      <c r="I28" t="s">
        <v>533</v>
      </c>
      <c r="J28" t="s">
        <v>472</v>
      </c>
      <c r="K28">
        <v>0</v>
      </c>
      <c r="L28" t="s">
        <v>534</v>
      </c>
      <c r="M28">
        <v>537</v>
      </c>
      <c r="N28" t="s">
        <v>474</v>
      </c>
      <c r="O28" t="s">
        <v>253</v>
      </c>
      <c r="P28" s="26">
        <v>45155</v>
      </c>
    </row>
    <row r="29" spans="1:16">
      <c r="A29" t="s">
        <v>467</v>
      </c>
      <c r="B29">
        <v>5</v>
      </c>
      <c r="C29" t="s">
        <v>475</v>
      </c>
      <c r="D29" t="s">
        <v>157</v>
      </c>
      <c r="E29">
        <v>537</v>
      </c>
      <c r="F29" t="s">
        <v>469</v>
      </c>
      <c r="G29" t="s">
        <v>535</v>
      </c>
      <c r="H29">
        <v>0</v>
      </c>
      <c r="I29" t="s">
        <v>533</v>
      </c>
      <c r="J29" t="s">
        <v>472</v>
      </c>
      <c r="K29">
        <v>0</v>
      </c>
      <c r="L29" t="s">
        <v>520</v>
      </c>
      <c r="M29">
        <v>537</v>
      </c>
      <c r="N29" t="s">
        <v>474</v>
      </c>
      <c r="O29" t="s">
        <v>253</v>
      </c>
      <c r="P29" s="26">
        <v>45197</v>
      </c>
    </row>
    <row r="30" spans="1:16">
      <c r="A30" t="s">
        <v>467</v>
      </c>
      <c r="B30">
        <v>5</v>
      </c>
      <c r="C30" t="s">
        <v>475</v>
      </c>
      <c r="D30" t="s">
        <v>157</v>
      </c>
      <c r="E30">
        <v>537</v>
      </c>
      <c r="F30" t="s">
        <v>469</v>
      </c>
      <c r="G30" t="s">
        <v>536</v>
      </c>
      <c r="H30">
        <v>0</v>
      </c>
      <c r="I30" t="s">
        <v>533</v>
      </c>
      <c r="J30" t="s">
        <v>472</v>
      </c>
      <c r="K30">
        <v>0</v>
      </c>
      <c r="L30" t="s">
        <v>537</v>
      </c>
      <c r="M30">
        <v>537</v>
      </c>
      <c r="N30" t="s">
        <v>474</v>
      </c>
      <c r="O30" t="s">
        <v>253</v>
      </c>
      <c r="P30" s="26">
        <v>45176</v>
      </c>
    </row>
    <row r="31" spans="1:16">
      <c r="A31" t="s">
        <v>467</v>
      </c>
      <c r="B31">
        <v>5</v>
      </c>
      <c r="C31" t="s">
        <v>475</v>
      </c>
      <c r="D31" t="s">
        <v>157</v>
      </c>
      <c r="E31">
        <v>537</v>
      </c>
      <c r="F31" t="s">
        <v>469</v>
      </c>
      <c r="G31" t="s">
        <v>538</v>
      </c>
      <c r="H31">
        <v>0</v>
      </c>
      <c r="I31" t="s">
        <v>533</v>
      </c>
      <c r="J31" t="s">
        <v>472</v>
      </c>
      <c r="K31">
        <v>0</v>
      </c>
      <c r="L31" t="s">
        <v>520</v>
      </c>
      <c r="M31">
        <v>537</v>
      </c>
      <c r="N31" t="s">
        <v>474</v>
      </c>
      <c r="O31" t="s">
        <v>253</v>
      </c>
      <c r="P31" s="26">
        <v>45218</v>
      </c>
    </row>
    <row r="32" spans="1:16">
      <c r="A32" t="s">
        <v>467</v>
      </c>
      <c r="B32">
        <v>5</v>
      </c>
      <c r="C32" t="s">
        <v>475</v>
      </c>
      <c r="D32" t="s">
        <v>157</v>
      </c>
      <c r="E32">
        <v>537</v>
      </c>
      <c r="F32" t="s">
        <v>469</v>
      </c>
      <c r="G32" t="s">
        <v>539</v>
      </c>
      <c r="H32">
        <v>0</v>
      </c>
      <c r="I32" t="s">
        <v>540</v>
      </c>
      <c r="J32" t="s">
        <v>472</v>
      </c>
      <c r="K32">
        <v>0</v>
      </c>
      <c r="L32" t="s">
        <v>541</v>
      </c>
      <c r="M32">
        <v>537</v>
      </c>
      <c r="N32" t="s">
        <v>487</v>
      </c>
      <c r="O32" t="s">
        <v>149</v>
      </c>
    </row>
    <row r="33" spans="1:17">
      <c r="A33" t="s">
        <v>467</v>
      </c>
      <c r="B33">
        <v>5</v>
      </c>
      <c r="C33" t="s">
        <v>475</v>
      </c>
      <c r="D33" t="s">
        <v>157</v>
      </c>
      <c r="E33">
        <v>537</v>
      </c>
      <c r="F33" t="s">
        <v>469</v>
      </c>
      <c r="G33" t="s">
        <v>542</v>
      </c>
      <c r="H33">
        <v>0</v>
      </c>
      <c r="I33" t="s">
        <v>540</v>
      </c>
      <c r="J33" t="s">
        <v>472</v>
      </c>
      <c r="K33">
        <v>0</v>
      </c>
      <c r="L33" t="s">
        <v>543</v>
      </c>
      <c r="M33">
        <v>537</v>
      </c>
      <c r="N33" t="s">
        <v>487</v>
      </c>
      <c r="O33" t="s">
        <v>149</v>
      </c>
    </row>
    <row r="34" spans="1:17">
      <c r="A34" t="s">
        <v>467</v>
      </c>
      <c r="B34">
        <v>5</v>
      </c>
      <c r="C34" t="s">
        <v>475</v>
      </c>
      <c r="D34" t="s">
        <v>157</v>
      </c>
      <c r="E34">
        <v>537</v>
      </c>
      <c r="F34" t="s">
        <v>469</v>
      </c>
      <c r="G34" t="s">
        <v>544</v>
      </c>
      <c r="H34">
        <v>0</v>
      </c>
      <c r="I34" t="s">
        <v>540</v>
      </c>
      <c r="J34" t="s">
        <v>472</v>
      </c>
      <c r="K34">
        <v>0</v>
      </c>
      <c r="L34" t="s">
        <v>545</v>
      </c>
      <c r="M34">
        <v>537</v>
      </c>
      <c r="N34" t="s">
        <v>487</v>
      </c>
      <c r="O34" t="s">
        <v>149</v>
      </c>
    </row>
    <row r="35" spans="1:17">
      <c r="A35" t="s">
        <v>467</v>
      </c>
      <c r="B35">
        <v>5</v>
      </c>
      <c r="C35" t="s">
        <v>546</v>
      </c>
      <c r="D35" t="s">
        <v>157</v>
      </c>
      <c r="E35">
        <v>537</v>
      </c>
      <c r="F35" t="s">
        <v>469</v>
      </c>
      <c r="G35" t="s">
        <v>470</v>
      </c>
      <c r="H35">
        <v>0</v>
      </c>
      <c r="I35" t="s">
        <v>471</v>
      </c>
      <c r="J35" t="s">
        <v>472</v>
      </c>
      <c r="K35">
        <v>0</v>
      </c>
      <c r="L35" t="s">
        <v>547</v>
      </c>
      <c r="M35">
        <v>537</v>
      </c>
      <c r="N35" t="s">
        <v>474</v>
      </c>
      <c r="O35" t="s">
        <v>253</v>
      </c>
      <c r="P35" s="26">
        <v>45119</v>
      </c>
    </row>
    <row r="36" spans="1:17">
      <c r="A36" t="s">
        <v>467</v>
      </c>
      <c r="B36">
        <v>5</v>
      </c>
      <c r="C36" t="s">
        <v>546</v>
      </c>
      <c r="D36" t="s">
        <v>157</v>
      </c>
      <c r="E36">
        <v>537</v>
      </c>
      <c r="F36" t="s">
        <v>469</v>
      </c>
      <c r="G36" t="s">
        <v>477</v>
      </c>
      <c r="H36">
        <v>0</v>
      </c>
      <c r="I36" t="s">
        <v>478</v>
      </c>
      <c r="J36" t="s">
        <v>472</v>
      </c>
      <c r="K36">
        <v>0</v>
      </c>
      <c r="L36" t="s">
        <v>548</v>
      </c>
      <c r="M36">
        <v>537</v>
      </c>
      <c r="N36" t="s">
        <v>474</v>
      </c>
      <c r="O36" t="s">
        <v>253</v>
      </c>
      <c r="P36" s="26">
        <v>45134</v>
      </c>
    </row>
    <row r="37" spans="1:17">
      <c r="A37" t="s">
        <v>467</v>
      </c>
      <c r="B37">
        <v>5</v>
      </c>
      <c r="C37" t="s">
        <v>546</v>
      </c>
      <c r="D37" t="s">
        <v>157</v>
      </c>
      <c r="E37">
        <v>537</v>
      </c>
      <c r="F37" t="s">
        <v>469</v>
      </c>
      <c r="G37" t="s">
        <v>479</v>
      </c>
      <c r="H37">
        <v>0</v>
      </c>
      <c r="I37" t="s">
        <v>480</v>
      </c>
      <c r="J37" t="s">
        <v>472</v>
      </c>
      <c r="K37">
        <v>0</v>
      </c>
      <c r="L37" t="s">
        <v>549</v>
      </c>
      <c r="M37">
        <v>537</v>
      </c>
      <c r="N37" t="s">
        <v>474</v>
      </c>
      <c r="O37" t="s">
        <v>253</v>
      </c>
      <c r="P37" s="26">
        <v>45141</v>
      </c>
    </row>
    <row r="38" spans="1:17">
      <c r="A38" t="s">
        <v>467</v>
      </c>
      <c r="B38">
        <v>5</v>
      </c>
      <c r="C38" t="s">
        <v>546</v>
      </c>
      <c r="D38" t="s">
        <v>157</v>
      </c>
      <c r="E38">
        <v>537</v>
      </c>
      <c r="F38" t="s">
        <v>469</v>
      </c>
      <c r="G38" t="s">
        <v>481</v>
      </c>
      <c r="H38">
        <v>0</v>
      </c>
      <c r="I38" t="s">
        <v>482</v>
      </c>
      <c r="J38" t="s">
        <v>472</v>
      </c>
      <c r="K38">
        <v>0</v>
      </c>
      <c r="L38" t="s">
        <v>520</v>
      </c>
      <c r="M38">
        <v>537</v>
      </c>
      <c r="N38" t="s">
        <v>474</v>
      </c>
      <c r="O38" t="s">
        <v>253</v>
      </c>
      <c r="P38" s="26">
        <v>45148</v>
      </c>
    </row>
    <row r="39" spans="1:17">
      <c r="A39" t="s">
        <v>467</v>
      </c>
      <c r="B39">
        <v>5</v>
      </c>
      <c r="C39" t="s">
        <v>546</v>
      </c>
      <c r="D39" t="s">
        <v>157</v>
      </c>
      <c r="E39">
        <v>537</v>
      </c>
      <c r="F39" t="s">
        <v>469</v>
      </c>
      <c r="G39" t="s">
        <v>484</v>
      </c>
      <c r="H39">
        <v>0</v>
      </c>
      <c r="I39" t="s">
        <v>485</v>
      </c>
      <c r="J39" t="s">
        <v>472</v>
      </c>
      <c r="K39">
        <v>0</v>
      </c>
      <c r="L39" t="s">
        <v>550</v>
      </c>
      <c r="M39">
        <v>537</v>
      </c>
      <c r="N39" t="s">
        <v>487</v>
      </c>
      <c r="O39" t="s">
        <v>149</v>
      </c>
    </row>
    <row r="40" spans="1:17">
      <c r="A40" t="s">
        <v>467</v>
      </c>
      <c r="B40">
        <v>5</v>
      </c>
      <c r="C40" t="s">
        <v>546</v>
      </c>
      <c r="D40" t="s">
        <v>157</v>
      </c>
      <c r="E40">
        <v>537</v>
      </c>
      <c r="F40" t="s">
        <v>469</v>
      </c>
      <c r="G40" t="s">
        <v>488</v>
      </c>
      <c r="H40">
        <v>0</v>
      </c>
      <c r="I40" t="s">
        <v>489</v>
      </c>
      <c r="J40" t="s">
        <v>472</v>
      </c>
      <c r="K40">
        <v>0</v>
      </c>
      <c r="L40" t="s">
        <v>520</v>
      </c>
      <c r="M40">
        <v>537</v>
      </c>
      <c r="N40" t="s">
        <v>474</v>
      </c>
      <c r="O40" t="s">
        <v>253</v>
      </c>
      <c r="P40" s="26">
        <v>45155</v>
      </c>
    </row>
    <row r="41" spans="1:17">
      <c r="A41" t="s">
        <v>467</v>
      </c>
      <c r="B41">
        <v>5</v>
      </c>
      <c r="C41" t="s">
        <v>546</v>
      </c>
      <c r="D41" t="s">
        <v>157</v>
      </c>
      <c r="E41">
        <v>537</v>
      </c>
      <c r="F41" t="s">
        <v>469</v>
      </c>
      <c r="G41" t="s">
        <v>490</v>
      </c>
      <c r="H41">
        <v>0</v>
      </c>
      <c r="I41" t="s">
        <v>491</v>
      </c>
      <c r="J41" t="s">
        <v>472</v>
      </c>
      <c r="K41">
        <v>0</v>
      </c>
      <c r="L41" t="s">
        <v>520</v>
      </c>
      <c r="M41">
        <v>537</v>
      </c>
      <c r="N41" t="s">
        <v>551</v>
      </c>
      <c r="O41" t="s">
        <v>146</v>
      </c>
      <c r="Q41" t="s">
        <v>552</v>
      </c>
    </row>
    <row r="42" spans="1:17">
      <c r="A42" t="s">
        <v>467</v>
      </c>
      <c r="B42">
        <v>5</v>
      </c>
      <c r="C42" t="s">
        <v>546</v>
      </c>
      <c r="D42" t="s">
        <v>157</v>
      </c>
      <c r="E42">
        <v>537</v>
      </c>
      <c r="F42" t="s">
        <v>469</v>
      </c>
      <c r="G42" t="s">
        <v>492</v>
      </c>
      <c r="H42">
        <v>0</v>
      </c>
      <c r="I42" t="s">
        <v>493</v>
      </c>
      <c r="J42" t="s">
        <v>472</v>
      </c>
      <c r="K42">
        <v>0</v>
      </c>
      <c r="L42" t="s">
        <v>520</v>
      </c>
      <c r="M42">
        <v>537</v>
      </c>
      <c r="N42" t="s">
        <v>551</v>
      </c>
      <c r="O42" t="s">
        <v>146</v>
      </c>
      <c r="Q42" t="s">
        <v>552</v>
      </c>
    </row>
    <row r="43" spans="1:17">
      <c r="A43" t="s">
        <v>467</v>
      </c>
      <c r="B43">
        <v>5</v>
      </c>
      <c r="C43" t="s">
        <v>546</v>
      </c>
      <c r="D43" t="s">
        <v>157</v>
      </c>
      <c r="E43">
        <v>537</v>
      </c>
      <c r="F43" t="s">
        <v>469</v>
      </c>
      <c r="G43" t="s">
        <v>495</v>
      </c>
      <c r="H43">
        <v>0</v>
      </c>
      <c r="I43" t="s">
        <v>496</v>
      </c>
      <c r="J43" t="s">
        <v>472</v>
      </c>
      <c r="K43">
        <v>0</v>
      </c>
      <c r="L43" t="s">
        <v>520</v>
      </c>
      <c r="M43">
        <v>537</v>
      </c>
      <c r="N43" t="s">
        <v>551</v>
      </c>
      <c r="O43" t="s">
        <v>146</v>
      </c>
      <c r="Q43" t="s">
        <v>552</v>
      </c>
    </row>
    <row r="44" spans="1:17">
      <c r="A44" t="s">
        <v>467</v>
      </c>
      <c r="B44">
        <v>5</v>
      </c>
      <c r="C44" t="s">
        <v>546</v>
      </c>
      <c r="D44" t="s">
        <v>157</v>
      </c>
      <c r="E44">
        <v>537</v>
      </c>
      <c r="F44" t="s">
        <v>469</v>
      </c>
      <c r="G44" t="s">
        <v>553</v>
      </c>
      <c r="H44">
        <v>0</v>
      </c>
      <c r="I44" t="s">
        <v>554</v>
      </c>
      <c r="J44" t="s">
        <v>472</v>
      </c>
      <c r="K44">
        <v>0</v>
      </c>
      <c r="L44" t="s">
        <v>520</v>
      </c>
      <c r="M44">
        <v>537</v>
      </c>
      <c r="N44" t="s">
        <v>474</v>
      </c>
      <c r="O44" t="s">
        <v>253</v>
      </c>
      <c r="P44" s="26">
        <v>45162</v>
      </c>
    </row>
    <row r="45" spans="1:17">
      <c r="A45" t="s">
        <v>467</v>
      </c>
      <c r="B45">
        <v>5</v>
      </c>
      <c r="C45" t="s">
        <v>546</v>
      </c>
      <c r="D45" t="s">
        <v>157</v>
      </c>
      <c r="E45">
        <v>537</v>
      </c>
      <c r="F45" t="s">
        <v>469</v>
      </c>
      <c r="G45" t="s">
        <v>555</v>
      </c>
      <c r="H45">
        <v>0</v>
      </c>
      <c r="I45" t="s">
        <v>556</v>
      </c>
      <c r="J45" t="s">
        <v>472</v>
      </c>
      <c r="K45">
        <v>0</v>
      </c>
      <c r="L45" t="s">
        <v>520</v>
      </c>
      <c r="M45">
        <v>537</v>
      </c>
      <c r="N45" t="s">
        <v>551</v>
      </c>
      <c r="O45" t="s">
        <v>146</v>
      </c>
      <c r="Q45" t="s">
        <v>557</v>
      </c>
    </row>
    <row r="46" spans="1:17">
      <c r="A46" t="s">
        <v>467</v>
      </c>
      <c r="B46">
        <v>5</v>
      </c>
      <c r="C46" t="s">
        <v>558</v>
      </c>
      <c r="D46" t="s">
        <v>157</v>
      </c>
      <c r="E46">
        <v>537</v>
      </c>
      <c r="F46" t="s">
        <v>469</v>
      </c>
      <c r="G46" t="s">
        <v>470</v>
      </c>
      <c r="H46">
        <v>0</v>
      </c>
      <c r="I46" t="s">
        <v>471</v>
      </c>
      <c r="J46" t="s">
        <v>472</v>
      </c>
      <c r="K46">
        <v>0</v>
      </c>
      <c r="L46" t="s">
        <v>559</v>
      </c>
      <c r="M46">
        <v>537</v>
      </c>
      <c r="N46" t="s">
        <v>474</v>
      </c>
      <c r="O46" t="s">
        <v>253</v>
      </c>
      <c r="P46" s="26">
        <v>45176</v>
      </c>
    </row>
    <row r="47" spans="1:17">
      <c r="A47" t="s">
        <v>467</v>
      </c>
      <c r="B47">
        <v>5</v>
      </c>
      <c r="C47" t="s">
        <v>560</v>
      </c>
      <c r="D47" t="s">
        <v>157</v>
      </c>
      <c r="E47">
        <v>537</v>
      </c>
      <c r="F47" t="s">
        <v>469</v>
      </c>
      <c r="G47" t="s">
        <v>470</v>
      </c>
      <c r="H47">
        <v>0</v>
      </c>
      <c r="I47" t="s">
        <v>471</v>
      </c>
      <c r="J47" t="s">
        <v>472</v>
      </c>
      <c r="K47">
        <v>0</v>
      </c>
      <c r="L47" t="s">
        <v>561</v>
      </c>
      <c r="M47">
        <v>537</v>
      </c>
      <c r="N47" t="s">
        <v>474</v>
      </c>
      <c r="O47" t="s">
        <v>253</v>
      </c>
      <c r="P47" s="26">
        <v>45189</v>
      </c>
    </row>
    <row r="48" spans="1:17">
      <c r="A48" t="s">
        <v>467</v>
      </c>
      <c r="B48">
        <v>5</v>
      </c>
      <c r="C48" t="s">
        <v>562</v>
      </c>
      <c r="D48" t="s">
        <v>157</v>
      </c>
      <c r="E48">
        <v>537</v>
      </c>
      <c r="F48" t="s">
        <v>469</v>
      </c>
      <c r="G48" t="s">
        <v>470</v>
      </c>
      <c r="H48">
        <v>0</v>
      </c>
      <c r="I48" t="s">
        <v>471</v>
      </c>
      <c r="J48" t="s">
        <v>472</v>
      </c>
      <c r="K48">
        <v>0</v>
      </c>
      <c r="L48" t="s">
        <v>563</v>
      </c>
      <c r="M48">
        <v>537</v>
      </c>
      <c r="N48" t="s">
        <v>474</v>
      </c>
      <c r="O48" t="s">
        <v>253</v>
      </c>
      <c r="P48" s="26">
        <v>45194</v>
      </c>
    </row>
    <row r="49" spans="1:16">
      <c r="A49" t="s">
        <v>467</v>
      </c>
      <c r="B49">
        <v>5</v>
      </c>
      <c r="C49" t="s">
        <v>564</v>
      </c>
      <c r="D49" t="s">
        <v>157</v>
      </c>
      <c r="E49">
        <v>537</v>
      </c>
      <c r="F49" t="s">
        <v>469</v>
      </c>
      <c r="G49" t="s">
        <v>470</v>
      </c>
      <c r="H49">
        <v>0</v>
      </c>
      <c r="I49" t="s">
        <v>471</v>
      </c>
      <c r="J49" t="s">
        <v>472</v>
      </c>
      <c r="K49">
        <v>0</v>
      </c>
      <c r="L49" t="s">
        <v>565</v>
      </c>
      <c r="M49">
        <v>537</v>
      </c>
      <c r="N49" t="s">
        <v>474</v>
      </c>
      <c r="O49" t="s">
        <v>253</v>
      </c>
      <c r="P49" s="26">
        <v>45196</v>
      </c>
    </row>
    <row r="50" spans="1:16">
      <c r="A50" t="s">
        <v>467</v>
      </c>
      <c r="B50">
        <v>5</v>
      </c>
      <c r="C50" t="s">
        <v>564</v>
      </c>
      <c r="D50" t="s">
        <v>157</v>
      </c>
      <c r="E50">
        <v>537</v>
      </c>
      <c r="F50" t="s">
        <v>469</v>
      </c>
      <c r="G50" t="s">
        <v>477</v>
      </c>
      <c r="H50">
        <v>0</v>
      </c>
      <c r="I50" t="s">
        <v>478</v>
      </c>
      <c r="J50" t="s">
        <v>472</v>
      </c>
      <c r="K50">
        <v>0</v>
      </c>
      <c r="L50" t="s">
        <v>520</v>
      </c>
      <c r="M50">
        <v>537</v>
      </c>
      <c r="N50" t="s">
        <v>474</v>
      </c>
      <c r="O50" t="s">
        <v>253</v>
      </c>
      <c r="P50" s="26">
        <v>45211</v>
      </c>
    </row>
    <row r="51" spans="1:16">
      <c r="A51" t="s">
        <v>467</v>
      </c>
      <c r="B51">
        <v>5</v>
      </c>
      <c r="C51" t="s">
        <v>564</v>
      </c>
      <c r="D51" t="s">
        <v>157</v>
      </c>
      <c r="E51">
        <v>537</v>
      </c>
      <c r="F51" t="s">
        <v>469</v>
      </c>
      <c r="G51" t="s">
        <v>479</v>
      </c>
      <c r="H51">
        <v>0</v>
      </c>
      <c r="I51" t="s">
        <v>480</v>
      </c>
      <c r="J51" t="s">
        <v>472</v>
      </c>
      <c r="K51">
        <v>0</v>
      </c>
      <c r="L51" t="s">
        <v>520</v>
      </c>
      <c r="M51">
        <v>537</v>
      </c>
      <c r="N51" t="s">
        <v>474</v>
      </c>
      <c r="O51" t="s">
        <v>253</v>
      </c>
      <c r="P51" s="26">
        <v>45218</v>
      </c>
    </row>
    <row r="52" spans="1:16">
      <c r="A52" t="s">
        <v>467</v>
      </c>
      <c r="B52">
        <v>5</v>
      </c>
      <c r="C52" t="s">
        <v>566</v>
      </c>
      <c r="D52" t="s">
        <v>143</v>
      </c>
      <c r="E52">
        <v>540</v>
      </c>
      <c r="F52" t="s">
        <v>469</v>
      </c>
      <c r="G52" t="s">
        <v>470</v>
      </c>
      <c r="H52">
        <v>0</v>
      </c>
      <c r="I52" t="s">
        <v>471</v>
      </c>
      <c r="J52" t="s">
        <v>472</v>
      </c>
      <c r="K52">
        <v>0</v>
      </c>
      <c r="L52" t="s">
        <v>476</v>
      </c>
      <c r="M52">
        <v>540</v>
      </c>
      <c r="N52" t="s">
        <v>474</v>
      </c>
      <c r="O52" t="s">
        <v>253</v>
      </c>
      <c r="P52" s="26">
        <v>44963</v>
      </c>
    </row>
    <row r="53" spans="1:16">
      <c r="A53" t="s">
        <v>467</v>
      </c>
      <c r="B53">
        <v>5</v>
      </c>
      <c r="C53" t="s">
        <v>566</v>
      </c>
      <c r="D53" t="s">
        <v>143</v>
      </c>
      <c r="E53">
        <v>540</v>
      </c>
      <c r="F53" t="s">
        <v>469</v>
      </c>
      <c r="G53" t="s">
        <v>477</v>
      </c>
      <c r="H53">
        <v>0</v>
      </c>
      <c r="I53" t="s">
        <v>478</v>
      </c>
      <c r="J53" t="s">
        <v>472</v>
      </c>
      <c r="K53">
        <v>0</v>
      </c>
      <c r="L53" t="s">
        <v>476</v>
      </c>
      <c r="M53">
        <v>540</v>
      </c>
      <c r="N53" t="s">
        <v>474</v>
      </c>
      <c r="O53" t="s">
        <v>253</v>
      </c>
      <c r="P53" s="26">
        <v>44980</v>
      </c>
    </row>
    <row r="54" spans="1:16">
      <c r="A54" t="s">
        <v>467</v>
      </c>
      <c r="B54">
        <v>5</v>
      </c>
      <c r="C54" t="s">
        <v>566</v>
      </c>
      <c r="D54" t="s">
        <v>143</v>
      </c>
      <c r="E54">
        <v>540</v>
      </c>
      <c r="F54" t="s">
        <v>469</v>
      </c>
      <c r="G54" t="s">
        <v>479</v>
      </c>
      <c r="H54">
        <v>0</v>
      </c>
      <c r="I54" t="s">
        <v>480</v>
      </c>
      <c r="J54" t="s">
        <v>472</v>
      </c>
      <c r="K54">
        <v>0</v>
      </c>
      <c r="L54" t="s">
        <v>476</v>
      </c>
      <c r="M54">
        <v>540</v>
      </c>
      <c r="N54" t="s">
        <v>474</v>
      </c>
      <c r="O54" t="s">
        <v>253</v>
      </c>
      <c r="P54" s="26">
        <v>44987</v>
      </c>
    </row>
    <row r="55" spans="1:16">
      <c r="A55" t="s">
        <v>467</v>
      </c>
      <c r="B55">
        <v>5</v>
      </c>
      <c r="C55" t="s">
        <v>566</v>
      </c>
      <c r="D55" t="s">
        <v>143</v>
      </c>
      <c r="E55">
        <v>540</v>
      </c>
      <c r="F55" t="s">
        <v>469</v>
      </c>
      <c r="G55" t="s">
        <v>481</v>
      </c>
      <c r="H55">
        <v>0</v>
      </c>
      <c r="I55" t="s">
        <v>482</v>
      </c>
      <c r="J55" t="s">
        <v>472</v>
      </c>
      <c r="K55">
        <v>0</v>
      </c>
      <c r="L55" t="s">
        <v>476</v>
      </c>
      <c r="M55">
        <v>540</v>
      </c>
      <c r="N55" t="s">
        <v>474</v>
      </c>
      <c r="O55" t="s">
        <v>253</v>
      </c>
      <c r="P55" s="26">
        <v>44994</v>
      </c>
    </row>
    <row r="56" spans="1:16">
      <c r="A56" t="s">
        <v>467</v>
      </c>
      <c r="B56">
        <v>5</v>
      </c>
      <c r="C56" t="s">
        <v>566</v>
      </c>
      <c r="D56" t="s">
        <v>143</v>
      </c>
      <c r="E56">
        <v>540</v>
      </c>
      <c r="F56" t="s">
        <v>469</v>
      </c>
      <c r="G56" t="s">
        <v>484</v>
      </c>
      <c r="H56">
        <v>0</v>
      </c>
      <c r="I56" t="s">
        <v>485</v>
      </c>
      <c r="J56" t="s">
        <v>472</v>
      </c>
      <c r="K56">
        <v>0</v>
      </c>
      <c r="L56" t="s">
        <v>476</v>
      </c>
      <c r="M56">
        <v>540</v>
      </c>
      <c r="N56" t="s">
        <v>487</v>
      </c>
      <c r="O56" t="s">
        <v>149</v>
      </c>
    </row>
    <row r="57" spans="1:16">
      <c r="A57" t="s">
        <v>467</v>
      </c>
      <c r="B57">
        <v>5</v>
      </c>
      <c r="C57" t="s">
        <v>566</v>
      </c>
      <c r="D57" t="s">
        <v>143</v>
      </c>
      <c r="E57">
        <v>540</v>
      </c>
      <c r="F57" t="s">
        <v>469</v>
      </c>
      <c r="G57" t="s">
        <v>488</v>
      </c>
      <c r="H57">
        <v>0</v>
      </c>
      <c r="I57" t="s">
        <v>489</v>
      </c>
      <c r="J57" t="s">
        <v>472</v>
      </c>
      <c r="K57">
        <v>0</v>
      </c>
      <c r="L57" t="s">
        <v>476</v>
      </c>
      <c r="M57">
        <v>540</v>
      </c>
      <c r="N57" t="s">
        <v>474</v>
      </c>
      <c r="O57" t="s">
        <v>253</v>
      </c>
      <c r="P57" s="26">
        <v>45001</v>
      </c>
    </row>
    <row r="58" spans="1:16">
      <c r="A58" t="s">
        <v>467</v>
      </c>
      <c r="B58">
        <v>5</v>
      </c>
      <c r="C58" t="s">
        <v>566</v>
      </c>
      <c r="D58" t="s">
        <v>143</v>
      </c>
      <c r="E58">
        <v>540</v>
      </c>
      <c r="F58" t="s">
        <v>469</v>
      </c>
      <c r="G58" t="s">
        <v>490</v>
      </c>
      <c r="H58">
        <v>0</v>
      </c>
      <c r="I58" t="s">
        <v>491</v>
      </c>
      <c r="J58" t="s">
        <v>472</v>
      </c>
      <c r="K58">
        <v>0</v>
      </c>
      <c r="L58" t="s">
        <v>476</v>
      </c>
      <c r="M58">
        <v>540</v>
      </c>
      <c r="N58" t="s">
        <v>474</v>
      </c>
      <c r="O58" t="s">
        <v>253</v>
      </c>
      <c r="P58" s="26">
        <v>45008</v>
      </c>
    </row>
    <row r="59" spans="1:16">
      <c r="A59" t="s">
        <v>467</v>
      </c>
      <c r="B59">
        <v>5</v>
      </c>
      <c r="C59" t="s">
        <v>566</v>
      </c>
      <c r="D59" t="s">
        <v>143</v>
      </c>
      <c r="E59">
        <v>540</v>
      </c>
      <c r="F59" t="s">
        <v>469</v>
      </c>
      <c r="G59" t="s">
        <v>492</v>
      </c>
      <c r="H59">
        <v>0</v>
      </c>
      <c r="I59" t="s">
        <v>493</v>
      </c>
      <c r="J59" t="s">
        <v>472</v>
      </c>
      <c r="K59">
        <v>0</v>
      </c>
      <c r="L59" t="s">
        <v>476</v>
      </c>
      <c r="M59">
        <v>540</v>
      </c>
      <c r="N59" t="s">
        <v>474</v>
      </c>
      <c r="O59" t="s">
        <v>253</v>
      </c>
      <c r="P59" s="26">
        <v>45015</v>
      </c>
    </row>
    <row r="60" spans="1:16">
      <c r="A60" t="s">
        <v>467</v>
      </c>
      <c r="B60">
        <v>5</v>
      </c>
      <c r="C60" t="s">
        <v>566</v>
      </c>
      <c r="D60" t="s">
        <v>143</v>
      </c>
      <c r="E60">
        <v>540</v>
      </c>
      <c r="F60" t="s">
        <v>469</v>
      </c>
      <c r="G60" t="s">
        <v>495</v>
      </c>
      <c r="H60">
        <v>0</v>
      </c>
      <c r="I60" t="s">
        <v>496</v>
      </c>
      <c r="J60" t="s">
        <v>472</v>
      </c>
      <c r="K60">
        <v>0</v>
      </c>
      <c r="L60" t="s">
        <v>476</v>
      </c>
      <c r="M60">
        <v>540</v>
      </c>
      <c r="N60" t="s">
        <v>487</v>
      </c>
      <c r="O60" t="s">
        <v>149</v>
      </c>
    </row>
    <row r="61" spans="1:16">
      <c r="A61" t="s">
        <v>467</v>
      </c>
      <c r="B61">
        <v>5</v>
      </c>
      <c r="C61" t="s">
        <v>566</v>
      </c>
      <c r="D61" t="s">
        <v>143</v>
      </c>
      <c r="E61">
        <v>540</v>
      </c>
      <c r="F61" t="s">
        <v>469</v>
      </c>
      <c r="G61" t="s">
        <v>497</v>
      </c>
      <c r="H61">
        <v>0</v>
      </c>
      <c r="I61" t="s">
        <v>498</v>
      </c>
      <c r="J61" t="s">
        <v>472</v>
      </c>
      <c r="K61">
        <v>0</v>
      </c>
      <c r="L61" t="s">
        <v>567</v>
      </c>
      <c r="M61">
        <v>540</v>
      </c>
      <c r="N61" t="s">
        <v>474</v>
      </c>
      <c r="O61" t="s">
        <v>253</v>
      </c>
      <c r="P61" s="26">
        <v>45022</v>
      </c>
    </row>
    <row r="62" spans="1:16">
      <c r="A62" t="s">
        <v>467</v>
      </c>
      <c r="B62">
        <v>5</v>
      </c>
      <c r="C62" t="s">
        <v>566</v>
      </c>
      <c r="D62" t="s">
        <v>143</v>
      </c>
      <c r="E62">
        <v>540</v>
      </c>
      <c r="F62" t="s">
        <v>469</v>
      </c>
      <c r="G62" t="s">
        <v>499</v>
      </c>
      <c r="H62">
        <v>0</v>
      </c>
      <c r="I62" t="s">
        <v>500</v>
      </c>
      <c r="J62" t="s">
        <v>472</v>
      </c>
      <c r="K62">
        <v>0</v>
      </c>
      <c r="L62" t="s">
        <v>567</v>
      </c>
      <c r="M62">
        <v>540</v>
      </c>
      <c r="N62" t="s">
        <v>474</v>
      </c>
      <c r="O62" t="s">
        <v>253</v>
      </c>
      <c r="P62" s="26">
        <v>45029</v>
      </c>
    </row>
    <row r="63" spans="1:16">
      <c r="A63" t="s">
        <v>467</v>
      </c>
      <c r="B63">
        <v>5</v>
      </c>
      <c r="C63" t="s">
        <v>566</v>
      </c>
      <c r="D63" t="s">
        <v>143</v>
      </c>
      <c r="E63">
        <v>540</v>
      </c>
      <c r="F63" t="s">
        <v>469</v>
      </c>
      <c r="G63" t="s">
        <v>501</v>
      </c>
      <c r="H63">
        <v>0</v>
      </c>
      <c r="I63" t="s">
        <v>502</v>
      </c>
      <c r="J63" t="s">
        <v>472</v>
      </c>
      <c r="K63">
        <v>0</v>
      </c>
      <c r="L63" t="s">
        <v>568</v>
      </c>
      <c r="M63">
        <v>540</v>
      </c>
      <c r="N63" t="s">
        <v>474</v>
      </c>
      <c r="O63" t="s">
        <v>253</v>
      </c>
      <c r="P63" s="26">
        <v>45036</v>
      </c>
    </row>
    <row r="64" spans="1:16">
      <c r="A64" t="s">
        <v>467</v>
      </c>
      <c r="B64">
        <v>5</v>
      </c>
      <c r="C64" t="s">
        <v>566</v>
      </c>
      <c r="D64" t="s">
        <v>143</v>
      </c>
      <c r="E64">
        <v>540</v>
      </c>
      <c r="F64" t="s">
        <v>469</v>
      </c>
      <c r="G64" t="s">
        <v>503</v>
      </c>
      <c r="H64">
        <v>0</v>
      </c>
      <c r="I64" t="s">
        <v>504</v>
      </c>
      <c r="J64" t="s">
        <v>472</v>
      </c>
      <c r="K64">
        <v>0</v>
      </c>
      <c r="L64" t="s">
        <v>568</v>
      </c>
      <c r="M64">
        <v>540</v>
      </c>
      <c r="N64" t="s">
        <v>487</v>
      </c>
      <c r="O64" t="s">
        <v>149</v>
      </c>
    </row>
    <row r="65" spans="1:16">
      <c r="A65" t="s">
        <v>467</v>
      </c>
      <c r="B65">
        <v>5</v>
      </c>
      <c r="C65" t="s">
        <v>566</v>
      </c>
      <c r="D65" t="s">
        <v>143</v>
      </c>
      <c r="E65">
        <v>540</v>
      </c>
      <c r="F65" t="s">
        <v>469</v>
      </c>
      <c r="G65" t="s">
        <v>505</v>
      </c>
      <c r="H65">
        <v>0</v>
      </c>
      <c r="I65" t="s">
        <v>506</v>
      </c>
      <c r="J65" t="s">
        <v>472</v>
      </c>
      <c r="K65">
        <v>0</v>
      </c>
      <c r="L65" t="s">
        <v>568</v>
      </c>
      <c r="M65">
        <v>540</v>
      </c>
      <c r="N65" t="s">
        <v>474</v>
      </c>
      <c r="O65" t="s">
        <v>253</v>
      </c>
      <c r="P65" s="26">
        <v>45043</v>
      </c>
    </row>
    <row r="66" spans="1:16">
      <c r="A66" t="s">
        <v>467</v>
      </c>
      <c r="B66">
        <v>5</v>
      </c>
      <c r="C66" t="s">
        <v>566</v>
      </c>
      <c r="D66" t="s">
        <v>143</v>
      </c>
      <c r="E66">
        <v>540</v>
      </c>
      <c r="F66" t="s">
        <v>469</v>
      </c>
      <c r="G66" t="s">
        <v>507</v>
      </c>
      <c r="H66">
        <v>0</v>
      </c>
      <c r="I66" t="s">
        <v>508</v>
      </c>
      <c r="J66" t="s">
        <v>472</v>
      </c>
      <c r="K66">
        <v>0</v>
      </c>
      <c r="L66" t="s">
        <v>568</v>
      </c>
      <c r="M66">
        <v>540</v>
      </c>
      <c r="N66" t="s">
        <v>474</v>
      </c>
      <c r="O66" t="s">
        <v>253</v>
      </c>
      <c r="P66" s="26">
        <v>45050</v>
      </c>
    </row>
    <row r="67" spans="1:16">
      <c r="A67" t="s">
        <v>467</v>
      </c>
      <c r="B67">
        <v>5</v>
      </c>
      <c r="C67" t="s">
        <v>566</v>
      </c>
      <c r="D67" t="s">
        <v>143</v>
      </c>
      <c r="E67">
        <v>540</v>
      </c>
      <c r="F67" t="s">
        <v>469</v>
      </c>
      <c r="G67" t="s">
        <v>510</v>
      </c>
      <c r="H67">
        <v>0</v>
      </c>
      <c r="I67" t="s">
        <v>511</v>
      </c>
      <c r="J67" t="s">
        <v>472</v>
      </c>
      <c r="K67">
        <v>0</v>
      </c>
      <c r="L67" t="s">
        <v>568</v>
      </c>
      <c r="M67">
        <v>540</v>
      </c>
      <c r="N67" t="s">
        <v>474</v>
      </c>
      <c r="O67" t="s">
        <v>253</v>
      </c>
      <c r="P67" s="26">
        <v>45057</v>
      </c>
    </row>
    <row r="68" spans="1:16">
      <c r="A68" t="s">
        <v>467</v>
      </c>
      <c r="B68">
        <v>5</v>
      </c>
      <c r="C68" t="s">
        <v>566</v>
      </c>
      <c r="D68" t="s">
        <v>143</v>
      </c>
      <c r="E68">
        <v>540</v>
      </c>
      <c r="F68" t="s">
        <v>469</v>
      </c>
      <c r="G68" t="s">
        <v>513</v>
      </c>
      <c r="H68">
        <v>0</v>
      </c>
      <c r="I68" t="s">
        <v>514</v>
      </c>
      <c r="J68" t="s">
        <v>472</v>
      </c>
      <c r="K68">
        <v>0</v>
      </c>
      <c r="L68" t="s">
        <v>568</v>
      </c>
      <c r="M68">
        <v>540</v>
      </c>
      <c r="N68" t="s">
        <v>487</v>
      </c>
      <c r="O68" t="s">
        <v>149</v>
      </c>
    </row>
    <row r="69" spans="1:16">
      <c r="A69" t="s">
        <v>467</v>
      </c>
      <c r="B69">
        <v>5</v>
      </c>
      <c r="C69" t="s">
        <v>566</v>
      </c>
      <c r="D69" t="s">
        <v>143</v>
      </c>
      <c r="E69">
        <v>540</v>
      </c>
      <c r="F69" t="s">
        <v>469</v>
      </c>
      <c r="G69" t="s">
        <v>516</v>
      </c>
      <c r="H69">
        <v>0</v>
      </c>
      <c r="I69" t="s">
        <v>517</v>
      </c>
      <c r="J69" t="s">
        <v>472</v>
      </c>
      <c r="K69">
        <v>0</v>
      </c>
      <c r="L69" t="s">
        <v>567</v>
      </c>
      <c r="M69">
        <v>540</v>
      </c>
      <c r="N69" t="s">
        <v>474</v>
      </c>
      <c r="O69" t="s">
        <v>253</v>
      </c>
      <c r="P69" s="26">
        <v>45064</v>
      </c>
    </row>
    <row r="70" spans="1:16">
      <c r="A70" t="s">
        <v>467</v>
      </c>
      <c r="B70">
        <v>5</v>
      </c>
      <c r="C70" t="s">
        <v>566</v>
      </c>
      <c r="D70" t="s">
        <v>143</v>
      </c>
      <c r="E70">
        <v>540</v>
      </c>
      <c r="F70" t="s">
        <v>469</v>
      </c>
      <c r="G70" t="s">
        <v>523</v>
      </c>
      <c r="H70">
        <v>0</v>
      </c>
      <c r="I70" t="s">
        <v>517</v>
      </c>
      <c r="J70" t="s">
        <v>472</v>
      </c>
      <c r="K70">
        <v>0</v>
      </c>
      <c r="L70" t="s">
        <v>569</v>
      </c>
      <c r="M70">
        <v>540</v>
      </c>
      <c r="N70" t="s">
        <v>474</v>
      </c>
      <c r="O70" t="s">
        <v>253</v>
      </c>
      <c r="P70" s="26">
        <v>45127</v>
      </c>
    </row>
    <row r="71" spans="1:16">
      <c r="A71" t="s">
        <v>467</v>
      </c>
      <c r="B71">
        <v>5</v>
      </c>
      <c r="C71" t="s">
        <v>566</v>
      </c>
      <c r="D71" t="s">
        <v>143</v>
      </c>
      <c r="E71">
        <v>540</v>
      </c>
      <c r="F71" t="s">
        <v>469</v>
      </c>
      <c r="G71" t="s">
        <v>519</v>
      </c>
      <c r="H71">
        <v>0</v>
      </c>
      <c r="I71" t="s">
        <v>517</v>
      </c>
      <c r="J71" t="s">
        <v>472</v>
      </c>
      <c r="K71">
        <v>0</v>
      </c>
      <c r="L71" t="s">
        <v>567</v>
      </c>
      <c r="M71">
        <v>540</v>
      </c>
      <c r="N71" t="s">
        <v>474</v>
      </c>
      <c r="O71" t="s">
        <v>253</v>
      </c>
      <c r="P71" s="26">
        <v>45085</v>
      </c>
    </row>
    <row r="72" spans="1:16">
      <c r="A72" t="s">
        <v>467</v>
      </c>
      <c r="B72">
        <v>5</v>
      </c>
      <c r="C72" t="s">
        <v>566</v>
      </c>
      <c r="D72" t="s">
        <v>143</v>
      </c>
      <c r="E72">
        <v>540</v>
      </c>
      <c r="F72" t="s">
        <v>469</v>
      </c>
      <c r="G72" t="s">
        <v>521</v>
      </c>
      <c r="H72">
        <v>0</v>
      </c>
      <c r="I72" t="s">
        <v>517</v>
      </c>
      <c r="J72" t="s">
        <v>472</v>
      </c>
      <c r="K72">
        <v>0</v>
      </c>
      <c r="L72" t="s">
        <v>567</v>
      </c>
      <c r="M72">
        <v>540</v>
      </c>
      <c r="N72" t="s">
        <v>474</v>
      </c>
      <c r="O72" t="s">
        <v>253</v>
      </c>
      <c r="P72" s="26">
        <v>45106</v>
      </c>
    </row>
    <row r="73" spans="1:16">
      <c r="A73" t="s">
        <v>467</v>
      </c>
      <c r="B73">
        <v>5</v>
      </c>
      <c r="C73" t="s">
        <v>566</v>
      </c>
      <c r="D73" t="s">
        <v>143</v>
      </c>
      <c r="E73">
        <v>540</v>
      </c>
      <c r="F73" t="s">
        <v>469</v>
      </c>
      <c r="G73" t="s">
        <v>570</v>
      </c>
      <c r="H73">
        <v>0</v>
      </c>
      <c r="I73" t="s">
        <v>517</v>
      </c>
      <c r="J73" t="s">
        <v>472</v>
      </c>
      <c r="K73">
        <v>0</v>
      </c>
      <c r="L73" t="s">
        <v>571</v>
      </c>
      <c r="M73">
        <v>540</v>
      </c>
      <c r="N73" t="s">
        <v>474</v>
      </c>
      <c r="O73" t="s">
        <v>253</v>
      </c>
      <c r="P73" s="26">
        <v>45148</v>
      </c>
    </row>
    <row r="74" spans="1:16">
      <c r="A74" t="s">
        <v>467</v>
      </c>
      <c r="B74">
        <v>5</v>
      </c>
      <c r="C74" t="s">
        <v>566</v>
      </c>
      <c r="D74" t="s">
        <v>143</v>
      </c>
      <c r="E74">
        <v>540</v>
      </c>
      <c r="F74" t="s">
        <v>469</v>
      </c>
      <c r="G74" t="s">
        <v>524</v>
      </c>
      <c r="H74">
        <v>0</v>
      </c>
      <c r="I74" t="s">
        <v>525</v>
      </c>
      <c r="J74" t="s">
        <v>472</v>
      </c>
      <c r="K74">
        <v>0</v>
      </c>
      <c r="L74" t="s">
        <v>572</v>
      </c>
      <c r="M74">
        <v>540</v>
      </c>
      <c r="N74" t="s">
        <v>474</v>
      </c>
      <c r="O74" t="s">
        <v>253</v>
      </c>
      <c r="P74" s="26">
        <v>45134</v>
      </c>
    </row>
    <row r="75" spans="1:16">
      <c r="A75" t="s">
        <v>467</v>
      </c>
      <c r="B75">
        <v>5</v>
      </c>
      <c r="C75" t="s">
        <v>566</v>
      </c>
      <c r="D75" t="s">
        <v>143</v>
      </c>
      <c r="E75">
        <v>540</v>
      </c>
      <c r="F75" t="s">
        <v>469</v>
      </c>
      <c r="G75" t="s">
        <v>573</v>
      </c>
      <c r="H75">
        <v>0</v>
      </c>
      <c r="I75" t="s">
        <v>525</v>
      </c>
      <c r="J75" t="s">
        <v>472</v>
      </c>
      <c r="K75">
        <v>0</v>
      </c>
      <c r="L75" t="s">
        <v>574</v>
      </c>
      <c r="M75">
        <v>540</v>
      </c>
      <c r="N75" t="s">
        <v>474</v>
      </c>
      <c r="O75" t="s">
        <v>253</v>
      </c>
      <c r="P75" s="26">
        <v>45155</v>
      </c>
    </row>
    <row r="76" spans="1:16">
      <c r="A76" t="s">
        <v>467</v>
      </c>
      <c r="B76">
        <v>5</v>
      </c>
      <c r="C76" t="s">
        <v>566</v>
      </c>
      <c r="D76" t="s">
        <v>143</v>
      </c>
      <c r="E76">
        <v>540</v>
      </c>
      <c r="F76" t="s">
        <v>469</v>
      </c>
      <c r="G76" t="s">
        <v>526</v>
      </c>
      <c r="H76">
        <v>0</v>
      </c>
      <c r="I76" t="s">
        <v>525</v>
      </c>
      <c r="J76" t="s">
        <v>472</v>
      </c>
      <c r="K76">
        <v>0</v>
      </c>
      <c r="L76" t="s">
        <v>567</v>
      </c>
      <c r="M76">
        <v>540</v>
      </c>
      <c r="N76" t="s">
        <v>474</v>
      </c>
      <c r="O76" t="s">
        <v>253</v>
      </c>
      <c r="P76" s="26">
        <v>45113</v>
      </c>
    </row>
    <row r="77" spans="1:16">
      <c r="A77" t="s">
        <v>467</v>
      </c>
      <c r="B77">
        <v>5</v>
      </c>
      <c r="C77" t="s">
        <v>566</v>
      </c>
      <c r="D77" t="s">
        <v>143</v>
      </c>
      <c r="E77">
        <v>540</v>
      </c>
      <c r="F77" t="s">
        <v>469</v>
      </c>
      <c r="G77" t="s">
        <v>528</v>
      </c>
      <c r="H77">
        <v>0</v>
      </c>
      <c r="I77" t="s">
        <v>525</v>
      </c>
      <c r="J77" t="s">
        <v>472</v>
      </c>
      <c r="K77">
        <v>0</v>
      </c>
      <c r="L77" t="s">
        <v>567</v>
      </c>
      <c r="M77">
        <v>540</v>
      </c>
      <c r="N77" t="s">
        <v>474</v>
      </c>
      <c r="O77" t="s">
        <v>253</v>
      </c>
      <c r="P77" s="26">
        <v>45092</v>
      </c>
    </row>
    <row r="78" spans="1:16">
      <c r="A78" t="s">
        <v>467</v>
      </c>
      <c r="B78">
        <v>5</v>
      </c>
      <c r="C78" t="s">
        <v>566</v>
      </c>
      <c r="D78" t="s">
        <v>143</v>
      </c>
      <c r="E78">
        <v>540</v>
      </c>
      <c r="F78" t="s">
        <v>469</v>
      </c>
      <c r="G78" t="s">
        <v>530</v>
      </c>
      <c r="H78">
        <v>0</v>
      </c>
      <c r="I78" t="s">
        <v>525</v>
      </c>
      <c r="J78" t="s">
        <v>472</v>
      </c>
      <c r="K78">
        <v>0</v>
      </c>
      <c r="L78" t="s">
        <v>567</v>
      </c>
      <c r="M78">
        <v>540</v>
      </c>
      <c r="N78" t="s">
        <v>474</v>
      </c>
      <c r="O78" t="s">
        <v>253</v>
      </c>
      <c r="P78" s="26">
        <v>45071</v>
      </c>
    </row>
    <row r="79" spans="1:16">
      <c r="A79" t="s">
        <v>467</v>
      </c>
      <c r="B79">
        <v>5</v>
      </c>
      <c r="C79" t="s">
        <v>566</v>
      </c>
      <c r="D79" t="s">
        <v>143</v>
      </c>
      <c r="E79">
        <v>540</v>
      </c>
      <c r="F79" t="s">
        <v>469</v>
      </c>
      <c r="G79" t="s">
        <v>532</v>
      </c>
      <c r="H79">
        <v>0</v>
      </c>
      <c r="I79" t="s">
        <v>533</v>
      </c>
      <c r="J79" t="s">
        <v>472</v>
      </c>
      <c r="K79">
        <v>0</v>
      </c>
      <c r="L79" t="s">
        <v>567</v>
      </c>
      <c r="M79">
        <v>540</v>
      </c>
      <c r="N79" t="s">
        <v>474</v>
      </c>
      <c r="O79" t="s">
        <v>253</v>
      </c>
      <c r="P79" s="26">
        <v>45078</v>
      </c>
    </row>
    <row r="80" spans="1:16">
      <c r="A80" t="s">
        <v>467</v>
      </c>
      <c r="B80">
        <v>5</v>
      </c>
      <c r="C80" t="s">
        <v>566</v>
      </c>
      <c r="D80" t="s">
        <v>143</v>
      </c>
      <c r="E80">
        <v>540</v>
      </c>
      <c r="F80" t="s">
        <v>469</v>
      </c>
      <c r="G80" t="s">
        <v>538</v>
      </c>
      <c r="H80">
        <v>0</v>
      </c>
      <c r="I80" t="s">
        <v>533</v>
      </c>
      <c r="J80" t="s">
        <v>472</v>
      </c>
      <c r="K80">
        <v>0</v>
      </c>
      <c r="L80" t="s">
        <v>575</v>
      </c>
      <c r="M80">
        <v>540</v>
      </c>
      <c r="N80" t="s">
        <v>474</v>
      </c>
      <c r="O80" t="s">
        <v>253</v>
      </c>
      <c r="P80" s="26">
        <v>45141</v>
      </c>
    </row>
    <row r="81" spans="1:17">
      <c r="A81" t="s">
        <v>467</v>
      </c>
      <c r="B81">
        <v>5</v>
      </c>
      <c r="C81" t="s">
        <v>566</v>
      </c>
      <c r="D81" t="s">
        <v>143</v>
      </c>
      <c r="E81">
        <v>540</v>
      </c>
      <c r="F81" t="s">
        <v>469</v>
      </c>
      <c r="G81" t="s">
        <v>535</v>
      </c>
      <c r="H81">
        <v>0</v>
      </c>
      <c r="I81" t="s">
        <v>533</v>
      </c>
      <c r="J81" t="s">
        <v>472</v>
      </c>
      <c r="K81">
        <v>0</v>
      </c>
      <c r="L81" t="s">
        <v>576</v>
      </c>
      <c r="M81">
        <v>540</v>
      </c>
      <c r="N81" t="s">
        <v>474</v>
      </c>
      <c r="O81" t="s">
        <v>253</v>
      </c>
      <c r="P81" s="26">
        <v>45120</v>
      </c>
    </row>
    <row r="82" spans="1:17">
      <c r="A82" t="s">
        <v>467</v>
      </c>
      <c r="B82">
        <v>5</v>
      </c>
      <c r="C82" t="s">
        <v>566</v>
      </c>
      <c r="D82" t="s">
        <v>143</v>
      </c>
      <c r="E82">
        <v>540</v>
      </c>
      <c r="F82" t="s">
        <v>469</v>
      </c>
      <c r="G82" t="s">
        <v>536</v>
      </c>
      <c r="H82">
        <v>0</v>
      </c>
      <c r="I82" t="s">
        <v>533</v>
      </c>
      <c r="J82" t="s">
        <v>472</v>
      </c>
      <c r="K82">
        <v>0</v>
      </c>
      <c r="L82" t="s">
        <v>567</v>
      </c>
      <c r="M82">
        <v>540</v>
      </c>
      <c r="N82" t="s">
        <v>474</v>
      </c>
      <c r="O82" t="s">
        <v>253</v>
      </c>
      <c r="P82" s="26">
        <v>45099</v>
      </c>
    </row>
    <row r="83" spans="1:17">
      <c r="A83" t="s">
        <v>467</v>
      </c>
      <c r="B83">
        <v>5</v>
      </c>
      <c r="C83" t="s">
        <v>566</v>
      </c>
      <c r="D83" t="s">
        <v>143</v>
      </c>
      <c r="E83">
        <v>540</v>
      </c>
      <c r="F83" t="s">
        <v>469</v>
      </c>
      <c r="G83" t="s">
        <v>577</v>
      </c>
      <c r="H83">
        <v>0</v>
      </c>
      <c r="I83" t="s">
        <v>533</v>
      </c>
      <c r="J83" t="s">
        <v>472</v>
      </c>
      <c r="K83">
        <v>0</v>
      </c>
      <c r="L83" t="s">
        <v>578</v>
      </c>
      <c r="M83">
        <v>540</v>
      </c>
      <c r="N83" t="s">
        <v>474</v>
      </c>
      <c r="O83" t="s">
        <v>253</v>
      </c>
      <c r="P83" s="26">
        <v>45162</v>
      </c>
    </row>
    <row r="84" spans="1:17">
      <c r="A84" t="s">
        <v>467</v>
      </c>
      <c r="B84">
        <v>5</v>
      </c>
      <c r="C84" t="s">
        <v>566</v>
      </c>
      <c r="D84" t="s">
        <v>143</v>
      </c>
      <c r="E84">
        <v>540</v>
      </c>
      <c r="F84" t="s">
        <v>469</v>
      </c>
      <c r="G84" t="s">
        <v>579</v>
      </c>
      <c r="H84">
        <v>0</v>
      </c>
      <c r="I84" t="s">
        <v>540</v>
      </c>
      <c r="J84" t="s">
        <v>472</v>
      </c>
      <c r="K84">
        <v>0</v>
      </c>
      <c r="L84" t="s">
        <v>580</v>
      </c>
      <c r="M84">
        <v>540</v>
      </c>
      <c r="N84" t="s">
        <v>487</v>
      </c>
      <c r="O84" t="s">
        <v>149</v>
      </c>
    </row>
    <row r="85" spans="1:17">
      <c r="A85" t="s">
        <v>467</v>
      </c>
      <c r="B85">
        <v>5</v>
      </c>
      <c r="C85" t="s">
        <v>566</v>
      </c>
      <c r="D85" t="s">
        <v>143</v>
      </c>
      <c r="E85">
        <v>540</v>
      </c>
      <c r="F85" t="s">
        <v>469</v>
      </c>
      <c r="G85" t="s">
        <v>539</v>
      </c>
      <c r="H85">
        <v>0</v>
      </c>
      <c r="I85" t="s">
        <v>540</v>
      </c>
      <c r="J85" t="s">
        <v>472</v>
      </c>
      <c r="K85">
        <v>0</v>
      </c>
      <c r="L85" t="s">
        <v>567</v>
      </c>
      <c r="M85">
        <v>540</v>
      </c>
      <c r="N85" t="s">
        <v>487</v>
      </c>
      <c r="O85" t="s">
        <v>149</v>
      </c>
    </row>
    <row r="86" spans="1:17">
      <c r="A86" t="s">
        <v>467</v>
      </c>
      <c r="B86">
        <v>5</v>
      </c>
      <c r="C86" t="s">
        <v>566</v>
      </c>
      <c r="D86" t="s">
        <v>143</v>
      </c>
      <c r="E86">
        <v>540</v>
      </c>
      <c r="F86" t="s">
        <v>469</v>
      </c>
      <c r="G86" t="s">
        <v>542</v>
      </c>
      <c r="H86">
        <v>0</v>
      </c>
      <c r="I86" t="s">
        <v>540</v>
      </c>
      <c r="J86" t="s">
        <v>472</v>
      </c>
      <c r="K86">
        <v>0</v>
      </c>
      <c r="L86" t="s">
        <v>581</v>
      </c>
      <c r="M86">
        <v>540</v>
      </c>
      <c r="N86" t="s">
        <v>487</v>
      </c>
      <c r="O86" t="s">
        <v>149</v>
      </c>
    </row>
    <row r="87" spans="1:17">
      <c r="A87" t="s">
        <v>467</v>
      </c>
      <c r="B87">
        <v>5</v>
      </c>
      <c r="C87" t="s">
        <v>566</v>
      </c>
      <c r="D87" t="s">
        <v>143</v>
      </c>
      <c r="E87">
        <v>540</v>
      </c>
      <c r="F87" t="s">
        <v>469</v>
      </c>
      <c r="G87" t="s">
        <v>582</v>
      </c>
      <c r="H87">
        <v>0</v>
      </c>
      <c r="I87" t="s">
        <v>540</v>
      </c>
      <c r="J87" t="s">
        <v>472</v>
      </c>
      <c r="K87">
        <v>0</v>
      </c>
      <c r="L87" t="s">
        <v>583</v>
      </c>
      <c r="M87">
        <v>540</v>
      </c>
      <c r="N87" t="s">
        <v>487</v>
      </c>
      <c r="O87" t="s">
        <v>149</v>
      </c>
    </row>
    <row r="88" spans="1:17">
      <c r="A88" t="s">
        <v>467</v>
      </c>
      <c r="B88">
        <v>5</v>
      </c>
      <c r="C88" t="s">
        <v>566</v>
      </c>
      <c r="D88" t="s">
        <v>143</v>
      </c>
      <c r="E88">
        <v>540</v>
      </c>
      <c r="F88" t="s">
        <v>469</v>
      </c>
      <c r="G88" t="s">
        <v>544</v>
      </c>
      <c r="H88">
        <v>0</v>
      </c>
      <c r="I88" t="s">
        <v>540</v>
      </c>
      <c r="J88" t="s">
        <v>472</v>
      </c>
      <c r="K88">
        <v>0</v>
      </c>
      <c r="L88" t="s">
        <v>567</v>
      </c>
      <c r="M88">
        <v>540</v>
      </c>
      <c r="N88" t="s">
        <v>487</v>
      </c>
      <c r="O88" t="s">
        <v>149</v>
      </c>
    </row>
    <row r="89" spans="1:17">
      <c r="A89" t="s">
        <v>467</v>
      </c>
      <c r="B89">
        <v>5</v>
      </c>
      <c r="C89" t="s">
        <v>566</v>
      </c>
      <c r="D89" t="s">
        <v>143</v>
      </c>
      <c r="E89">
        <v>540</v>
      </c>
      <c r="F89" t="s">
        <v>469</v>
      </c>
      <c r="G89" t="s">
        <v>553</v>
      </c>
      <c r="H89">
        <v>0</v>
      </c>
      <c r="I89" t="s">
        <v>554</v>
      </c>
      <c r="J89" t="s">
        <v>472</v>
      </c>
      <c r="K89">
        <v>0</v>
      </c>
      <c r="L89" t="s">
        <v>584</v>
      </c>
      <c r="M89">
        <v>540</v>
      </c>
      <c r="N89" t="s">
        <v>474</v>
      </c>
      <c r="O89" t="s">
        <v>253</v>
      </c>
      <c r="P89" s="26">
        <v>45169</v>
      </c>
    </row>
    <row r="90" spans="1:17">
      <c r="A90" t="s">
        <v>467</v>
      </c>
      <c r="B90">
        <v>5</v>
      </c>
      <c r="C90" t="s">
        <v>566</v>
      </c>
      <c r="D90" t="s">
        <v>143</v>
      </c>
      <c r="E90">
        <v>540</v>
      </c>
      <c r="F90" t="s">
        <v>469</v>
      </c>
      <c r="G90" t="s">
        <v>555</v>
      </c>
      <c r="H90">
        <v>0</v>
      </c>
      <c r="I90" t="s">
        <v>556</v>
      </c>
      <c r="J90" t="s">
        <v>472</v>
      </c>
      <c r="K90">
        <v>0</v>
      </c>
      <c r="L90" t="s">
        <v>585</v>
      </c>
      <c r="M90">
        <v>540</v>
      </c>
      <c r="N90" t="s">
        <v>474</v>
      </c>
      <c r="O90" t="s">
        <v>253</v>
      </c>
      <c r="P90" s="26">
        <v>45180</v>
      </c>
    </row>
    <row r="91" spans="1:17">
      <c r="A91" t="s">
        <v>467</v>
      </c>
      <c r="B91">
        <v>5</v>
      </c>
      <c r="C91" t="s">
        <v>586</v>
      </c>
      <c r="D91" t="s">
        <v>143</v>
      </c>
      <c r="E91">
        <v>540</v>
      </c>
      <c r="F91" t="s">
        <v>469</v>
      </c>
      <c r="G91" t="s">
        <v>470</v>
      </c>
      <c r="H91">
        <v>0</v>
      </c>
      <c r="I91" t="s">
        <v>471</v>
      </c>
      <c r="J91" t="s">
        <v>472</v>
      </c>
      <c r="K91">
        <v>0</v>
      </c>
      <c r="L91" t="s">
        <v>476</v>
      </c>
      <c r="M91">
        <v>540</v>
      </c>
      <c r="N91" t="s">
        <v>474</v>
      </c>
      <c r="O91" t="s">
        <v>253</v>
      </c>
      <c r="P91" s="26">
        <v>45008</v>
      </c>
    </row>
    <row r="92" spans="1:17">
      <c r="A92" t="s">
        <v>467</v>
      </c>
      <c r="B92">
        <v>5</v>
      </c>
      <c r="C92" t="s">
        <v>586</v>
      </c>
      <c r="D92" t="s">
        <v>143</v>
      </c>
      <c r="E92">
        <v>540</v>
      </c>
      <c r="F92" t="s">
        <v>469</v>
      </c>
      <c r="G92" t="s">
        <v>477</v>
      </c>
      <c r="H92">
        <v>0</v>
      </c>
      <c r="I92" t="s">
        <v>478</v>
      </c>
      <c r="J92" t="s">
        <v>472</v>
      </c>
      <c r="K92">
        <v>0</v>
      </c>
      <c r="L92" t="s">
        <v>476</v>
      </c>
      <c r="M92">
        <v>540</v>
      </c>
      <c r="N92" t="s">
        <v>474</v>
      </c>
      <c r="O92" t="s">
        <v>253</v>
      </c>
      <c r="P92" s="26">
        <v>45015</v>
      </c>
    </row>
    <row r="93" spans="1:17">
      <c r="A93" t="s">
        <v>467</v>
      </c>
      <c r="B93">
        <v>5</v>
      </c>
      <c r="C93" t="s">
        <v>586</v>
      </c>
      <c r="D93" t="s">
        <v>143</v>
      </c>
      <c r="E93">
        <v>540</v>
      </c>
      <c r="F93" t="s">
        <v>469</v>
      </c>
      <c r="G93" t="s">
        <v>479</v>
      </c>
      <c r="H93">
        <v>0</v>
      </c>
      <c r="I93" t="s">
        <v>480</v>
      </c>
      <c r="J93" t="s">
        <v>472</v>
      </c>
      <c r="K93">
        <v>0</v>
      </c>
      <c r="L93" t="s">
        <v>476</v>
      </c>
      <c r="M93">
        <v>540</v>
      </c>
      <c r="N93" t="s">
        <v>551</v>
      </c>
      <c r="O93" t="s">
        <v>146</v>
      </c>
      <c r="Q93" t="s">
        <v>587</v>
      </c>
    </row>
    <row r="94" spans="1:17">
      <c r="A94" t="s">
        <v>467</v>
      </c>
      <c r="B94">
        <v>5</v>
      </c>
      <c r="C94" t="s">
        <v>586</v>
      </c>
      <c r="D94" t="s">
        <v>143</v>
      </c>
      <c r="E94">
        <v>540</v>
      </c>
      <c r="F94" t="s">
        <v>469</v>
      </c>
      <c r="G94" t="s">
        <v>481</v>
      </c>
      <c r="H94">
        <v>0</v>
      </c>
      <c r="I94" t="s">
        <v>482</v>
      </c>
      <c r="J94" t="s">
        <v>472</v>
      </c>
      <c r="K94">
        <v>0</v>
      </c>
      <c r="L94" t="s">
        <v>476</v>
      </c>
      <c r="M94">
        <v>540</v>
      </c>
      <c r="N94" t="s">
        <v>487</v>
      </c>
      <c r="O94" t="s">
        <v>149</v>
      </c>
    </row>
    <row r="95" spans="1:17">
      <c r="A95" t="s">
        <v>467</v>
      </c>
      <c r="B95">
        <v>5</v>
      </c>
      <c r="C95" t="s">
        <v>586</v>
      </c>
      <c r="D95" t="s">
        <v>143</v>
      </c>
      <c r="E95">
        <v>540</v>
      </c>
      <c r="F95" t="s">
        <v>469</v>
      </c>
      <c r="G95" t="s">
        <v>484</v>
      </c>
      <c r="H95">
        <v>0</v>
      </c>
      <c r="I95" t="s">
        <v>485</v>
      </c>
      <c r="J95" t="s">
        <v>472</v>
      </c>
      <c r="K95">
        <v>0</v>
      </c>
      <c r="L95" t="s">
        <v>476</v>
      </c>
      <c r="M95">
        <v>540</v>
      </c>
      <c r="N95" t="s">
        <v>487</v>
      </c>
      <c r="O95" t="s">
        <v>149</v>
      </c>
    </row>
    <row r="96" spans="1:17">
      <c r="A96" t="s">
        <v>467</v>
      </c>
      <c r="B96">
        <v>5</v>
      </c>
      <c r="C96" t="s">
        <v>586</v>
      </c>
      <c r="D96" t="s">
        <v>143</v>
      </c>
      <c r="E96">
        <v>540</v>
      </c>
      <c r="F96" t="s">
        <v>469</v>
      </c>
      <c r="G96" t="s">
        <v>553</v>
      </c>
      <c r="H96">
        <v>0</v>
      </c>
      <c r="I96" t="s">
        <v>554</v>
      </c>
      <c r="J96" t="s">
        <v>472</v>
      </c>
      <c r="K96">
        <v>0</v>
      </c>
      <c r="L96" t="s">
        <v>476</v>
      </c>
      <c r="M96">
        <v>540</v>
      </c>
      <c r="N96" t="s">
        <v>474</v>
      </c>
      <c r="O96" t="s">
        <v>253</v>
      </c>
      <c r="P96" s="26">
        <v>45027</v>
      </c>
    </row>
    <row r="97" spans="1:16">
      <c r="A97" t="s">
        <v>467</v>
      </c>
      <c r="B97">
        <v>5</v>
      </c>
      <c r="C97" t="s">
        <v>586</v>
      </c>
      <c r="D97" t="s">
        <v>143</v>
      </c>
      <c r="E97">
        <v>540</v>
      </c>
      <c r="F97" t="s">
        <v>469</v>
      </c>
      <c r="G97" t="s">
        <v>555</v>
      </c>
      <c r="H97">
        <v>0</v>
      </c>
      <c r="I97" t="s">
        <v>556</v>
      </c>
      <c r="J97" t="s">
        <v>472</v>
      </c>
      <c r="K97">
        <v>0</v>
      </c>
      <c r="L97" t="s">
        <v>588</v>
      </c>
      <c r="M97">
        <v>540</v>
      </c>
      <c r="N97" t="s">
        <v>474</v>
      </c>
      <c r="O97" t="s">
        <v>253</v>
      </c>
      <c r="P97" s="26">
        <v>45043</v>
      </c>
    </row>
    <row r="98" spans="1:16">
      <c r="A98" t="s">
        <v>467</v>
      </c>
      <c r="B98">
        <v>5</v>
      </c>
      <c r="C98" t="s">
        <v>589</v>
      </c>
      <c r="D98" t="s">
        <v>143</v>
      </c>
      <c r="E98">
        <v>540</v>
      </c>
      <c r="F98" t="s">
        <v>469</v>
      </c>
      <c r="G98" t="s">
        <v>470</v>
      </c>
      <c r="H98">
        <v>0</v>
      </c>
      <c r="I98" t="s">
        <v>471</v>
      </c>
      <c r="J98" t="s">
        <v>472</v>
      </c>
      <c r="K98">
        <v>0</v>
      </c>
      <c r="L98" t="s">
        <v>590</v>
      </c>
      <c r="M98">
        <v>540</v>
      </c>
      <c r="N98" t="s">
        <v>474</v>
      </c>
      <c r="O98" t="s">
        <v>253</v>
      </c>
      <c r="P98" s="26">
        <v>45120</v>
      </c>
    </row>
    <row r="99" spans="1:16">
      <c r="A99" t="s">
        <v>467</v>
      </c>
      <c r="B99">
        <v>5</v>
      </c>
      <c r="C99" t="s">
        <v>589</v>
      </c>
      <c r="D99" t="s">
        <v>143</v>
      </c>
      <c r="E99">
        <v>540</v>
      </c>
      <c r="F99" t="s">
        <v>469</v>
      </c>
      <c r="G99" t="s">
        <v>477</v>
      </c>
      <c r="H99">
        <v>0</v>
      </c>
      <c r="I99" t="s">
        <v>478</v>
      </c>
      <c r="J99" t="s">
        <v>472</v>
      </c>
      <c r="K99">
        <v>0</v>
      </c>
      <c r="L99" t="s">
        <v>591</v>
      </c>
      <c r="M99">
        <v>540</v>
      </c>
      <c r="N99" t="s">
        <v>474</v>
      </c>
      <c r="O99" t="s">
        <v>253</v>
      </c>
      <c r="P99" s="26">
        <v>45127</v>
      </c>
    </row>
    <row r="100" spans="1:16">
      <c r="A100" t="s">
        <v>467</v>
      </c>
      <c r="B100">
        <v>5</v>
      </c>
      <c r="C100" t="s">
        <v>589</v>
      </c>
      <c r="D100" t="s">
        <v>143</v>
      </c>
      <c r="E100">
        <v>540</v>
      </c>
      <c r="F100" t="s">
        <v>469</v>
      </c>
      <c r="G100" t="s">
        <v>479</v>
      </c>
      <c r="H100">
        <v>0</v>
      </c>
      <c r="I100" t="s">
        <v>480</v>
      </c>
      <c r="J100" t="s">
        <v>472</v>
      </c>
      <c r="K100">
        <v>0</v>
      </c>
      <c r="L100" t="s">
        <v>592</v>
      </c>
      <c r="M100">
        <v>540</v>
      </c>
      <c r="N100" t="s">
        <v>474</v>
      </c>
      <c r="O100" t="s">
        <v>253</v>
      </c>
      <c r="P100" s="26">
        <v>45134</v>
      </c>
    </row>
    <row r="101" spans="1:16">
      <c r="A101" t="s">
        <v>467</v>
      </c>
      <c r="B101">
        <v>5</v>
      </c>
      <c r="C101" t="s">
        <v>589</v>
      </c>
      <c r="D101" t="s">
        <v>143</v>
      </c>
      <c r="E101">
        <v>540</v>
      </c>
      <c r="F101" t="s">
        <v>469</v>
      </c>
      <c r="G101" t="s">
        <v>481</v>
      </c>
      <c r="H101">
        <v>0</v>
      </c>
      <c r="I101" t="s">
        <v>482</v>
      </c>
      <c r="J101" t="s">
        <v>472</v>
      </c>
      <c r="K101">
        <v>0</v>
      </c>
      <c r="L101" t="s">
        <v>593</v>
      </c>
      <c r="M101">
        <v>540</v>
      </c>
      <c r="N101" t="s">
        <v>474</v>
      </c>
      <c r="O101" t="s">
        <v>253</v>
      </c>
      <c r="P101" s="26">
        <v>45141</v>
      </c>
    </row>
    <row r="102" spans="1:16">
      <c r="A102" t="s">
        <v>467</v>
      </c>
      <c r="B102">
        <v>5</v>
      </c>
      <c r="C102" t="s">
        <v>589</v>
      </c>
      <c r="D102" t="s">
        <v>143</v>
      </c>
      <c r="E102">
        <v>540</v>
      </c>
      <c r="F102" t="s">
        <v>469</v>
      </c>
      <c r="G102" t="s">
        <v>484</v>
      </c>
      <c r="H102">
        <v>0</v>
      </c>
      <c r="I102" t="s">
        <v>485</v>
      </c>
      <c r="J102" t="s">
        <v>472</v>
      </c>
      <c r="K102">
        <v>0</v>
      </c>
      <c r="L102" t="s">
        <v>594</v>
      </c>
      <c r="M102">
        <v>540</v>
      </c>
      <c r="N102" t="s">
        <v>487</v>
      </c>
      <c r="O102" t="s">
        <v>149</v>
      </c>
    </row>
    <row r="103" spans="1:16">
      <c r="A103" t="s">
        <v>467</v>
      </c>
      <c r="B103">
        <v>5</v>
      </c>
      <c r="C103" t="s">
        <v>589</v>
      </c>
      <c r="D103" t="s">
        <v>143</v>
      </c>
      <c r="E103">
        <v>540</v>
      </c>
      <c r="F103" t="s">
        <v>469</v>
      </c>
      <c r="G103" t="s">
        <v>488</v>
      </c>
      <c r="H103">
        <v>0</v>
      </c>
      <c r="I103" t="s">
        <v>489</v>
      </c>
      <c r="J103" t="s">
        <v>472</v>
      </c>
      <c r="K103">
        <v>0</v>
      </c>
      <c r="L103" t="s">
        <v>595</v>
      </c>
      <c r="M103">
        <v>540</v>
      </c>
      <c r="N103" t="s">
        <v>474</v>
      </c>
      <c r="O103" t="s">
        <v>253</v>
      </c>
      <c r="P103" s="26">
        <v>45148</v>
      </c>
    </row>
    <row r="104" spans="1:16">
      <c r="A104" t="s">
        <v>467</v>
      </c>
      <c r="B104">
        <v>5</v>
      </c>
      <c r="C104" t="s">
        <v>589</v>
      </c>
      <c r="D104" t="s">
        <v>143</v>
      </c>
      <c r="E104">
        <v>540</v>
      </c>
      <c r="F104" t="s">
        <v>469</v>
      </c>
      <c r="G104" t="s">
        <v>490</v>
      </c>
      <c r="H104">
        <v>0</v>
      </c>
      <c r="I104" t="s">
        <v>491</v>
      </c>
      <c r="J104" t="s">
        <v>472</v>
      </c>
      <c r="K104">
        <v>0</v>
      </c>
      <c r="L104" t="s">
        <v>596</v>
      </c>
      <c r="M104">
        <v>540</v>
      </c>
      <c r="N104" t="s">
        <v>474</v>
      </c>
      <c r="O104" t="s">
        <v>253</v>
      </c>
      <c r="P104" s="26">
        <v>45155</v>
      </c>
    </row>
    <row r="105" spans="1:16">
      <c r="A105" t="s">
        <v>467</v>
      </c>
      <c r="B105">
        <v>5</v>
      </c>
      <c r="C105" t="s">
        <v>589</v>
      </c>
      <c r="D105" t="s">
        <v>143</v>
      </c>
      <c r="E105">
        <v>540</v>
      </c>
      <c r="F105" t="s">
        <v>469</v>
      </c>
      <c r="G105" t="s">
        <v>492</v>
      </c>
      <c r="H105">
        <v>0</v>
      </c>
      <c r="I105" t="s">
        <v>493</v>
      </c>
      <c r="J105" t="s">
        <v>472</v>
      </c>
      <c r="K105">
        <v>0</v>
      </c>
      <c r="L105" t="s">
        <v>597</v>
      </c>
      <c r="M105">
        <v>540</v>
      </c>
      <c r="N105" t="s">
        <v>474</v>
      </c>
      <c r="O105" t="s">
        <v>253</v>
      </c>
      <c r="P105" s="26">
        <v>45162</v>
      </c>
    </row>
    <row r="106" spans="1:16">
      <c r="A106" t="s">
        <v>467</v>
      </c>
      <c r="B106">
        <v>5</v>
      </c>
      <c r="C106" t="s">
        <v>589</v>
      </c>
      <c r="D106" t="s">
        <v>143</v>
      </c>
      <c r="E106">
        <v>540</v>
      </c>
      <c r="F106" t="s">
        <v>469</v>
      </c>
      <c r="G106" t="s">
        <v>495</v>
      </c>
      <c r="H106">
        <v>0</v>
      </c>
      <c r="I106" t="s">
        <v>496</v>
      </c>
      <c r="J106" t="s">
        <v>472</v>
      </c>
      <c r="K106">
        <v>0</v>
      </c>
      <c r="L106" t="s">
        <v>598</v>
      </c>
      <c r="M106">
        <v>540</v>
      </c>
      <c r="N106" t="s">
        <v>487</v>
      </c>
      <c r="O106" t="s">
        <v>149</v>
      </c>
    </row>
    <row r="107" spans="1:16">
      <c r="A107" t="s">
        <v>467</v>
      </c>
      <c r="B107">
        <v>5</v>
      </c>
      <c r="C107" t="s">
        <v>589</v>
      </c>
      <c r="D107" t="s">
        <v>143</v>
      </c>
      <c r="E107">
        <v>540</v>
      </c>
      <c r="F107" t="s">
        <v>469</v>
      </c>
      <c r="G107" t="s">
        <v>497</v>
      </c>
      <c r="H107">
        <v>0</v>
      </c>
      <c r="I107" t="s">
        <v>498</v>
      </c>
      <c r="J107" t="s">
        <v>472</v>
      </c>
      <c r="K107">
        <v>0</v>
      </c>
      <c r="L107" t="s">
        <v>599</v>
      </c>
      <c r="M107">
        <v>540</v>
      </c>
      <c r="N107" t="s">
        <v>474</v>
      </c>
      <c r="O107" t="s">
        <v>253</v>
      </c>
      <c r="P107" s="26">
        <v>45169</v>
      </c>
    </row>
    <row r="108" spans="1:16">
      <c r="A108" t="s">
        <v>467</v>
      </c>
      <c r="B108">
        <v>5</v>
      </c>
      <c r="C108" t="s">
        <v>589</v>
      </c>
      <c r="D108" t="s">
        <v>143</v>
      </c>
      <c r="E108">
        <v>540</v>
      </c>
      <c r="F108" t="s">
        <v>469</v>
      </c>
      <c r="G108" t="s">
        <v>499</v>
      </c>
      <c r="H108">
        <v>0</v>
      </c>
      <c r="I108" t="s">
        <v>500</v>
      </c>
      <c r="J108" t="s">
        <v>472</v>
      </c>
      <c r="K108">
        <v>0</v>
      </c>
      <c r="L108" t="s">
        <v>600</v>
      </c>
      <c r="M108">
        <v>540</v>
      </c>
      <c r="N108" t="s">
        <v>474</v>
      </c>
      <c r="O108" t="s">
        <v>253</v>
      </c>
      <c r="P108" s="26">
        <v>45176</v>
      </c>
    </row>
    <row r="109" spans="1:16">
      <c r="A109" t="s">
        <v>467</v>
      </c>
      <c r="B109">
        <v>5</v>
      </c>
      <c r="C109" t="s">
        <v>589</v>
      </c>
      <c r="D109" t="s">
        <v>143</v>
      </c>
      <c r="E109">
        <v>540</v>
      </c>
      <c r="F109" t="s">
        <v>469</v>
      </c>
      <c r="G109" t="s">
        <v>501</v>
      </c>
      <c r="H109">
        <v>0</v>
      </c>
      <c r="I109" t="s">
        <v>502</v>
      </c>
      <c r="J109" t="s">
        <v>472</v>
      </c>
      <c r="K109">
        <v>0</v>
      </c>
      <c r="L109" t="s">
        <v>601</v>
      </c>
      <c r="M109">
        <v>540</v>
      </c>
      <c r="N109" t="s">
        <v>474</v>
      </c>
      <c r="O109" t="s">
        <v>253</v>
      </c>
      <c r="P109" s="26">
        <v>45183</v>
      </c>
    </row>
    <row r="110" spans="1:16">
      <c r="A110" t="s">
        <v>467</v>
      </c>
      <c r="B110">
        <v>5</v>
      </c>
      <c r="C110" t="s">
        <v>589</v>
      </c>
      <c r="D110" t="s">
        <v>143</v>
      </c>
      <c r="E110">
        <v>540</v>
      </c>
      <c r="F110" t="s">
        <v>469</v>
      </c>
      <c r="G110" t="s">
        <v>503</v>
      </c>
      <c r="H110">
        <v>0</v>
      </c>
      <c r="I110" t="s">
        <v>504</v>
      </c>
      <c r="J110" t="s">
        <v>472</v>
      </c>
      <c r="K110">
        <v>0</v>
      </c>
      <c r="L110" t="s">
        <v>602</v>
      </c>
      <c r="M110">
        <v>540</v>
      </c>
      <c r="N110" t="s">
        <v>487</v>
      </c>
      <c r="O110" t="s">
        <v>149</v>
      </c>
    </row>
    <row r="111" spans="1:16">
      <c r="A111" t="s">
        <v>467</v>
      </c>
      <c r="B111">
        <v>5</v>
      </c>
      <c r="C111" t="s">
        <v>589</v>
      </c>
      <c r="D111" t="s">
        <v>143</v>
      </c>
      <c r="E111">
        <v>540</v>
      </c>
      <c r="F111" t="s">
        <v>469</v>
      </c>
      <c r="G111" t="s">
        <v>505</v>
      </c>
      <c r="H111">
        <v>0</v>
      </c>
      <c r="I111" t="s">
        <v>506</v>
      </c>
      <c r="J111" t="s">
        <v>472</v>
      </c>
      <c r="K111">
        <v>0</v>
      </c>
      <c r="L111" t="s">
        <v>603</v>
      </c>
      <c r="M111">
        <v>540</v>
      </c>
      <c r="N111" t="s">
        <v>474</v>
      </c>
      <c r="O111" t="s">
        <v>253</v>
      </c>
      <c r="P111" s="26">
        <v>45190</v>
      </c>
    </row>
    <row r="112" spans="1:16">
      <c r="A112" t="s">
        <v>467</v>
      </c>
      <c r="B112">
        <v>5</v>
      </c>
      <c r="C112" t="s">
        <v>589</v>
      </c>
      <c r="D112" t="s">
        <v>143</v>
      </c>
      <c r="E112">
        <v>540</v>
      </c>
      <c r="F112" t="s">
        <v>469</v>
      </c>
      <c r="G112" t="s">
        <v>507</v>
      </c>
      <c r="H112">
        <v>0</v>
      </c>
      <c r="I112" t="s">
        <v>508</v>
      </c>
      <c r="J112" t="s">
        <v>472</v>
      </c>
      <c r="K112">
        <v>0</v>
      </c>
      <c r="L112" t="s">
        <v>604</v>
      </c>
      <c r="M112">
        <v>540</v>
      </c>
      <c r="N112" t="s">
        <v>474</v>
      </c>
      <c r="O112" t="s">
        <v>253</v>
      </c>
      <c r="P112" s="26">
        <v>45197</v>
      </c>
    </row>
    <row r="113" spans="1:17">
      <c r="A113" t="s">
        <v>467</v>
      </c>
      <c r="B113">
        <v>5</v>
      </c>
      <c r="C113" t="s">
        <v>589</v>
      </c>
      <c r="D113" t="s">
        <v>143</v>
      </c>
      <c r="E113">
        <v>540</v>
      </c>
      <c r="F113" t="s">
        <v>469</v>
      </c>
      <c r="G113" t="s">
        <v>510</v>
      </c>
      <c r="H113">
        <v>0</v>
      </c>
      <c r="I113" t="s">
        <v>511</v>
      </c>
      <c r="J113" t="s">
        <v>472</v>
      </c>
      <c r="K113">
        <v>0</v>
      </c>
      <c r="L113" t="s">
        <v>605</v>
      </c>
      <c r="M113">
        <v>540</v>
      </c>
      <c r="N113" t="s">
        <v>474</v>
      </c>
      <c r="O113" t="s">
        <v>253</v>
      </c>
      <c r="P113" s="26">
        <v>45204</v>
      </c>
    </row>
    <row r="114" spans="1:17">
      <c r="A114" t="s">
        <v>467</v>
      </c>
      <c r="B114">
        <v>5</v>
      </c>
      <c r="C114" t="s">
        <v>589</v>
      </c>
      <c r="D114" t="s">
        <v>143</v>
      </c>
      <c r="E114">
        <v>540</v>
      </c>
      <c r="F114" t="s">
        <v>469</v>
      </c>
      <c r="G114" t="s">
        <v>513</v>
      </c>
      <c r="H114">
        <v>0</v>
      </c>
      <c r="I114" t="s">
        <v>514</v>
      </c>
      <c r="J114" t="s">
        <v>472</v>
      </c>
      <c r="K114">
        <v>0</v>
      </c>
      <c r="L114" t="s">
        <v>606</v>
      </c>
      <c r="M114">
        <v>540</v>
      </c>
      <c r="N114" t="s">
        <v>487</v>
      </c>
      <c r="O114" t="s">
        <v>149</v>
      </c>
    </row>
    <row r="115" spans="1:17">
      <c r="A115" t="s">
        <v>467</v>
      </c>
      <c r="B115">
        <v>5</v>
      </c>
      <c r="C115" t="s">
        <v>589</v>
      </c>
      <c r="D115" t="s">
        <v>143</v>
      </c>
      <c r="E115">
        <v>540</v>
      </c>
      <c r="F115" t="s">
        <v>469</v>
      </c>
      <c r="G115" t="s">
        <v>516</v>
      </c>
      <c r="H115">
        <v>0</v>
      </c>
      <c r="I115" t="s">
        <v>517</v>
      </c>
      <c r="J115" t="s">
        <v>472</v>
      </c>
      <c r="K115">
        <v>0</v>
      </c>
      <c r="L115" t="s">
        <v>607</v>
      </c>
      <c r="M115">
        <v>540</v>
      </c>
      <c r="N115" t="s">
        <v>474</v>
      </c>
      <c r="O115" t="s">
        <v>253</v>
      </c>
      <c r="P115" s="26">
        <v>45208</v>
      </c>
    </row>
    <row r="116" spans="1:17">
      <c r="A116" t="s">
        <v>467</v>
      </c>
      <c r="B116">
        <v>5</v>
      </c>
      <c r="C116" t="s">
        <v>589</v>
      </c>
      <c r="D116" t="s">
        <v>143</v>
      </c>
      <c r="E116">
        <v>540</v>
      </c>
      <c r="F116" t="s">
        <v>469</v>
      </c>
      <c r="G116" t="s">
        <v>530</v>
      </c>
      <c r="H116">
        <v>0</v>
      </c>
      <c r="I116" t="s">
        <v>525</v>
      </c>
      <c r="J116" t="s">
        <v>472</v>
      </c>
      <c r="K116">
        <v>0</v>
      </c>
      <c r="L116" t="s">
        <v>608</v>
      </c>
      <c r="M116">
        <v>540</v>
      </c>
      <c r="N116" t="s">
        <v>474</v>
      </c>
      <c r="O116" t="s">
        <v>253</v>
      </c>
      <c r="P116" s="26">
        <v>45215</v>
      </c>
    </row>
    <row r="117" spans="1:17">
      <c r="A117" t="s">
        <v>467</v>
      </c>
      <c r="B117">
        <v>5</v>
      </c>
      <c r="C117" t="s">
        <v>589</v>
      </c>
      <c r="D117" t="s">
        <v>143</v>
      </c>
      <c r="E117">
        <v>540</v>
      </c>
      <c r="F117" t="s">
        <v>469</v>
      </c>
      <c r="G117" t="s">
        <v>532</v>
      </c>
      <c r="H117">
        <v>0</v>
      </c>
      <c r="I117" t="s">
        <v>533</v>
      </c>
      <c r="J117" t="s">
        <v>472</v>
      </c>
      <c r="K117">
        <v>0</v>
      </c>
      <c r="L117" t="s">
        <v>609</v>
      </c>
      <c r="M117">
        <v>540</v>
      </c>
      <c r="N117" t="s">
        <v>474</v>
      </c>
      <c r="O117" t="s">
        <v>253</v>
      </c>
      <c r="P117" s="26">
        <v>45222</v>
      </c>
    </row>
    <row r="118" spans="1:17">
      <c r="A118" t="s">
        <v>467</v>
      </c>
      <c r="B118">
        <v>5</v>
      </c>
      <c r="C118" t="s">
        <v>610</v>
      </c>
      <c r="D118" t="s">
        <v>143</v>
      </c>
      <c r="E118">
        <v>540</v>
      </c>
      <c r="F118" t="s">
        <v>469</v>
      </c>
      <c r="G118" t="s">
        <v>470</v>
      </c>
      <c r="H118">
        <v>0</v>
      </c>
      <c r="I118" t="s">
        <v>471</v>
      </c>
      <c r="J118" t="s">
        <v>472</v>
      </c>
      <c r="K118">
        <v>0</v>
      </c>
      <c r="L118" t="s">
        <v>611</v>
      </c>
      <c r="M118">
        <v>540</v>
      </c>
      <c r="N118" t="s">
        <v>474</v>
      </c>
      <c r="O118" t="s">
        <v>253</v>
      </c>
      <c r="P118" s="26">
        <v>45176</v>
      </c>
    </row>
    <row r="119" spans="1:17">
      <c r="A119" t="s">
        <v>467</v>
      </c>
      <c r="B119">
        <v>5</v>
      </c>
      <c r="C119" t="s">
        <v>612</v>
      </c>
      <c r="D119" t="s">
        <v>143</v>
      </c>
      <c r="E119">
        <v>540</v>
      </c>
      <c r="F119" t="s">
        <v>469</v>
      </c>
      <c r="G119" t="s">
        <v>470</v>
      </c>
      <c r="H119">
        <v>0</v>
      </c>
      <c r="I119" t="s">
        <v>471</v>
      </c>
      <c r="J119" t="s">
        <v>472</v>
      </c>
      <c r="K119">
        <v>0</v>
      </c>
      <c r="L119" t="s">
        <v>613</v>
      </c>
      <c r="M119">
        <v>540</v>
      </c>
      <c r="N119" t="s">
        <v>474</v>
      </c>
      <c r="O119" t="s">
        <v>253</v>
      </c>
      <c r="P119" s="26">
        <v>45183</v>
      </c>
    </row>
    <row r="120" spans="1:17">
      <c r="A120" t="s">
        <v>467</v>
      </c>
      <c r="B120">
        <v>5</v>
      </c>
      <c r="C120" t="s">
        <v>614</v>
      </c>
      <c r="D120" t="s">
        <v>165</v>
      </c>
      <c r="E120">
        <v>822</v>
      </c>
      <c r="F120" t="s">
        <v>469</v>
      </c>
      <c r="G120" t="s">
        <v>470</v>
      </c>
      <c r="H120">
        <v>0</v>
      </c>
      <c r="I120" t="s">
        <v>471</v>
      </c>
      <c r="J120" t="s">
        <v>472</v>
      </c>
      <c r="K120">
        <v>0</v>
      </c>
      <c r="L120" t="s">
        <v>615</v>
      </c>
      <c r="M120">
        <v>822</v>
      </c>
      <c r="N120" t="s">
        <v>474</v>
      </c>
      <c r="O120" t="s">
        <v>253</v>
      </c>
      <c r="P120" s="26">
        <v>45103</v>
      </c>
    </row>
    <row r="121" spans="1:17">
      <c r="A121" t="s">
        <v>467</v>
      </c>
      <c r="B121">
        <v>5</v>
      </c>
      <c r="C121" t="s">
        <v>614</v>
      </c>
      <c r="D121" t="s">
        <v>165</v>
      </c>
      <c r="E121">
        <v>822</v>
      </c>
      <c r="F121" t="s">
        <v>469</v>
      </c>
      <c r="G121" t="s">
        <v>477</v>
      </c>
      <c r="H121">
        <v>0</v>
      </c>
      <c r="I121" t="s">
        <v>478</v>
      </c>
      <c r="J121" t="s">
        <v>472</v>
      </c>
      <c r="K121">
        <v>0</v>
      </c>
      <c r="L121" t="s">
        <v>616</v>
      </c>
      <c r="M121">
        <v>822</v>
      </c>
      <c r="N121" t="s">
        <v>474</v>
      </c>
      <c r="O121" t="s">
        <v>253</v>
      </c>
      <c r="P121" s="26">
        <v>45113</v>
      </c>
    </row>
    <row r="122" spans="1:17">
      <c r="A122" t="s">
        <v>467</v>
      </c>
      <c r="B122">
        <v>5</v>
      </c>
      <c r="C122" t="s">
        <v>614</v>
      </c>
      <c r="D122" t="s">
        <v>165</v>
      </c>
      <c r="E122">
        <v>822</v>
      </c>
      <c r="F122" t="s">
        <v>469</v>
      </c>
      <c r="G122" t="s">
        <v>479</v>
      </c>
      <c r="H122">
        <v>0</v>
      </c>
      <c r="I122" t="s">
        <v>480</v>
      </c>
      <c r="J122" t="s">
        <v>472</v>
      </c>
      <c r="K122">
        <v>0</v>
      </c>
      <c r="L122" t="s">
        <v>617</v>
      </c>
      <c r="M122">
        <v>822</v>
      </c>
      <c r="N122" t="s">
        <v>474</v>
      </c>
      <c r="O122" t="s">
        <v>253</v>
      </c>
      <c r="P122" s="26">
        <v>45120</v>
      </c>
    </row>
    <row r="123" spans="1:17">
      <c r="A123" t="s">
        <v>467</v>
      </c>
      <c r="B123">
        <v>5</v>
      </c>
      <c r="C123" t="s">
        <v>614</v>
      </c>
      <c r="D123" t="s">
        <v>165</v>
      </c>
      <c r="E123">
        <v>822</v>
      </c>
      <c r="F123" t="s">
        <v>469</v>
      </c>
      <c r="G123" t="s">
        <v>481</v>
      </c>
      <c r="H123">
        <v>0</v>
      </c>
      <c r="I123" t="s">
        <v>482</v>
      </c>
      <c r="J123" t="s">
        <v>472</v>
      </c>
      <c r="K123">
        <v>0</v>
      </c>
      <c r="L123" t="s">
        <v>618</v>
      </c>
      <c r="M123">
        <v>822</v>
      </c>
      <c r="N123" t="s">
        <v>474</v>
      </c>
      <c r="O123" t="s">
        <v>253</v>
      </c>
      <c r="P123" s="26">
        <v>45126</v>
      </c>
    </row>
    <row r="124" spans="1:17">
      <c r="A124" t="s">
        <v>467</v>
      </c>
      <c r="B124">
        <v>5</v>
      </c>
      <c r="C124" t="s">
        <v>614</v>
      </c>
      <c r="D124" t="s">
        <v>165</v>
      </c>
      <c r="E124">
        <v>822</v>
      </c>
      <c r="F124" t="s">
        <v>469</v>
      </c>
      <c r="G124" t="s">
        <v>484</v>
      </c>
      <c r="H124">
        <v>0</v>
      </c>
      <c r="I124" t="s">
        <v>485</v>
      </c>
      <c r="J124" t="s">
        <v>472</v>
      </c>
      <c r="K124">
        <v>0</v>
      </c>
      <c r="L124" t="s">
        <v>619</v>
      </c>
      <c r="M124">
        <v>822</v>
      </c>
      <c r="N124" t="s">
        <v>487</v>
      </c>
      <c r="O124" t="s">
        <v>149</v>
      </c>
    </row>
    <row r="125" spans="1:17">
      <c r="A125" t="s">
        <v>467</v>
      </c>
      <c r="B125">
        <v>5</v>
      </c>
      <c r="C125" t="s">
        <v>614</v>
      </c>
      <c r="D125" t="s">
        <v>165</v>
      </c>
      <c r="E125">
        <v>822</v>
      </c>
      <c r="F125" t="s">
        <v>469</v>
      </c>
      <c r="G125" t="s">
        <v>488</v>
      </c>
      <c r="H125">
        <v>0</v>
      </c>
      <c r="I125" t="s">
        <v>489</v>
      </c>
      <c r="J125" t="s">
        <v>472</v>
      </c>
      <c r="K125">
        <v>0</v>
      </c>
      <c r="L125" t="s">
        <v>620</v>
      </c>
      <c r="M125">
        <v>822</v>
      </c>
      <c r="N125" t="s">
        <v>474</v>
      </c>
      <c r="O125" t="s">
        <v>253</v>
      </c>
      <c r="P125" s="26">
        <v>45134</v>
      </c>
    </row>
    <row r="126" spans="1:17">
      <c r="A126" t="s">
        <v>467</v>
      </c>
      <c r="B126">
        <v>5</v>
      </c>
      <c r="C126" t="s">
        <v>614</v>
      </c>
      <c r="D126" t="s">
        <v>165</v>
      </c>
      <c r="E126">
        <v>822</v>
      </c>
      <c r="F126" t="s">
        <v>469</v>
      </c>
      <c r="G126" t="s">
        <v>490</v>
      </c>
      <c r="H126">
        <v>0</v>
      </c>
      <c r="I126" t="s">
        <v>491</v>
      </c>
      <c r="J126" t="s">
        <v>472</v>
      </c>
      <c r="K126">
        <v>0</v>
      </c>
      <c r="L126" t="s">
        <v>621</v>
      </c>
      <c r="M126">
        <v>822</v>
      </c>
      <c r="N126" t="s">
        <v>551</v>
      </c>
      <c r="O126" t="s">
        <v>146</v>
      </c>
      <c r="Q126" t="s">
        <v>169</v>
      </c>
    </row>
    <row r="127" spans="1:17">
      <c r="A127" t="s">
        <v>467</v>
      </c>
      <c r="B127">
        <v>5</v>
      </c>
      <c r="C127" t="s">
        <v>614</v>
      </c>
      <c r="D127" t="s">
        <v>165</v>
      </c>
      <c r="E127">
        <v>822</v>
      </c>
      <c r="F127" t="s">
        <v>469</v>
      </c>
      <c r="G127" t="s">
        <v>553</v>
      </c>
      <c r="H127">
        <v>0</v>
      </c>
      <c r="I127" t="s">
        <v>554</v>
      </c>
      <c r="J127" t="s">
        <v>472</v>
      </c>
      <c r="K127">
        <v>0</v>
      </c>
      <c r="L127" t="s">
        <v>622</v>
      </c>
      <c r="M127">
        <v>822</v>
      </c>
      <c r="N127" t="s">
        <v>474</v>
      </c>
      <c r="O127" t="s">
        <v>253</v>
      </c>
      <c r="P127" s="26">
        <v>45135</v>
      </c>
    </row>
    <row r="128" spans="1:17">
      <c r="A128" t="s">
        <v>467</v>
      </c>
      <c r="B128">
        <v>5</v>
      </c>
      <c r="C128" t="s">
        <v>623</v>
      </c>
      <c r="D128" t="s">
        <v>165</v>
      </c>
      <c r="E128">
        <v>822</v>
      </c>
      <c r="F128" t="s">
        <v>469</v>
      </c>
      <c r="G128" t="s">
        <v>470</v>
      </c>
      <c r="H128">
        <v>0</v>
      </c>
      <c r="I128" t="s">
        <v>471</v>
      </c>
      <c r="J128" t="s">
        <v>472</v>
      </c>
      <c r="K128">
        <v>0</v>
      </c>
      <c r="L128" t="s">
        <v>624</v>
      </c>
      <c r="M128">
        <v>822</v>
      </c>
      <c r="N128" t="s">
        <v>474</v>
      </c>
      <c r="O128" t="s">
        <v>253</v>
      </c>
      <c r="P128" s="26">
        <v>45170</v>
      </c>
    </row>
    <row r="129" spans="1:16">
      <c r="A129" t="s">
        <v>467</v>
      </c>
      <c r="B129">
        <v>5</v>
      </c>
      <c r="C129" t="s">
        <v>623</v>
      </c>
      <c r="D129" t="s">
        <v>165</v>
      </c>
      <c r="E129">
        <v>822</v>
      </c>
      <c r="F129" t="s">
        <v>469</v>
      </c>
      <c r="G129" t="s">
        <v>477</v>
      </c>
      <c r="H129">
        <v>0</v>
      </c>
      <c r="I129" t="s">
        <v>478</v>
      </c>
      <c r="J129" t="s">
        <v>472</v>
      </c>
      <c r="K129">
        <v>0</v>
      </c>
      <c r="L129" t="s">
        <v>625</v>
      </c>
      <c r="M129">
        <v>822</v>
      </c>
      <c r="N129" t="s">
        <v>474</v>
      </c>
      <c r="O129" t="s">
        <v>253</v>
      </c>
      <c r="P129" s="26">
        <v>45176</v>
      </c>
    </row>
    <row r="130" spans="1:16">
      <c r="A130" t="s">
        <v>467</v>
      </c>
      <c r="B130">
        <v>5</v>
      </c>
      <c r="C130" t="s">
        <v>623</v>
      </c>
      <c r="D130" t="s">
        <v>165</v>
      </c>
      <c r="E130">
        <v>822</v>
      </c>
      <c r="F130" t="s">
        <v>469</v>
      </c>
      <c r="G130" t="s">
        <v>479</v>
      </c>
      <c r="H130">
        <v>0</v>
      </c>
      <c r="I130" t="s">
        <v>480</v>
      </c>
      <c r="J130" t="s">
        <v>472</v>
      </c>
      <c r="K130">
        <v>0</v>
      </c>
      <c r="L130" t="s">
        <v>626</v>
      </c>
      <c r="M130">
        <v>822</v>
      </c>
      <c r="N130" t="s">
        <v>474</v>
      </c>
      <c r="O130" t="s">
        <v>253</v>
      </c>
      <c r="P130" s="26">
        <v>45183</v>
      </c>
    </row>
    <row r="131" spans="1:16">
      <c r="A131" t="s">
        <v>467</v>
      </c>
      <c r="B131">
        <v>5</v>
      </c>
      <c r="C131" t="s">
        <v>623</v>
      </c>
      <c r="D131" t="s">
        <v>165</v>
      </c>
      <c r="E131">
        <v>822</v>
      </c>
      <c r="F131" t="s">
        <v>469</v>
      </c>
      <c r="G131" t="s">
        <v>481</v>
      </c>
      <c r="H131">
        <v>0</v>
      </c>
      <c r="I131" t="s">
        <v>482</v>
      </c>
      <c r="J131" t="s">
        <v>472</v>
      </c>
      <c r="K131">
        <v>0</v>
      </c>
      <c r="L131" t="s">
        <v>627</v>
      </c>
      <c r="M131">
        <v>822</v>
      </c>
      <c r="N131" t="s">
        <v>474</v>
      </c>
      <c r="O131" t="s">
        <v>253</v>
      </c>
      <c r="P131" s="26">
        <v>45190</v>
      </c>
    </row>
    <row r="132" spans="1:16">
      <c r="A132" t="s">
        <v>467</v>
      </c>
      <c r="B132">
        <v>5</v>
      </c>
      <c r="C132" t="s">
        <v>623</v>
      </c>
      <c r="D132" t="s">
        <v>165</v>
      </c>
      <c r="E132">
        <v>822</v>
      </c>
      <c r="F132" t="s">
        <v>469</v>
      </c>
      <c r="G132" t="s">
        <v>484</v>
      </c>
      <c r="H132">
        <v>0</v>
      </c>
      <c r="I132" t="s">
        <v>485</v>
      </c>
      <c r="J132" t="s">
        <v>472</v>
      </c>
      <c r="K132">
        <v>0</v>
      </c>
      <c r="L132" t="s">
        <v>628</v>
      </c>
      <c r="M132">
        <v>822</v>
      </c>
      <c r="N132" t="s">
        <v>487</v>
      </c>
      <c r="O132" t="s">
        <v>149</v>
      </c>
    </row>
    <row r="133" spans="1:16">
      <c r="A133" t="s">
        <v>467</v>
      </c>
      <c r="B133">
        <v>5</v>
      </c>
      <c r="C133" t="s">
        <v>623</v>
      </c>
      <c r="D133" t="s">
        <v>165</v>
      </c>
      <c r="E133">
        <v>822</v>
      </c>
      <c r="F133" t="s">
        <v>469</v>
      </c>
      <c r="G133" t="s">
        <v>488</v>
      </c>
      <c r="H133">
        <v>0</v>
      </c>
      <c r="I133" t="s">
        <v>489</v>
      </c>
      <c r="J133" t="s">
        <v>472</v>
      </c>
      <c r="K133">
        <v>0</v>
      </c>
      <c r="L133" t="s">
        <v>629</v>
      </c>
      <c r="M133">
        <v>822</v>
      </c>
      <c r="N133" t="s">
        <v>474</v>
      </c>
      <c r="O133" t="s">
        <v>253</v>
      </c>
      <c r="P133" s="26">
        <v>45196</v>
      </c>
    </row>
    <row r="134" spans="1:16">
      <c r="A134" t="s">
        <v>467</v>
      </c>
      <c r="B134">
        <v>5</v>
      </c>
      <c r="C134" t="s">
        <v>623</v>
      </c>
      <c r="D134" t="s">
        <v>165</v>
      </c>
      <c r="E134">
        <v>822</v>
      </c>
      <c r="F134" t="s">
        <v>469</v>
      </c>
      <c r="G134" t="s">
        <v>490</v>
      </c>
      <c r="H134">
        <v>0</v>
      </c>
      <c r="I134" t="s">
        <v>491</v>
      </c>
      <c r="J134" t="s">
        <v>472</v>
      </c>
      <c r="K134">
        <v>0</v>
      </c>
      <c r="L134" t="s">
        <v>630</v>
      </c>
      <c r="M134">
        <v>822</v>
      </c>
      <c r="N134" t="s">
        <v>474</v>
      </c>
      <c r="O134" t="s">
        <v>253</v>
      </c>
      <c r="P134" s="26">
        <v>45203</v>
      </c>
    </row>
    <row r="135" spans="1:16">
      <c r="A135" t="s">
        <v>467</v>
      </c>
      <c r="B135">
        <v>5</v>
      </c>
      <c r="C135" t="s">
        <v>623</v>
      </c>
      <c r="D135" t="s">
        <v>165</v>
      </c>
      <c r="E135">
        <v>822</v>
      </c>
      <c r="F135" t="s">
        <v>469</v>
      </c>
      <c r="G135" t="s">
        <v>492</v>
      </c>
      <c r="H135">
        <v>0</v>
      </c>
      <c r="I135" t="s">
        <v>493</v>
      </c>
      <c r="J135" t="s">
        <v>472</v>
      </c>
      <c r="K135">
        <v>0</v>
      </c>
      <c r="L135" t="s">
        <v>631</v>
      </c>
      <c r="M135">
        <v>822</v>
      </c>
      <c r="N135" t="s">
        <v>474</v>
      </c>
      <c r="O135" t="s">
        <v>253</v>
      </c>
      <c r="P135" s="26">
        <v>45209</v>
      </c>
    </row>
    <row r="136" spans="1:16">
      <c r="A136" t="s">
        <v>467</v>
      </c>
      <c r="B136">
        <v>5</v>
      </c>
      <c r="C136" t="s">
        <v>623</v>
      </c>
      <c r="D136" t="s">
        <v>165</v>
      </c>
      <c r="E136">
        <v>822</v>
      </c>
      <c r="F136" t="s">
        <v>469</v>
      </c>
      <c r="G136" t="s">
        <v>495</v>
      </c>
      <c r="H136">
        <v>0</v>
      </c>
      <c r="I136" t="s">
        <v>496</v>
      </c>
      <c r="J136" t="s">
        <v>472</v>
      </c>
      <c r="K136">
        <v>0</v>
      </c>
      <c r="L136" t="s">
        <v>632</v>
      </c>
      <c r="M136">
        <v>822</v>
      </c>
      <c r="N136" t="s">
        <v>474</v>
      </c>
      <c r="O136" t="s">
        <v>253</v>
      </c>
      <c r="P136" s="26">
        <v>45218</v>
      </c>
    </row>
    <row r="137" spans="1:16">
      <c r="A137" t="s">
        <v>467</v>
      </c>
      <c r="B137">
        <v>5</v>
      </c>
      <c r="C137" t="s">
        <v>623</v>
      </c>
      <c r="D137" t="s">
        <v>165</v>
      </c>
      <c r="E137">
        <v>822</v>
      </c>
      <c r="F137" t="s">
        <v>469</v>
      </c>
      <c r="G137" t="s">
        <v>497</v>
      </c>
      <c r="H137">
        <v>0</v>
      </c>
      <c r="I137" t="s">
        <v>498</v>
      </c>
      <c r="J137" t="s">
        <v>472</v>
      </c>
      <c r="K137">
        <v>0</v>
      </c>
      <c r="L137" t="s">
        <v>633</v>
      </c>
      <c r="M137">
        <v>822</v>
      </c>
      <c r="N137" t="s">
        <v>474</v>
      </c>
      <c r="O137" t="s">
        <v>253</v>
      </c>
      <c r="P137" s="26">
        <v>45218</v>
      </c>
    </row>
    <row r="138" spans="1:16">
      <c r="A138" t="s">
        <v>467</v>
      </c>
      <c r="B138">
        <v>5</v>
      </c>
      <c r="C138" t="s">
        <v>623</v>
      </c>
      <c r="D138" t="s">
        <v>165</v>
      </c>
      <c r="E138">
        <v>822</v>
      </c>
      <c r="F138" t="s">
        <v>469</v>
      </c>
      <c r="G138" t="s">
        <v>499</v>
      </c>
      <c r="H138">
        <v>0</v>
      </c>
      <c r="I138" t="s">
        <v>500</v>
      </c>
      <c r="J138" t="s">
        <v>472</v>
      </c>
      <c r="K138">
        <v>0</v>
      </c>
      <c r="L138" t="s">
        <v>634</v>
      </c>
      <c r="M138">
        <v>822</v>
      </c>
      <c r="N138" t="s">
        <v>474</v>
      </c>
      <c r="O138" t="s">
        <v>253</v>
      </c>
      <c r="P138" s="26">
        <v>45225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D8A9D-5471-44EE-B196-1EBD0488A987}">
  <dimension ref="A1:G6"/>
  <sheetViews>
    <sheetView workbookViewId="0">
      <selection activeCell="F8" sqref="F8"/>
    </sheetView>
  </sheetViews>
  <sheetFormatPr defaultRowHeight="17.45"/>
  <cols>
    <col min="3" max="3" width="48" bestFit="1" customWidth="1"/>
    <col min="7" max="7" width="34.75" bestFit="1" customWidth="1"/>
  </cols>
  <sheetData>
    <row r="1" spans="1:7" ht="41.1" customHeight="1">
      <c r="A1" s="389" t="s">
        <v>635</v>
      </c>
      <c r="B1" s="389"/>
      <c r="C1" s="337" t="s">
        <v>636</v>
      </c>
      <c r="G1" s="251" t="s">
        <v>637</v>
      </c>
    </row>
    <row r="2" spans="1:7">
      <c r="A2" s="187"/>
      <c r="B2" s="186" t="s">
        <v>638</v>
      </c>
      <c r="C2" s="186" t="s">
        <v>639</v>
      </c>
      <c r="G2" s="186" t="s">
        <v>640</v>
      </c>
    </row>
    <row r="3" spans="1:7">
      <c r="A3" s="188"/>
      <c r="B3" s="186" t="s">
        <v>641</v>
      </c>
      <c r="C3" s="186" t="s">
        <v>642</v>
      </c>
      <c r="G3" s="186" t="s">
        <v>643</v>
      </c>
    </row>
    <row r="4" spans="1:7">
      <c r="A4" s="189"/>
      <c r="B4" s="186" t="s">
        <v>644</v>
      </c>
      <c r="C4" s="186" t="s">
        <v>645</v>
      </c>
      <c r="G4" s="186" t="s">
        <v>646</v>
      </c>
    </row>
    <row r="5" spans="1:7">
      <c r="A5" s="190"/>
      <c r="B5" s="186" t="s">
        <v>647</v>
      </c>
      <c r="C5" s="186" t="s">
        <v>648</v>
      </c>
    </row>
    <row r="6" spans="1:7">
      <c r="A6" s="186"/>
      <c r="B6" s="186" t="s">
        <v>649</v>
      </c>
      <c r="C6" s="186" t="s">
        <v>650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3ED693AB53034F84843D863137FC16" ma:contentTypeVersion="13" ma:contentTypeDescription="Create a new document." ma:contentTypeScope="" ma:versionID="1395c588c62c5e3b40e69171ea50a9da">
  <xsd:schema xmlns:xsd="http://www.w3.org/2001/XMLSchema" xmlns:xs="http://www.w3.org/2001/XMLSchema" xmlns:p="http://schemas.microsoft.com/office/2006/metadata/properties" xmlns:ns2="b02901a1-4387-439a-8469-ed5cd8b5630e" xmlns:ns3="37e9b6be-2845-4c9b-8cdd-7a91d101718b" targetNamespace="http://schemas.microsoft.com/office/2006/metadata/properties" ma:root="true" ma:fieldsID="11949384eda9905bc589c6f6cc82be6d" ns2:_="" ns3:_="">
    <xsd:import namespace="b02901a1-4387-439a-8469-ed5cd8b5630e"/>
    <xsd:import namespace="37e9b6be-2845-4c9b-8cdd-7a91d10171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2901a1-4387-439a-8469-ed5cd8b563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d595c97-0b9b-4cae-89d8-57cff8ab2d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9b6be-2845-4c9b-8cdd-7a91d101718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165bf0e-ac7c-4b62-a2f8-33debe6613d6}" ma:internalName="TaxCatchAll" ma:showField="CatchAllData" ma:web="37e9b6be-2845-4c9b-8cdd-7a91d10171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e9b6be-2845-4c9b-8cdd-7a91d101718b" xsi:nil="true"/>
    <lcf76f155ced4ddcb4097134ff3c332f xmlns="b02901a1-4387-439a-8469-ed5cd8b563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BA98A5-1BD0-45F0-94B2-AFF3F5978745}"/>
</file>

<file path=customXml/itemProps2.xml><?xml version="1.0" encoding="utf-8"?>
<ds:datastoreItem xmlns:ds="http://schemas.openxmlformats.org/officeDocument/2006/customXml" ds:itemID="{54324843-01DA-487E-9CCD-9D66AB9C1E9B}"/>
</file>

<file path=customXml/itemProps3.xml><?xml version="1.0" encoding="utf-8"?>
<ds:datastoreItem xmlns:ds="http://schemas.openxmlformats.org/officeDocument/2006/customXml" ds:itemID="{C5E5EE77-F6AB-4AE8-998E-F69E125F90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JaneS</dc:creator>
  <cp:keywords/>
  <dc:description/>
  <cp:lastModifiedBy>Stella (Seung-yeon) Song</cp:lastModifiedBy>
  <cp:revision/>
  <dcterms:created xsi:type="dcterms:W3CDTF">2023-11-01T10:19:01Z</dcterms:created>
  <dcterms:modified xsi:type="dcterms:W3CDTF">2026-07-23T08:25:08Z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0x010100DA3ED693AB53034F84843D863137FC16</vt:lpwstr>
  </property>
  <property fmtid="{D5CDD505-2E9C-101B-9397-08002B2CF9AE}" pid="3" name="MediaServiceImageTags">
    <vt:lpwstr/>
  </property>
</Properties>
</file>