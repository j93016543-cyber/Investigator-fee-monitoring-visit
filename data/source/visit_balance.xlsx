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.lee\Desktop\이주희\TTK-CL-101\budget\IQVIA CO\"/>
    </mc:Choice>
  </mc:AlternateContent>
  <xr:revisionPtr revIDLastSave="0" documentId="13_ncr:1_{704D63DC-AF85-4F39-AEA9-667AEA8100C2}" xr6:coauthVersionLast="47" xr6:coauthVersionMax="47" xr10:uidLastSave="{00000000-0000-0000-0000-000000000000}"/>
  <bookViews>
    <workbookView xWindow="-108" yWindow="-108" windowWidth="23256" windowHeight="12456" activeTab="2" xr2:uid="{295A6D72-967B-49C9-9C19-BCBD3E944F7B}"/>
  </bookViews>
  <sheets>
    <sheet name="Sheet1" sheetId="4" r:id="rId1"/>
    <sheet name="Sheet2" sheetId="2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5" l="1"/>
  <c r="H12" i="5"/>
  <c r="H10" i="5"/>
  <c r="J8" i="5"/>
  <c r="K8" i="5"/>
  <c r="L8" i="5"/>
  <c r="M8" i="5"/>
  <c r="N8" i="5"/>
  <c r="O8" i="5"/>
  <c r="P8" i="5"/>
  <c r="Q8" i="5"/>
  <c r="R8" i="5"/>
  <c r="I8" i="5"/>
  <c r="J16" i="5"/>
  <c r="J11" i="5"/>
  <c r="J14" i="5"/>
  <c r="J13" i="5"/>
  <c r="J12" i="5"/>
  <c r="C20" i="4" l="1"/>
  <c r="C7" i="4"/>
  <c r="C22" i="4"/>
  <c r="H8" i="5"/>
  <c r="Q20" i="4"/>
  <c r="P20" i="4"/>
  <c r="O20" i="4"/>
  <c r="L20" i="4"/>
  <c r="I20" i="4"/>
  <c r="F20" i="4"/>
  <c r="E20" i="4"/>
  <c r="D20" i="4"/>
  <c r="R19" i="4"/>
  <c r="R18" i="4"/>
  <c r="R17" i="4"/>
  <c r="R16" i="4"/>
  <c r="R15" i="4"/>
  <c r="R14" i="4"/>
  <c r="R13" i="4"/>
  <c r="R12" i="4"/>
  <c r="R11" i="4"/>
  <c r="R10" i="4"/>
  <c r="R9" i="4"/>
  <c r="R8" i="4"/>
  <c r="R6" i="4"/>
  <c r="R20" i="4" l="1"/>
</calcChain>
</file>

<file path=xl/sharedStrings.xml><?xml version="1.0" encoding="utf-8"?>
<sst xmlns="http://schemas.openxmlformats.org/spreadsheetml/2006/main" count="188" uniqueCount="110">
  <si>
    <t>Site Selection Teleconference</t>
  </si>
  <si>
    <t>Site Selection Visits</t>
  </si>
  <si>
    <t>Site Initiation Visits</t>
  </si>
  <si>
    <t>One Day Onsite Monitoring Visits</t>
  </si>
  <si>
    <t>Two Day Onsite Monitoring Visits</t>
  </si>
  <si>
    <t>Three Day Onsite Monitoring Visits</t>
  </si>
  <si>
    <t>One Day Remote SDM Visit</t>
  </si>
  <si>
    <t>Two Day Remote SDM Visit</t>
  </si>
  <si>
    <t>Three Day Remote SDM Visit</t>
  </si>
  <si>
    <t>One Day Co-Monitoring Visits</t>
  </si>
  <si>
    <t>Two Day Co-Monitoring Visits</t>
  </si>
  <si>
    <t>Three Day Co-Monitoring Visits</t>
  </si>
  <si>
    <t>One Day Remote Co-Monitoring Visits</t>
  </si>
  <si>
    <t>Onsite Close-Out Visits</t>
  </si>
  <si>
    <t>Total Site Monitoring Visits</t>
  </si>
  <si>
    <t>Site Selection 10</t>
  </si>
  <si>
    <t>Site Initiation 8</t>
  </si>
  <si>
    <t>IMV 434</t>
  </si>
  <si>
    <t>Co-IMV 39</t>
  </si>
  <si>
    <t>COV 15</t>
  </si>
  <si>
    <t>Total</t>
  </si>
  <si>
    <t>Contracted</t>
  </si>
  <si>
    <t>Actual (29Oct25)</t>
  </si>
  <si>
    <t>Interim MV Sub-Total</t>
  </si>
  <si>
    <t>Activity</t>
  </si>
  <si>
    <t>Source Type</t>
  </si>
  <si>
    <t>Category</t>
  </si>
  <si>
    <t>Invoice Line Description</t>
  </si>
  <si>
    <t>Amount</t>
  </si>
  <si>
    <t>Budget Quantity</t>
  </si>
  <si>
    <t>Proj to Date Quantity</t>
  </si>
  <si>
    <t>Expected Invoicing Month</t>
  </si>
  <si>
    <t>TIME</t>
  </si>
  <si>
    <t>BILL</t>
  </si>
  <si>
    <t>B004</t>
  </si>
  <si>
    <t>First SIV for additional solid tumor site-CO1</t>
  </si>
  <si>
    <t>B007</t>
  </si>
  <si>
    <t>B008</t>
  </si>
  <si>
    <t>B009</t>
  </si>
  <si>
    <t>B010</t>
  </si>
  <si>
    <t>B011</t>
  </si>
  <si>
    <t>B012</t>
  </si>
  <si>
    <t>B013</t>
  </si>
  <si>
    <t>55% of Monitoring Visits &amp; Reports Completed</t>
  </si>
  <si>
    <t>B014</t>
  </si>
  <si>
    <t>65% of Monitoring Visits &amp; Reports Completed</t>
  </si>
  <si>
    <t>B015</t>
  </si>
  <si>
    <t>75% of Monitoring Visits &amp; Reports Completed</t>
  </si>
  <si>
    <t>B016</t>
  </si>
  <si>
    <t>80% of Monitoring Visits &amp; Reports Completed</t>
  </si>
  <si>
    <t>B017</t>
  </si>
  <si>
    <t>90% of Monitoring Visits &amp; Reports Completed</t>
  </si>
  <si>
    <t>B018</t>
  </si>
  <si>
    <t>95% of Monitoring Visits &amp; Reports Completed</t>
  </si>
  <si>
    <t>B019</t>
  </si>
  <si>
    <t>Completion of In-treatment follow-up of last patient</t>
  </si>
  <si>
    <t>B020</t>
  </si>
  <si>
    <t>100% Site close out</t>
  </si>
  <si>
    <t>Dec25</t>
  </si>
  <si>
    <t>30% of Monitoring Visits &amp; Reports Completed (142 visit)</t>
  </si>
  <si>
    <t>80% of Site Initiation Visits &amp; Reports Completed (6.5 visit)</t>
  </si>
  <si>
    <t>Nov25</t>
  </si>
  <si>
    <t xml:space="preserve">25% of Monitoring Visits &amp; Reports Completed </t>
  </si>
  <si>
    <t>35% of Monitoring Visits &amp; Reports Completed (166 visits)</t>
  </si>
  <si>
    <t>40% of Monitoring Visits &amp; Reports Completed (189 visits)</t>
  </si>
  <si>
    <t>50% of Monitoring Visits &amp; Reports Completed (236 visits)</t>
  </si>
  <si>
    <t>Jun26</t>
  </si>
  <si>
    <t>Sep26</t>
  </si>
  <si>
    <t>Dec26</t>
  </si>
  <si>
    <t>Mar27</t>
  </si>
  <si>
    <t>Sep27</t>
  </si>
  <si>
    <t>Mar28</t>
  </si>
  <si>
    <t>Mar29</t>
  </si>
  <si>
    <t>Jun29</t>
  </si>
  <si>
    <t>11 IMVs/month on average</t>
  </si>
  <si>
    <t>Feb26</t>
  </si>
  <si>
    <t>Apr26</t>
  </si>
  <si>
    <t>Sep28</t>
  </si>
  <si>
    <t>Actual(08Dec25)</t>
  </si>
  <si>
    <t>X</t>
  </si>
  <si>
    <t>Actual(09Feb26)</t>
  </si>
  <si>
    <t>KR</t>
  </si>
  <si>
    <t>US</t>
  </si>
  <si>
    <t>_</t>
  </si>
  <si>
    <t>Balance</t>
  </si>
  <si>
    <t>Actual(25Feb26)</t>
  </si>
  <si>
    <t>Site InitiationTeleconference(OOS)</t>
  </si>
  <si>
    <t>Two Day Remote Co-Monitoring Visits(OOS)</t>
  </si>
  <si>
    <t>Three Day Remote Co-Monitoring Visits (OOS)</t>
  </si>
  <si>
    <t>Actual</t>
  </si>
  <si>
    <t>Forecast</t>
  </si>
  <si>
    <t>Expense</t>
  </si>
  <si>
    <t>INVESTIGATOR FEES</t>
  </si>
  <si>
    <t>OTHER EXPENSES</t>
  </si>
  <si>
    <t>TOTAL EXPENSES</t>
  </si>
  <si>
    <t xml:space="preserve">Expense </t>
    <phoneticPr fontId="14" type="noConversion"/>
  </si>
  <si>
    <t xml:space="preserve">Rough assumption </t>
    <phoneticPr fontId="14" type="noConversion"/>
  </si>
  <si>
    <t>증가추정치</t>
    <phoneticPr fontId="14" type="noConversion"/>
  </si>
  <si>
    <t>모두 미국환다</t>
    <phoneticPr fontId="14" type="noConversion"/>
  </si>
  <si>
    <t>102study에서 끌어올경우</t>
    <phoneticPr fontId="14" type="noConversion"/>
  </si>
  <si>
    <t xml:space="preserve">70만불 정도 차이가 남 </t>
    <phoneticPr fontId="14" type="noConversion"/>
  </si>
  <si>
    <t>환율추정으로</t>
    <phoneticPr fontId="14" type="noConversion"/>
  </si>
  <si>
    <t>101 예산</t>
    <phoneticPr fontId="14" type="noConversion"/>
  </si>
  <si>
    <t>102 예산</t>
    <phoneticPr fontId="14" type="noConversion"/>
  </si>
  <si>
    <t>ㅍ</t>
    <phoneticPr fontId="14" type="noConversion"/>
  </si>
  <si>
    <t>SS3 현재 4명</t>
    <phoneticPr fontId="14" type="noConversion"/>
  </si>
  <si>
    <t>미국</t>
    <phoneticPr fontId="14" type="noConversion"/>
  </si>
  <si>
    <t>SS1 현재 1명</t>
    <phoneticPr fontId="14" type="noConversion"/>
  </si>
  <si>
    <t>5명 한국</t>
    <phoneticPr fontId="14" type="noConversion"/>
  </si>
  <si>
    <t xml:space="preserve">SS2 20명 중 한국/미국의 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</si>
</sst>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1"/>
      <color theme="1"/>
      <name val="맑은 고딕"/>
      <family val="2"/>
      <scheme val="major"/>
    </font>
    <font>
      <sz val="11"/>
      <color theme="0"/>
      <name val="맑은 고딕"/>
      <family val="2"/>
      <scheme val="major"/>
    </font>
    <font>
      <b/>
      <sz val="11"/>
      <color theme="1"/>
      <name val="맑은 고딕"/>
      <family val="2"/>
      <scheme val="major"/>
    </font>
    <font>
      <sz val="10"/>
      <color rgb="FF000000"/>
      <name val="맑은 고딕"/>
      <family val="2"/>
      <scheme val="major"/>
    </font>
    <font>
      <sz val="10"/>
      <color theme="0"/>
      <name val="맑은 고딕"/>
      <family val="2"/>
      <scheme val="major"/>
    </font>
    <font>
      <b/>
      <sz val="10"/>
      <color theme="0"/>
      <name val="맑은 고딕"/>
      <family val="2"/>
      <scheme val="major"/>
    </font>
    <font>
      <b/>
      <sz val="11"/>
      <color theme="0"/>
      <name val="맑은 고딕"/>
      <family val="2"/>
      <scheme val="major"/>
    </font>
    <font>
      <sz val="10"/>
      <color rgb="FF000000"/>
      <name val="Times New Roman"/>
      <family val="1"/>
    </font>
    <font>
      <b/>
      <sz val="8"/>
      <color rgb="FF000000"/>
      <name val="Aptos Narrow"/>
      <family val="2"/>
    </font>
    <font>
      <sz val="8"/>
      <color rgb="FF000000"/>
      <name val="Aptos Narrow"/>
      <family val="2"/>
    </font>
    <font>
      <sz val="8"/>
      <name val="맑은 고딕"/>
      <family val="2"/>
      <charset val="129"/>
      <scheme val="minor"/>
    </font>
    <font>
      <sz val="11"/>
      <color rgb="FF3A3A3A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3" xfId="0" applyFont="1" applyBorder="1"/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4" fontId="2" fillId="0" borderId="13" xfId="0" applyNumberFormat="1" applyFont="1" applyBorder="1" applyAlignment="1">
      <alignment horizontal="right" vertical="center" wrapText="1"/>
    </xf>
    <xf numFmtId="0" fontId="2" fillId="0" borderId="13" xfId="0" applyFont="1" applyBorder="1" applyAlignment="1">
      <alignment horizontal="right" vertical="center" wrapText="1"/>
    </xf>
    <xf numFmtId="0" fontId="2" fillId="4" borderId="2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4" fontId="2" fillId="0" borderId="15" xfId="0" applyNumberFormat="1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2" fillId="4" borderId="16" xfId="0" applyFont="1" applyFill="1" applyBorder="1" applyAlignment="1">
      <alignment vertical="center" wrapText="1"/>
    </xf>
    <xf numFmtId="0" fontId="4" fillId="0" borderId="3" xfId="0" applyFont="1" applyBorder="1"/>
    <xf numFmtId="0" fontId="5" fillId="7" borderId="3" xfId="0" applyFont="1" applyFill="1" applyBorder="1"/>
    <xf numFmtId="0" fontId="4" fillId="0" borderId="0" xfId="0" applyFont="1"/>
    <xf numFmtId="0" fontId="4" fillId="0" borderId="4" xfId="0" applyFont="1" applyBorder="1"/>
    <xf numFmtId="0" fontId="4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7" xfId="0" applyFont="1" applyBorder="1"/>
    <xf numFmtId="0" fontId="4" fillId="0" borderId="28" xfId="0" applyFont="1" applyBorder="1"/>
    <xf numFmtId="0" fontId="4" fillId="0" borderId="30" xfId="0" applyFont="1" applyBorder="1"/>
    <xf numFmtId="0" fontId="4" fillId="0" borderId="31" xfId="0" applyFont="1" applyBorder="1"/>
    <xf numFmtId="0" fontId="7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7" fillId="4" borderId="3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7" fillId="2" borderId="0" xfId="0" applyFont="1" applyFill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3" xfId="0" applyFont="1" applyBorder="1"/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7" fillId="4" borderId="18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39" xfId="0" applyFont="1" applyBorder="1"/>
    <xf numFmtId="0" fontId="5" fillId="3" borderId="9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35" xfId="0" applyFont="1" applyFill="1" applyBorder="1" applyAlignment="1">
      <alignment vertical="center"/>
    </xf>
    <xf numFmtId="0" fontId="5" fillId="3" borderId="36" xfId="0" applyFont="1" applyFill="1" applyBorder="1" applyAlignment="1">
      <alignment vertical="center"/>
    </xf>
    <xf numFmtId="0" fontId="5" fillId="3" borderId="37" xfId="0" applyFont="1" applyFill="1" applyBorder="1" applyAlignment="1">
      <alignment vertical="center"/>
    </xf>
    <xf numFmtId="0" fontId="5" fillId="3" borderId="38" xfId="0" applyFont="1" applyFill="1" applyBorder="1" applyAlignment="1">
      <alignment vertical="center"/>
    </xf>
    <xf numFmtId="0" fontId="5" fillId="3" borderId="39" xfId="0" applyFont="1" applyFill="1" applyBorder="1" applyAlignment="1">
      <alignment vertical="center"/>
    </xf>
    <xf numFmtId="0" fontId="5" fillId="3" borderId="40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 wrapText="1"/>
    </xf>
    <xf numFmtId="0" fontId="4" fillId="0" borderId="19" xfId="0" applyFont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26" xfId="0" applyFont="1" applyBorder="1"/>
    <xf numFmtId="0" fontId="6" fillId="0" borderId="2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32" xfId="0" applyFont="1" applyBorder="1"/>
    <xf numFmtId="0" fontId="6" fillId="0" borderId="38" xfId="0" applyFont="1" applyBorder="1"/>
    <xf numFmtId="0" fontId="6" fillId="0" borderId="0" xfId="0" applyFont="1"/>
    <xf numFmtId="0" fontId="6" fillId="0" borderId="3" xfId="0" applyFont="1" applyBorder="1"/>
    <xf numFmtId="0" fontId="10" fillId="3" borderId="38" xfId="0" applyFont="1" applyFill="1" applyBorder="1" applyAlignment="1">
      <alignment vertical="center"/>
    </xf>
    <xf numFmtId="0" fontId="4" fillId="8" borderId="31" xfId="0" applyFont="1" applyFill="1" applyBorder="1"/>
    <xf numFmtId="0" fontId="6" fillId="8" borderId="32" xfId="0" applyFont="1" applyFill="1" applyBorder="1"/>
    <xf numFmtId="0" fontId="12" fillId="0" borderId="44" xfId="0" applyFont="1" applyBorder="1" applyAlignment="1">
      <alignment horizontal="center" vertical="center" wrapText="1"/>
    </xf>
    <xf numFmtId="16" fontId="12" fillId="0" borderId="2" xfId="0" applyNumberFormat="1" applyFont="1" applyBorder="1" applyAlignment="1">
      <alignment horizontal="center" vertical="center" wrapText="1"/>
    </xf>
    <xf numFmtId="4" fontId="0" fillId="0" borderId="0" xfId="0" applyNumberFormat="1"/>
    <xf numFmtId="0" fontId="11" fillId="0" borderId="4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" fontId="13" fillId="0" borderId="2" xfId="0" applyNumberFormat="1" applyFont="1" applyBorder="1" applyAlignment="1">
      <alignment horizontal="center" vertical="center" wrapText="1"/>
    </xf>
    <xf numFmtId="0" fontId="15" fillId="0" borderId="0" xfId="0" applyFont="1"/>
    <xf numFmtId="3" fontId="13" fillId="0" borderId="2" xfId="0" applyNumberFormat="1" applyFont="1" applyBorder="1" applyAlignment="1">
      <alignment horizontal="center" vertical="center" wrapText="1"/>
    </xf>
    <xf numFmtId="3" fontId="0" fillId="0" borderId="0" xfId="0" applyNumberFormat="1"/>
    <xf numFmtId="176" fontId="0" fillId="0" borderId="0" xfId="0" applyNumberFormat="1"/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07A9-E24D-4C53-B5DD-4862209DCC69}">
  <dimension ref="A1:R22"/>
  <sheetViews>
    <sheetView workbookViewId="0">
      <selection activeCell="R20" sqref="R20"/>
    </sheetView>
  </sheetViews>
  <sheetFormatPr defaultRowHeight="17.399999999999999" x14ac:dyDescent="0.4"/>
  <cols>
    <col min="1" max="1" width="16" customWidth="1"/>
    <col min="2" max="2" width="32.59765625" customWidth="1"/>
    <col min="3" max="8" width="5" customWidth="1"/>
    <col min="9" max="11" width="4.5" customWidth="1"/>
    <col min="12" max="13" width="5.19921875" customWidth="1"/>
    <col min="14" max="14" width="5.09765625" customWidth="1"/>
    <col min="15" max="17" width="4.59765625" customWidth="1"/>
  </cols>
  <sheetData>
    <row r="1" spans="1:18" s="17" customFormat="1" x14ac:dyDescent="0.4">
      <c r="A1" s="15"/>
      <c r="B1" s="97" t="s">
        <v>21</v>
      </c>
      <c r="C1" s="98"/>
      <c r="D1" s="98"/>
      <c r="E1" s="99"/>
      <c r="F1" s="100" t="s">
        <v>22</v>
      </c>
      <c r="G1" s="101"/>
      <c r="H1" s="101"/>
      <c r="I1" s="101" t="s">
        <v>78</v>
      </c>
      <c r="J1" s="101"/>
      <c r="K1" s="101"/>
      <c r="L1" s="102" t="s">
        <v>80</v>
      </c>
      <c r="M1" s="103"/>
      <c r="N1" s="103"/>
      <c r="O1" s="104" t="s">
        <v>85</v>
      </c>
      <c r="P1" s="104"/>
      <c r="Q1" s="105"/>
      <c r="R1" s="16" t="s">
        <v>84</v>
      </c>
    </row>
    <row r="2" spans="1:18" s="17" customFormat="1" x14ac:dyDescent="0.4">
      <c r="A2" s="18"/>
      <c r="B2" s="19"/>
      <c r="C2" s="20" t="s">
        <v>20</v>
      </c>
      <c r="D2" s="21" t="s">
        <v>81</v>
      </c>
      <c r="E2" s="22" t="s">
        <v>82</v>
      </c>
      <c r="F2" s="70" t="s">
        <v>20</v>
      </c>
      <c r="G2" s="23" t="s">
        <v>81</v>
      </c>
      <c r="H2" s="24" t="s">
        <v>82</v>
      </c>
      <c r="I2" s="77" t="s">
        <v>20</v>
      </c>
      <c r="J2" s="17" t="s">
        <v>81</v>
      </c>
      <c r="K2" s="17" t="s">
        <v>82</v>
      </c>
      <c r="L2" s="78" t="s">
        <v>20</v>
      </c>
      <c r="M2" s="15" t="s">
        <v>81</v>
      </c>
      <c r="N2" s="15" t="s">
        <v>82</v>
      </c>
      <c r="O2" s="75" t="s">
        <v>20</v>
      </c>
      <c r="P2" s="25" t="s">
        <v>81</v>
      </c>
      <c r="Q2" s="26" t="s">
        <v>82</v>
      </c>
      <c r="R2" s="15" t="s">
        <v>20</v>
      </c>
    </row>
    <row r="3" spans="1:18" s="17" customFormat="1" x14ac:dyDescent="0.4">
      <c r="A3" s="106" t="s">
        <v>15</v>
      </c>
      <c r="B3" s="27" t="s">
        <v>0</v>
      </c>
      <c r="C3" s="28">
        <v>8</v>
      </c>
      <c r="D3" s="29" t="s">
        <v>83</v>
      </c>
      <c r="E3" s="30" t="s">
        <v>83</v>
      </c>
      <c r="F3" s="71">
        <v>8</v>
      </c>
      <c r="G3" s="31"/>
      <c r="H3" s="32"/>
      <c r="I3" s="75">
        <v>8</v>
      </c>
      <c r="J3" s="25"/>
      <c r="K3" s="26"/>
      <c r="L3" s="75">
        <v>8</v>
      </c>
      <c r="M3" s="25"/>
      <c r="N3" s="26"/>
      <c r="O3" s="75">
        <v>8</v>
      </c>
      <c r="P3" s="25"/>
      <c r="Q3" s="26"/>
      <c r="R3" s="15">
        <v>0</v>
      </c>
    </row>
    <row r="4" spans="1:18" s="17" customFormat="1" x14ac:dyDescent="0.4">
      <c r="A4" s="107"/>
      <c r="B4" s="27" t="s">
        <v>1</v>
      </c>
      <c r="C4" s="28">
        <v>2</v>
      </c>
      <c r="D4" s="29" t="s">
        <v>83</v>
      </c>
      <c r="E4" s="30" t="s">
        <v>83</v>
      </c>
      <c r="F4" s="71">
        <v>2</v>
      </c>
      <c r="G4" s="31"/>
      <c r="H4" s="32"/>
      <c r="I4" s="75">
        <v>2</v>
      </c>
      <c r="J4" s="25"/>
      <c r="K4" s="26"/>
      <c r="L4" s="75">
        <v>2</v>
      </c>
      <c r="M4" s="25"/>
      <c r="N4" s="26"/>
      <c r="O4" s="75">
        <v>2</v>
      </c>
      <c r="P4" s="25"/>
      <c r="Q4" s="26"/>
      <c r="R4" s="15">
        <v>0</v>
      </c>
    </row>
    <row r="5" spans="1:18" s="17" customFormat="1" x14ac:dyDescent="0.4">
      <c r="A5" s="106" t="s">
        <v>16</v>
      </c>
      <c r="B5" s="27" t="s">
        <v>2</v>
      </c>
      <c r="C5" s="28">
        <v>8</v>
      </c>
      <c r="D5" s="29" t="s">
        <v>83</v>
      </c>
      <c r="E5" s="30" t="s">
        <v>83</v>
      </c>
      <c r="F5" s="71">
        <v>1</v>
      </c>
      <c r="G5" s="31"/>
      <c r="H5" s="32"/>
      <c r="I5" s="75">
        <v>1</v>
      </c>
      <c r="J5" s="25"/>
      <c r="K5" s="26"/>
      <c r="L5" s="75">
        <v>1</v>
      </c>
      <c r="M5" s="25"/>
      <c r="N5" s="26"/>
      <c r="O5" s="75">
        <v>1</v>
      </c>
      <c r="P5" s="25"/>
      <c r="Q5" s="26"/>
      <c r="R5" s="18">
        <v>7</v>
      </c>
    </row>
    <row r="6" spans="1:18" s="17" customFormat="1" x14ac:dyDescent="0.4">
      <c r="A6" s="107"/>
      <c r="B6" s="34" t="s">
        <v>86</v>
      </c>
      <c r="C6" s="28">
        <v>0</v>
      </c>
      <c r="D6" s="29" t="s">
        <v>83</v>
      </c>
      <c r="E6" s="30" t="s">
        <v>83</v>
      </c>
      <c r="F6" s="71">
        <v>1</v>
      </c>
      <c r="G6" s="31"/>
      <c r="H6" s="32"/>
      <c r="I6" s="75">
        <v>2</v>
      </c>
      <c r="J6" s="25"/>
      <c r="K6" s="26"/>
      <c r="L6" s="75">
        <v>4</v>
      </c>
      <c r="M6" s="25"/>
      <c r="N6" s="26"/>
      <c r="O6" s="75">
        <v>5</v>
      </c>
      <c r="P6" s="25"/>
      <c r="Q6" s="26"/>
      <c r="R6" s="15">
        <f>C6-O6</f>
        <v>-5</v>
      </c>
    </row>
    <row r="7" spans="1:18" s="17" customFormat="1" x14ac:dyDescent="0.4">
      <c r="A7" s="35"/>
      <c r="B7" s="36"/>
      <c r="C7" s="35">
        <f>SUM(C3:C6)</f>
        <v>18</v>
      </c>
      <c r="D7" s="35"/>
      <c r="E7" s="35"/>
      <c r="F7" s="35"/>
      <c r="G7" s="35"/>
      <c r="H7" s="35"/>
      <c r="O7" s="77"/>
    </row>
    <row r="8" spans="1:18" s="17" customFormat="1" x14ac:dyDescent="0.4">
      <c r="A8" s="94" t="s">
        <v>17</v>
      </c>
      <c r="B8" s="27" t="s">
        <v>3</v>
      </c>
      <c r="C8" s="28">
        <v>208</v>
      </c>
      <c r="D8" s="37">
        <v>135</v>
      </c>
      <c r="E8" s="38">
        <v>73</v>
      </c>
      <c r="F8" s="71">
        <v>19</v>
      </c>
      <c r="G8" s="31"/>
      <c r="H8" s="39"/>
      <c r="I8" s="75">
        <v>23</v>
      </c>
      <c r="J8" s="25"/>
      <c r="K8" s="40"/>
      <c r="L8" s="75">
        <v>29</v>
      </c>
      <c r="M8" s="25"/>
      <c r="N8" s="40"/>
      <c r="O8" s="75">
        <v>29</v>
      </c>
      <c r="P8" s="25">
        <v>27</v>
      </c>
      <c r="Q8" s="26">
        <v>2</v>
      </c>
      <c r="R8" s="15">
        <f>C8-O8</f>
        <v>179</v>
      </c>
    </row>
    <row r="9" spans="1:18" s="17" customFormat="1" x14ac:dyDescent="0.4">
      <c r="A9" s="95"/>
      <c r="B9" s="27" t="s">
        <v>4</v>
      </c>
      <c r="C9" s="28">
        <v>108</v>
      </c>
      <c r="D9" s="37">
        <v>91</v>
      </c>
      <c r="E9" s="38">
        <v>17</v>
      </c>
      <c r="F9" s="71">
        <v>44</v>
      </c>
      <c r="G9" s="31"/>
      <c r="H9" s="39"/>
      <c r="I9" s="75">
        <v>50</v>
      </c>
      <c r="J9" s="25"/>
      <c r="K9" s="40"/>
      <c r="L9" s="75">
        <v>56</v>
      </c>
      <c r="M9" s="25"/>
      <c r="N9" s="40"/>
      <c r="O9" s="81">
        <v>60</v>
      </c>
      <c r="P9" s="25">
        <v>51</v>
      </c>
      <c r="Q9" s="80">
        <v>9</v>
      </c>
      <c r="R9" s="15">
        <f>C9-O9</f>
        <v>48</v>
      </c>
    </row>
    <row r="10" spans="1:18" s="17" customFormat="1" x14ac:dyDescent="0.4">
      <c r="A10" s="95"/>
      <c r="B10" s="27" t="s">
        <v>5</v>
      </c>
      <c r="C10" s="28">
        <v>25</v>
      </c>
      <c r="D10" s="37">
        <v>23</v>
      </c>
      <c r="E10" s="38">
        <v>5</v>
      </c>
      <c r="F10" s="71">
        <v>16</v>
      </c>
      <c r="G10" s="31"/>
      <c r="H10" s="39"/>
      <c r="I10" s="75">
        <v>16</v>
      </c>
      <c r="J10" s="25"/>
      <c r="K10" s="40"/>
      <c r="L10" s="75">
        <v>20</v>
      </c>
      <c r="M10" s="25"/>
      <c r="N10" s="40"/>
      <c r="O10" s="81">
        <v>17</v>
      </c>
      <c r="P10" s="25">
        <v>17</v>
      </c>
      <c r="Q10" s="80">
        <v>0</v>
      </c>
      <c r="R10" s="15">
        <f>C10-O10</f>
        <v>8</v>
      </c>
    </row>
    <row r="11" spans="1:18" s="17" customFormat="1" x14ac:dyDescent="0.4">
      <c r="A11" s="95"/>
      <c r="B11" s="41" t="s">
        <v>6</v>
      </c>
      <c r="C11" s="28">
        <v>74</v>
      </c>
      <c r="D11" s="29" t="s">
        <v>83</v>
      </c>
      <c r="E11" s="30" t="s">
        <v>83</v>
      </c>
      <c r="F11" s="71">
        <v>1</v>
      </c>
      <c r="G11" s="31"/>
      <c r="H11" s="39"/>
      <c r="I11" s="75">
        <v>3</v>
      </c>
      <c r="J11" s="25"/>
      <c r="K11" s="40"/>
      <c r="L11" s="75">
        <v>4</v>
      </c>
      <c r="M11" s="25"/>
      <c r="N11" s="40"/>
      <c r="O11" s="81">
        <v>7</v>
      </c>
      <c r="P11" s="25"/>
      <c r="Q11" s="80">
        <v>7</v>
      </c>
      <c r="R11" s="15">
        <f>C11-L11</f>
        <v>70</v>
      </c>
    </row>
    <row r="12" spans="1:18" s="17" customFormat="1" x14ac:dyDescent="0.4">
      <c r="A12" s="95"/>
      <c r="B12" s="41" t="s">
        <v>7</v>
      </c>
      <c r="C12" s="28">
        <v>17</v>
      </c>
      <c r="D12" s="29" t="s">
        <v>83</v>
      </c>
      <c r="E12" s="30" t="s">
        <v>83</v>
      </c>
      <c r="F12" s="71">
        <v>15</v>
      </c>
      <c r="G12" s="31"/>
      <c r="H12" s="39"/>
      <c r="I12" s="75">
        <v>17</v>
      </c>
      <c r="J12" s="25"/>
      <c r="K12" s="40"/>
      <c r="L12" s="75">
        <v>21</v>
      </c>
      <c r="M12" s="25"/>
      <c r="N12" s="40"/>
      <c r="O12" s="81">
        <v>24</v>
      </c>
      <c r="P12" s="25"/>
      <c r="Q12" s="80">
        <v>24</v>
      </c>
      <c r="R12" s="15">
        <f>C12-O12</f>
        <v>-7</v>
      </c>
    </row>
    <row r="13" spans="1:18" s="17" customFormat="1" x14ac:dyDescent="0.4">
      <c r="A13" s="95"/>
      <c r="B13" s="41" t="s">
        <v>8</v>
      </c>
      <c r="C13" s="28">
        <v>2</v>
      </c>
      <c r="D13" s="29" t="s">
        <v>83</v>
      </c>
      <c r="E13" s="30" t="s">
        <v>83</v>
      </c>
      <c r="F13" s="71">
        <v>5</v>
      </c>
      <c r="G13" s="31"/>
      <c r="H13" s="39"/>
      <c r="I13" s="75">
        <v>5</v>
      </c>
      <c r="J13" s="25"/>
      <c r="K13" s="40"/>
      <c r="L13" s="75">
        <v>5</v>
      </c>
      <c r="M13" s="25"/>
      <c r="N13" s="40"/>
      <c r="O13" s="81">
        <v>2</v>
      </c>
      <c r="P13" s="25"/>
      <c r="Q13" s="80">
        <v>2</v>
      </c>
      <c r="R13" s="15">
        <f>C13-L13</f>
        <v>-3</v>
      </c>
    </row>
    <row r="14" spans="1:18" s="17" customFormat="1" x14ac:dyDescent="0.4">
      <c r="A14" s="94" t="s">
        <v>18</v>
      </c>
      <c r="B14" s="41" t="s">
        <v>9</v>
      </c>
      <c r="C14" s="28">
        <v>12</v>
      </c>
      <c r="D14" s="37">
        <v>10</v>
      </c>
      <c r="E14" s="38">
        <v>2</v>
      </c>
      <c r="F14" s="71">
        <v>15</v>
      </c>
      <c r="G14" s="31"/>
      <c r="H14" s="39"/>
      <c r="I14" s="75">
        <v>15</v>
      </c>
      <c r="J14" s="25"/>
      <c r="K14" s="40"/>
      <c r="L14" s="75">
        <v>16</v>
      </c>
      <c r="M14" s="25"/>
      <c r="N14" s="40"/>
      <c r="O14" s="75">
        <v>16</v>
      </c>
      <c r="P14" s="25">
        <v>16</v>
      </c>
      <c r="Q14" s="26">
        <v>0</v>
      </c>
      <c r="R14" s="15">
        <f>C14-L14</f>
        <v>-4</v>
      </c>
    </row>
    <row r="15" spans="1:18" s="17" customFormat="1" x14ac:dyDescent="0.4">
      <c r="A15" s="95"/>
      <c r="B15" s="41" t="s">
        <v>10</v>
      </c>
      <c r="C15" s="28">
        <v>23</v>
      </c>
      <c r="D15" s="37">
        <v>23</v>
      </c>
      <c r="E15" s="38">
        <v>2</v>
      </c>
      <c r="F15" s="71">
        <v>15</v>
      </c>
      <c r="G15" s="31"/>
      <c r="H15" s="39"/>
      <c r="I15" s="75">
        <v>17</v>
      </c>
      <c r="J15" s="25"/>
      <c r="K15" s="40"/>
      <c r="L15" s="75">
        <v>20</v>
      </c>
      <c r="M15" s="25"/>
      <c r="N15" s="40"/>
      <c r="O15" s="75">
        <v>22</v>
      </c>
      <c r="P15" s="25">
        <v>22</v>
      </c>
      <c r="Q15" s="26">
        <v>0</v>
      </c>
      <c r="R15" s="15">
        <f>C15-O15</f>
        <v>1</v>
      </c>
    </row>
    <row r="16" spans="1:18" s="17" customFormat="1" x14ac:dyDescent="0.4">
      <c r="A16" s="95"/>
      <c r="B16" s="41" t="s">
        <v>11</v>
      </c>
      <c r="C16" s="28">
        <v>2</v>
      </c>
      <c r="D16" s="37" t="s">
        <v>83</v>
      </c>
      <c r="E16" s="38" t="s">
        <v>83</v>
      </c>
      <c r="F16" s="71">
        <v>1</v>
      </c>
      <c r="G16" s="31"/>
      <c r="H16" s="39"/>
      <c r="I16" s="75">
        <v>1</v>
      </c>
      <c r="J16" s="25"/>
      <c r="K16" s="40"/>
      <c r="L16" s="75">
        <v>1</v>
      </c>
      <c r="M16" s="25"/>
      <c r="N16" s="40"/>
      <c r="O16" s="75">
        <v>1</v>
      </c>
      <c r="P16" s="25">
        <v>1</v>
      </c>
      <c r="Q16" s="26">
        <v>0</v>
      </c>
      <c r="R16" s="15">
        <f>C16-L16</f>
        <v>1</v>
      </c>
    </row>
    <row r="17" spans="1:18" s="17" customFormat="1" x14ac:dyDescent="0.4">
      <c r="A17" s="95"/>
      <c r="B17" s="42" t="s">
        <v>12</v>
      </c>
      <c r="C17" s="43">
        <v>2</v>
      </c>
      <c r="D17" s="44" t="s">
        <v>83</v>
      </c>
      <c r="E17" s="45">
        <v>2</v>
      </c>
      <c r="F17" s="72">
        <v>0</v>
      </c>
      <c r="G17" s="46"/>
      <c r="H17" s="47"/>
      <c r="I17" s="75">
        <v>0</v>
      </c>
      <c r="J17" s="25"/>
      <c r="K17" s="40"/>
      <c r="L17" s="75">
        <v>1</v>
      </c>
      <c r="M17" s="25"/>
      <c r="N17" s="40"/>
      <c r="O17" s="81">
        <v>0</v>
      </c>
      <c r="P17" s="25">
        <v>0</v>
      </c>
      <c r="Q17" s="80">
        <v>0</v>
      </c>
      <c r="R17" s="15">
        <f>C17-L17</f>
        <v>1</v>
      </c>
    </row>
    <row r="18" spans="1:18" s="17" customFormat="1" ht="31.2" x14ac:dyDescent="0.4">
      <c r="A18" s="95"/>
      <c r="B18" s="48" t="s">
        <v>87</v>
      </c>
      <c r="C18" s="49">
        <v>0</v>
      </c>
      <c r="D18" s="50"/>
      <c r="E18" s="38"/>
      <c r="F18" s="73">
        <v>0</v>
      </c>
      <c r="G18" s="31"/>
      <c r="H18" s="32"/>
      <c r="I18" s="75">
        <v>0</v>
      </c>
      <c r="J18" s="25"/>
      <c r="K18" s="26"/>
      <c r="L18" s="75">
        <v>5</v>
      </c>
      <c r="M18" s="25"/>
      <c r="N18" s="40"/>
      <c r="O18" s="75">
        <v>5</v>
      </c>
      <c r="P18" s="25">
        <v>0</v>
      </c>
      <c r="Q18" s="26">
        <v>5</v>
      </c>
      <c r="R18" s="15">
        <f>C18-L18</f>
        <v>-5</v>
      </c>
    </row>
    <row r="19" spans="1:18" s="17" customFormat="1" ht="31.2" x14ac:dyDescent="0.4">
      <c r="A19" s="96"/>
      <c r="B19" s="48" t="s">
        <v>88</v>
      </c>
      <c r="C19" s="51">
        <v>0</v>
      </c>
      <c r="D19" s="50"/>
      <c r="E19" s="38"/>
      <c r="F19" s="74">
        <v>2</v>
      </c>
      <c r="G19" s="52"/>
      <c r="H19" s="32"/>
      <c r="I19" s="76">
        <v>2</v>
      </c>
      <c r="J19" s="53"/>
      <c r="K19" s="26"/>
      <c r="L19" s="76">
        <v>3</v>
      </c>
      <c r="M19" s="25"/>
      <c r="N19" s="40"/>
      <c r="O19" s="75">
        <v>3</v>
      </c>
      <c r="P19" s="25">
        <v>0</v>
      </c>
      <c r="Q19" s="26">
        <v>3</v>
      </c>
      <c r="R19" s="15">
        <f>C19-O19</f>
        <v>-3</v>
      </c>
    </row>
    <row r="20" spans="1:18" s="17" customFormat="1" x14ac:dyDescent="0.4">
      <c r="A20" s="54" t="s">
        <v>23</v>
      </c>
      <c r="B20" s="55"/>
      <c r="C20" s="56">
        <f>SUM(C8:C19)</f>
        <v>473</v>
      </c>
      <c r="D20" s="56">
        <f t="shared" ref="D20:E20" si="0">SUM(D8:D19)</f>
        <v>282</v>
      </c>
      <c r="E20" s="56">
        <f t="shared" si="0"/>
        <v>101</v>
      </c>
      <c r="F20" s="58">
        <f>SUM(F8:F19)</f>
        <v>133</v>
      </c>
      <c r="G20" s="59"/>
      <c r="H20" s="60"/>
      <c r="I20" s="61">
        <f>SUM(I8:I19)</f>
        <v>149</v>
      </c>
      <c r="J20" s="62"/>
      <c r="K20" s="63"/>
      <c r="L20" s="61">
        <f>SUM(L8:L19)</f>
        <v>181</v>
      </c>
      <c r="M20" s="61"/>
      <c r="N20" s="61"/>
      <c r="O20" s="79">
        <f>SUM(O8:O19)</f>
        <v>186</v>
      </c>
      <c r="P20" s="61">
        <f>SUM(P8:P19)</f>
        <v>134</v>
      </c>
      <c r="Q20" s="61">
        <f>SUM(Q8:Q19)</f>
        <v>52</v>
      </c>
      <c r="R20" s="16">
        <f>SUM(R8:R19)</f>
        <v>286</v>
      </c>
    </row>
    <row r="21" spans="1:18" s="17" customFormat="1" x14ac:dyDescent="0.4">
      <c r="A21" s="33" t="s">
        <v>19</v>
      </c>
      <c r="B21" s="64" t="s">
        <v>13</v>
      </c>
      <c r="C21" s="65">
        <v>15</v>
      </c>
      <c r="D21" s="35"/>
      <c r="E21" s="35"/>
      <c r="F21" s="35"/>
      <c r="G21" s="35"/>
      <c r="H21" s="35"/>
    </row>
    <row r="22" spans="1:18" s="17" customFormat="1" x14ac:dyDescent="0.4">
      <c r="A22" s="66" t="s">
        <v>20</v>
      </c>
      <c r="B22" s="67" t="s">
        <v>14</v>
      </c>
      <c r="C22" s="68">
        <f>SUM(C3:C6,C8:C19,C21)</f>
        <v>506</v>
      </c>
      <c r="D22" s="57"/>
      <c r="E22" s="57"/>
      <c r="F22" s="69"/>
      <c r="G22" s="69"/>
      <c r="H22" s="69"/>
    </row>
  </sheetData>
  <mergeCells count="9">
    <mergeCell ref="L1:N1"/>
    <mergeCell ref="O1:Q1"/>
    <mergeCell ref="A3:A4"/>
    <mergeCell ref="A5:A6"/>
    <mergeCell ref="A8:A13"/>
    <mergeCell ref="A14:A19"/>
    <mergeCell ref="B1:E1"/>
    <mergeCell ref="F1:H1"/>
    <mergeCell ref="I1:K1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C8A0-8C5F-4707-AA06-233BEFF885DB}">
  <dimension ref="A1:L18"/>
  <sheetViews>
    <sheetView topLeftCell="A2" workbookViewId="0">
      <selection activeCell="E7" sqref="E7:E10"/>
    </sheetView>
  </sheetViews>
  <sheetFormatPr defaultRowHeight="17.399999999999999" x14ac:dyDescent="0.4"/>
  <cols>
    <col min="1" max="2" width="10.69921875" customWidth="1"/>
    <col min="3" max="3" width="8.19921875" customWidth="1"/>
    <col min="4" max="4" width="24.69921875" customWidth="1"/>
    <col min="5" max="8" width="10.69921875" customWidth="1"/>
  </cols>
  <sheetData>
    <row r="1" spans="1:12" ht="30" customHeight="1" thickBot="1" x14ac:dyDescent="0.45">
      <c r="A1" s="2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4" t="s">
        <v>31</v>
      </c>
    </row>
    <row r="2" spans="1:12" ht="30" customHeight="1" thickBot="1" x14ac:dyDescent="0.45">
      <c r="A2" s="5" t="s">
        <v>32</v>
      </c>
      <c r="B2" s="6" t="s">
        <v>33</v>
      </c>
      <c r="C2" s="6" t="s">
        <v>34</v>
      </c>
      <c r="D2" s="6" t="s">
        <v>35</v>
      </c>
      <c r="E2" s="7">
        <v>606207.56999999995</v>
      </c>
      <c r="F2" s="8">
        <v>1</v>
      </c>
      <c r="G2" s="6" t="s">
        <v>79</v>
      </c>
      <c r="H2" s="9" t="s">
        <v>58</v>
      </c>
    </row>
    <row r="3" spans="1:12" ht="30" customHeight="1" thickBot="1" x14ac:dyDescent="0.45">
      <c r="A3" s="10" t="s">
        <v>32</v>
      </c>
      <c r="B3" s="11" t="s">
        <v>33</v>
      </c>
      <c r="C3" s="11" t="s">
        <v>36</v>
      </c>
      <c r="D3" s="11" t="s">
        <v>59</v>
      </c>
      <c r="E3" s="12">
        <v>471496.93</v>
      </c>
      <c r="F3" s="13">
        <v>1</v>
      </c>
      <c r="G3" s="11" t="s">
        <v>79</v>
      </c>
      <c r="H3" s="14" t="s">
        <v>58</v>
      </c>
      <c r="K3" s="1">
        <v>0.3</v>
      </c>
      <c r="L3" s="1">
        <v>141.9</v>
      </c>
    </row>
    <row r="4" spans="1:12" ht="30" customHeight="1" thickBot="1" x14ac:dyDescent="0.45">
      <c r="A4" s="10" t="s">
        <v>32</v>
      </c>
      <c r="B4" s="11" t="s">
        <v>33</v>
      </c>
      <c r="C4" s="11" t="s">
        <v>37</v>
      </c>
      <c r="D4" s="11" t="s">
        <v>60</v>
      </c>
      <c r="E4" s="12">
        <v>471496.93</v>
      </c>
      <c r="F4" s="13">
        <v>1</v>
      </c>
      <c r="G4" s="11"/>
      <c r="H4" s="14" t="s">
        <v>58</v>
      </c>
      <c r="K4" s="1">
        <v>0.35</v>
      </c>
      <c r="L4" s="1">
        <v>165.54999999999998</v>
      </c>
    </row>
    <row r="5" spans="1:12" ht="30" customHeight="1" thickBot="1" x14ac:dyDescent="0.45">
      <c r="A5" s="10" t="s">
        <v>32</v>
      </c>
      <c r="B5" s="11" t="s">
        <v>33</v>
      </c>
      <c r="C5" s="11" t="s">
        <v>38</v>
      </c>
      <c r="D5" s="11" t="s">
        <v>62</v>
      </c>
      <c r="E5" s="12">
        <v>471496.93</v>
      </c>
      <c r="F5" s="13">
        <v>1</v>
      </c>
      <c r="G5" s="11" t="s">
        <v>79</v>
      </c>
      <c r="H5" s="14" t="s">
        <v>61</v>
      </c>
      <c r="K5" s="1">
        <v>0.4</v>
      </c>
      <c r="L5" s="1">
        <v>189.20000000000002</v>
      </c>
    </row>
    <row r="6" spans="1:12" ht="30" customHeight="1" thickBot="1" x14ac:dyDescent="0.45">
      <c r="A6" s="10" t="s">
        <v>32</v>
      </c>
      <c r="B6" s="11" t="s">
        <v>33</v>
      </c>
      <c r="C6" s="11" t="s">
        <v>39</v>
      </c>
      <c r="D6" s="11" t="s">
        <v>63</v>
      </c>
      <c r="E6" s="12">
        <v>404131.92</v>
      </c>
      <c r="F6" s="13">
        <v>1</v>
      </c>
      <c r="G6" s="11" t="s">
        <v>79</v>
      </c>
      <c r="H6" s="14" t="s">
        <v>75</v>
      </c>
      <c r="K6" s="1">
        <v>0.5</v>
      </c>
      <c r="L6" s="1">
        <v>236.5</v>
      </c>
    </row>
    <row r="7" spans="1:12" ht="30" customHeight="1" thickBot="1" x14ac:dyDescent="0.45">
      <c r="A7" s="10" t="s">
        <v>32</v>
      </c>
      <c r="B7" s="11" t="s">
        <v>33</v>
      </c>
      <c r="C7" s="11" t="s">
        <v>40</v>
      </c>
      <c r="D7" s="11" t="s">
        <v>64</v>
      </c>
      <c r="E7" s="12">
        <v>404131.92</v>
      </c>
      <c r="F7" s="13">
        <v>1</v>
      </c>
      <c r="G7" s="11"/>
      <c r="H7" s="14" t="s">
        <v>76</v>
      </c>
      <c r="K7" s="1">
        <v>0.55000000000000004</v>
      </c>
      <c r="L7" s="1">
        <v>260.14999999999998</v>
      </c>
    </row>
    <row r="8" spans="1:12" ht="30" customHeight="1" thickBot="1" x14ac:dyDescent="0.45">
      <c r="A8" s="10" t="s">
        <v>32</v>
      </c>
      <c r="B8" s="11" t="s">
        <v>33</v>
      </c>
      <c r="C8" s="11" t="s">
        <v>41</v>
      </c>
      <c r="D8" s="11" t="s">
        <v>65</v>
      </c>
      <c r="E8" s="12">
        <v>336776.59</v>
      </c>
      <c r="F8" s="13">
        <v>1</v>
      </c>
      <c r="G8" s="11"/>
      <c r="H8" s="14" t="s">
        <v>66</v>
      </c>
      <c r="K8" s="1">
        <v>0.6</v>
      </c>
      <c r="L8" s="1">
        <v>283.79999999999995</v>
      </c>
    </row>
    <row r="9" spans="1:12" ht="30" customHeight="1" thickBot="1" x14ac:dyDescent="0.45">
      <c r="A9" s="10" t="s">
        <v>32</v>
      </c>
      <c r="B9" s="11" t="s">
        <v>33</v>
      </c>
      <c r="C9" s="11" t="s">
        <v>42</v>
      </c>
      <c r="D9" s="11" t="s">
        <v>43</v>
      </c>
      <c r="E9" s="12">
        <v>336776.59</v>
      </c>
      <c r="F9" s="13">
        <v>1</v>
      </c>
      <c r="G9" s="11"/>
      <c r="H9" s="14" t="s">
        <v>67</v>
      </c>
      <c r="K9" s="1">
        <v>0.65</v>
      </c>
      <c r="L9" s="1">
        <v>307.44999999999993</v>
      </c>
    </row>
    <row r="10" spans="1:12" ht="30" customHeight="1" thickBot="1" x14ac:dyDescent="0.45">
      <c r="A10" s="10" t="s">
        <v>32</v>
      </c>
      <c r="B10" s="11" t="s">
        <v>33</v>
      </c>
      <c r="C10" s="11" t="s">
        <v>44</v>
      </c>
      <c r="D10" s="11" t="s">
        <v>45</v>
      </c>
      <c r="E10" s="12">
        <v>269421.27</v>
      </c>
      <c r="F10" s="13">
        <v>1</v>
      </c>
      <c r="G10" s="11"/>
      <c r="H10" s="14" t="s">
        <v>68</v>
      </c>
      <c r="K10" s="1">
        <v>0.7</v>
      </c>
      <c r="L10" s="1">
        <v>331.09999999999991</v>
      </c>
    </row>
    <row r="11" spans="1:12" ht="30" customHeight="1" thickBot="1" x14ac:dyDescent="0.45">
      <c r="A11" s="10" t="s">
        <v>32</v>
      </c>
      <c r="B11" s="11" t="s">
        <v>33</v>
      </c>
      <c r="C11" s="11" t="s">
        <v>46</v>
      </c>
      <c r="D11" s="11" t="s">
        <v>47</v>
      </c>
      <c r="E11" s="12">
        <v>269421.27</v>
      </c>
      <c r="F11" s="13">
        <v>1</v>
      </c>
      <c r="G11" s="11"/>
      <c r="H11" s="14" t="s">
        <v>69</v>
      </c>
      <c r="K11" s="1">
        <v>0.75</v>
      </c>
      <c r="L11" s="1">
        <v>354.74999999999989</v>
      </c>
    </row>
    <row r="12" spans="1:12" ht="30" customHeight="1" thickBot="1" x14ac:dyDescent="0.45">
      <c r="A12" s="10" t="s">
        <v>32</v>
      </c>
      <c r="B12" s="11" t="s">
        <v>33</v>
      </c>
      <c r="C12" s="11" t="s">
        <v>48</v>
      </c>
      <c r="D12" s="11" t="s">
        <v>49</v>
      </c>
      <c r="E12" s="12">
        <v>202065.95</v>
      </c>
      <c r="F12" s="13">
        <v>1</v>
      </c>
      <c r="G12" s="11"/>
      <c r="H12" s="14" t="s">
        <v>70</v>
      </c>
      <c r="K12" s="1">
        <v>0.8</v>
      </c>
      <c r="L12" s="1">
        <v>378.39999999999986</v>
      </c>
    </row>
    <row r="13" spans="1:12" ht="30" customHeight="1" thickBot="1" x14ac:dyDescent="0.45">
      <c r="A13" s="10" t="s">
        <v>32</v>
      </c>
      <c r="B13" s="11" t="s">
        <v>33</v>
      </c>
      <c r="C13" s="11" t="s">
        <v>50</v>
      </c>
      <c r="D13" s="11" t="s">
        <v>51</v>
      </c>
      <c r="E13" s="12">
        <v>202065.95</v>
      </c>
      <c r="F13" s="13">
        <v>1</v>
      </c>
      <c r="G13" s="11"/>
      <c r="H13" s="14" t="s">
        <v>71</v>
      </c>
      <c r="K13" s="1">
        <v>0.85</v>
      </c>
      <c r="L13" s="1">
        <v>402.04999999999984</v>
      </c>
    </row>
    <row r="14" spans="1:12" ht="30" customHeight="1" thickBot="1" x14ac:dyDescent="0.45">
      <c r="A14" s="10" t="s">
        <v>32</v>
      </c>
      <c r="B14" s="11" t="s">
        <v>33</v>
      </c>
      <c r="C14" s="11" t="s">
        <v>52</v>
      </c>
      <c r="D14" s="11" t="s">
        <v>53</v>
      </c>
      <c r="E14" s="12">
        <v>202065.95</v>
      </c>
      <c r="F14" s="13">
        <v>1</v>
      </c>
      <c r="G14" s="11"/>
      <c r="H14" s="14" t="s">
        <v>77</v>
      </c>
      <c r="K14" s="1">
        <v>0.9</v>
      </c>
      <c r="L14" s="1">
        <v>425.69999999999982</v>
      </c>
    </row>
    <row r="15" spans="1:12" ht="30" customHeight="1" thickBot="1" x14ac:dyDescent="0.45">
      <c r="A15" s="10" t="s">
        <v>32</v>
      </c>
      <c r="B15" s="11" t="s">
        <v>33</v>
      </c>
      <c r="C15" s="11" t="s">
        <v>54</v>
      </c>
      <c r="D15" s="11" t="s">
        <v>55</v>
      </c>
      <c r="E15" s="12">
        <v>202065.95</v>
      </c>
      <c r="F15" s="13">
        <v>1</v>
      </c>
      <c r="G15" s="11"/>
      <c r="H15" s="14" t="s">
        <v>72</v>
      </c>
      <c r="K15" s="1">
        <v>0.95</v>
      </c>
      <c r="L15" s="1">
        <v>449.3499999999998</v>
      </c>
    </row>
    <row r="16" spans="1:12" ht="30" customHeight="1" thickBot="1" x14ac:dyDescent="0.45">
      <c r="A16" s="5" t="s">
        <v>32</v>
      </c>
      <c r="B16" s="6" t="s">
        <v>33</v>
      </c>
      <c r="C16" s="6" t="s">
        <v>56</v>
      </c>
      <c r="D16" s="6" t="s">
        <v>57</v>
      </c>
      <c r="E16" s="7">
        <v>165186.48000000001</v>
      </c>
      <c r="F16" s="8">
        <v>1</v>
      </c>
      <c r="G16" s="6"/>
      <c r="H16" s="9" t="s">
        <v>73</v>
      </c>
      <c r="K16" s="1">
        <v>1</v>
      </c>
      <c r="L16" s="1">
        <v>472.99999999999977</v>
      </c>
    </row>
    <row r="18" spans="11:11" x14ac:dyDescent="0.4">
      <c r="K18" t="s">
        <v>74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4BC7-DFC2-418C-9A61-82842EFF08CB}">
  <dimension ref="B2:R29"/>
  <sheetViews>
    <sheetView tabSelected="1" topLeftCell="C1" zoomScale="110" zoomScaleNormal="110" workbookViewId="0">
      <selection activeCell="B4" sqref="B4:R8"/>
    </sheetView>
  </sheetViews>
  <sheetFormatPr defaultRowHeight="17.399999999999999" x14ac:dyDescent="0.4"/>
  <cols>
    <col min="7" max="7" width="10.296875" customWidth="1"/>
    <col min="8" max="8" width="12.3984375" bestFit="1" customWidth="1"/>
    <col min="10" max="10" width="12.59765625" bestFit="1" customWidth="1"/>
    <col min="13" max="13" width="10.19921875" bestFit="1" customWidth="1"/>
  </cols>
  <sheetData>
    <row r="2" spans="2:18" x14ac:dyDescent="0.4">
      <c r="B2" t="s">
        <v>95</v>
      </c>
    </row>
    <row r="3" spans="2:18" ht="18" thickBot="1" x14ac:dyDescent="0.45">
      <c r="B3" s="90" t="s">
        <v>96</v>
      </c>
    </row>
    <row r="4" spans="2:18" ht="18" thickBot="1" x14ac:dyDescent="0.45">
      <c r="B4" s="85"/>
      <c r="C4" s="86" t="s">
        <v>89</v>
      </c>
      <c r="D4" s="86" t="s">
        <v>89</v>
      </c>
      <c r="E4" s="86" t="s">
        <v>89</v>
      </c>
      <c r="F4" s="86" t="s">
        <v>89</v>
      </c>
      <c r="G4" s="86" t="s">
        <v>89</v>
      </c>
      <c r="H4" s="86" t="s">
        <v>90</v>
      </c>
      <c r="I4" s="86" t="s">
        <v>90</v>
      </c>
      <c r="J4" s="86" t="s">
        <v>90</v>
      </c>
      <c r="K4" s="86" t="s">
        <v>90</v>
      </c>
      <c r="L4" s="86" t="s">
        <v>90</v>
      </c>
      <c r="M4" s="86" t="s">
        <v>90</v>
      </c>
      <c r="N4" s="86" t="s">
        <v>90</v>
      </c>
      <c r="O4" s="86" t="s">
        <v>90</v>
      </c>
      <c r="P4" s="86" t="s">
        <v>90</v>
      </c>
      <c r="Q4" s="86" t="s">
        <v>90</v>
      </c>
      <c r="R4" s="86" t="s">
        <v>90</v>
      </c>
    </row>
    <row r="5" spans="2:18" ht="18" thickBot="1" x14ac:dyDescent="0.45">
      <c r="B5" s="82" t="s">
        <v>91</v>
      </c>
      <c r="C5" s="83">
        <v>46290</v>
      </c>
      <c r="D5" s="83">
        <v>46320</v>
      </c>
      <c r="E5" s="83">
        <v>46351</v>
      </c>
      <c r="F5" s="83">
        <v>46381</v>
      </c>
      <c r="G5" s="83">
        <v>46048</v>
      </c>
      <c r="H5" s="83">
        <v>46079</v>
      </c>
      <c r="I5" s="83">
        <v>46107</v>
      </c>
      <c r="J5" s="83">
        <v>46138</v>
      </c>
      <c r="K5" s="83">
        <v>46168</v>
      </c>
      <c r="L5" s="83">
        <v>46199</v>
      </c>
      <c r="M5" s="83">
        <v>46229</v>
      </c>
      <c r="N5" s="83">
        <v>46260</v>
      </c>
      <c r="O5" s="83">
        <v>46291</v>
      </c>
      <c r="P5" s="83">
        <v>46321</v>
      </c>
      <c r="Q5" s="83">
        <v>46352</v>
      </c>
      <c r="R5" s="83">
        <v>46382</v>
      </c>
    </row>
    <row r="6" spans="2:18" ht="22.2" thickBot="1" x14ac:dyDescent="0.45">
      <c r="B6" s="87" t="s">
        <v>92</v>
      </c>
      <c r="C6" s="88"/>
      <c r="D6" s="89">
        <v>204168.09</v>
      </c>
      <c r="E6" s="89">
        <v>417332.04</v>
      </c>
      <c r="F6" s="89">
        <v>133693.23000000001</v>
      </c>
      <c r="G6" s="89">
        <v>49476.78</v>
      </c>
      <c r="H6" s="89">
        <v>183170.01</v>
      </c>
      <c r="I6" s="89">
        <v>183170.01</v>
      </c>
      <c r="J6" s="89">
        <v>183170.01</v>
      </c>
      <c r="K6" s="89">
        <v>183170.01</v>
      </c>
      <c r="L6" s="89">
        <v>183170.01</v>
      </c>
      <c r="M6" s="89">
        <v>183170.01</v>
      </c>
      <c r="N6" s="89">
        <v>183170.01</v>
      </c>
      <c r="O6" s="89">
        <v>183170.01</v>
      </c>
      <c r="P6" s="89">
        <v>183170.01</v>
      </c>
      <c r="Q6" s="89">
        <v>183170.01</v>
      </c>
      <c r="R6" s="89">
        <v>183170.01</v>
      </c>
    </row>
    <row r="7" spans="2:18" ht="22.2" thickBot="1" x14ac:dyDescent="0.45">
      <c r="B7" s="87" t="s">
        <v>93</v>
      </c>
      <c r="C7" s="89">
        <v>-5769.39</v>
      </c>
      <c r="D7" s="89">
        <v>23016.65</v>
      </c>
      <c r="E7" s="89">
        <v>11632.19</v>
      </c>
      <c r="F7" s="89">
        <v>32648.93</v>
      </c>
      <c r="G7" s="89">
        <v>37529.360000000001</v>
      </c>
      <c r="H7" s="89">
        <v>69898.94</v>
      </c>
      <c r="I7" s="91">
        <v>50000</v>
      </c>
      <c r="J7" s="91">
        <v>50000</v>
      </c>
      <c r="K7" s="91">
        <v>50000</v>
      </c>
      <c r="L7" s="91">
        <v>50000</v>
      </c>
      <c r="M7" s="91">
        <v>50000</v>
      </c>
      <c r="N7" s="91">
        <v>50000</v>
      </c>
      <c r="O7" s="91">
        <v>50000</v>
      </c>
      <c r="P7" s="91">
        <v>50000</v>
      </c>
      <c r="Q7" s="91">
        <v>50000</v>
      </c>
      <c r="R7" s="91">
        <v>50000</v>
      </c>
    </row>
    <row r="8" spans="2:18" ht="22.2" thickBot="1" x14ac:dyDescent="0.45">
      <c r="B8" s="87" t="s">
        <v>94</v>
      </c>
      <c r="C8" s="89">
        <v>-5769.39</v>
      </c>
      <c r="D8" s="89">
        <v>227184.74</v>
      </c>
      <c r="E8" s="89">
        <v>428964.23</v>
      </c>
      <c r="F8" s="89">
        <v>166342.16</v>
      </c>
      <c r="G8" s="89">
        <v>87006.14</v>
      </c>
      <c r="H8" s="89">
        <f>H6+H7</f>
        <v>253068.95</v>
      </c>
      <c r="I8" s="89">
        <f>I6+I7</f>
        <v>233170.01</v>
      </c>
      <c r="J8" s="89">
        <f t="shared" ref="J8:R8" si="0">J6+J7</f>
        <v>233170.01</v>
      </c>
      <c r="K8" s="89">
        <f t="shared" si="0"/>
        <v>233170.01</v>
      </c>
      <c r="L8" s="89">
        <f t="shared" si="0"/>
        <v>233170.01</v>
      </c>
      <c r="M8" s="89">
        <f t="shared" si="0"/>
        <v>233170.01</v>
      </c>
      <c r="N8" s="89">
        <f t="shared" si="0"/>
        <v>233170.01</v>
      </c>
      <c r="O8" s="89">
        <f t="shared" si="0"/>
        <v>233170.01</v>
      </c>
      <c r="P8" s="89">
        <f t="shared" si="0"/>
        <v>233170.01</v>
      </c>
      <c r="Q8" s="89">
        <f t="shared" si="0"/>
        <v>233170.01</v>
      </c>
      <c r="R8" s="89">
        <f t="shared" si="0"/>
        <v>233170.01</v>
      </c>
    </row>
    <row r="10" spans="2:18" x14ac:dyDescent="0.4">
      <c r="G10" t="s">
        <v>97</v>
      </c>
      <c r="H10" s="84">
        <f>SUM(G8:R8)</f>
        <v>2671775.1899999995</v>
      </c>
    </row>
    <row r="11" spans="2:18" x14ac:dyDescent="0.4">
      <c r="G11" t="s">
        <v>102</v>
      </c>
      <c r="H11" s="92">
        <v>2260000</v>
      </c>
      <c r="J11">
        <f>I8*1450</f>
        <v>338096514.5</v>
      </c>
    </row>
    <row r="12" spans="2:18" x14ac:dyDescent="0.4">
      <c r="H12" s="93">
        <f>H11+H10</f>
        <v>4931775.1899999995</v>
      </c>
      <c r="J12">
        <f>H8*1450*11</f>
        <v>4036449752.5</v>
      </c>
    </row>
    <row r="13" spans="2:18" ht="18" thickBot="1" x14ac:dyDescent="0.45">
      <c r="B13" s="12">
        <v>404131.92</v>
      </c>
      <c r="G13" t="s">
        <v>103</v>
      </c>
      <c r="H13">
        <v>1070000</v>
      </c>
      <c r="J13">
        <f>H8*11</f>
        <v>2783758.45</v>
      </c>
    </row>
    <row r="14" spans="2:18" ht="18" thickBot="1" x14ac:dyDescent="0.45">
      <c r="B14" s="12">
        <v>404131.92</v>
      </c>
      <c r="H14" s="93">
        <f>H12-H13</f>
        <v>3861775.1899999995</v>
      </c>
      <c r="J14">
        <f>I8*1300</f>
        <v>303121013</v>
      </c>
      <c r="M14" t="s">
        <v>98</v>
      </c>
    </row>
    <row r="15" spans="2:18" ht="18" thickBot="1" x14ac:dyDescent="0.45">
      <c r="B15" s="12">
        <v>336776.59</v>
      </c>
      <c r="M15" s="108">
        <v>0.29375000000000001</v>
      </c>
    </row>
    <row r="16" spans="2:18" ht="18" thickBot="1" x14ac:dyDescent="0.45">
      <c r="B16" s="12">
        <v>336776.59</v>
      </c>
      <c r="J16">
        <f>4000*12</f>
        <v>48000</v>
      </c>
      <c r="M16" s="108">
        <v>0.25277777777777777</v>
      </c>
    </row>
    <row r="17" spans="2:16" ht="18" thickBot="1" x14ac:dyDescent="0.45">
      <c r="B17" s="12">
        <v>269421.27</v>
      </c>
      <c r="M17" t="s">
        <v>99</v>
      </c>
      <c r="P17" t="s">
        <v>100</v>
      </c>
    </row>
    <row r="18" spans="2:16" x14ac:dyDescent="0.4">
      <c r="P18" t="s">
        <v>101</v>
      </c>
    </row>
    <row r="20" spans="2:16" x14ac:dyDescent="0.4">
      <c r="L20">
        <v>552</v>
      </c>
      <c r="M20" s="84">
        <v>101182.16</v>
      </c>
    </row>
    <row r="21" spans="2:16" x14ac:dyDescent="0.4">
      <c r="L21">
        <v>551</v>
      </c>
      <c r="M21" s="84">
        <v>80395.78</v>
      </c>
    </row>
    <row r="22" spans="2:16" x14ac:dyDescent="0.4">
      <c r="L22">
        <v>550</v>
      </c>
      <c r="M22" s="92">
        <v>77000</v>
      </c>
    </row>
    <row r="23" spans="2:16" x14ac:dyDescent="0.4">
      <c r="L23">
        <v>545</v>
      </c>
      <c r="M23" s="84">
        <v>70534.2</v>
      </c>
    </row>
    <row r="24" spans="2:16" x14ac:dyDescent="0.4">
      <c r="L24">
        <v>544</v>
      </c>
    </row>
    <row r="25" spans="2:16" x14ac:dyDescent="0.4">
      <c r="G25" t="s">
        <v>106</v>
      </c>
      <c r="H25" t="s">
        <v>105</v>
      </c>
      <c r="I25" t="s">
        <v>108</v>
      </c>
      <c r="L25">
        <v>543</v>
      </c>
      <c r="M25" s="84">
        <v>145110</v>
      </c>
    </row>
    <row r="26" spans="2:16" x14ac:dyDescent="0.4">
      <c r="H26" t="s">
        <v>107</v>
      </c>
      <c r="I26" t="s">
        <v>108</v>
      </c>
      <c r="L26">
        <v>541</v>
      </c>
      <c r="M26" s="84">
        <v>95000</v>
      </c>
    </row>
    <row r="27" spans="2:16" x14ac:dyDescent="0.4">
      <c r="G27" t="s">
        <v>109</v>
      </c>
      <c r="L27">
        <v>537</v>
      </c>
      <c r="M27" s="84">
        <v>96000</v>
      </c>
    </row>
    <row r="29" spans="2:16" x14ac:dyDescent="0.4">
      <c r="M29" t="s">
        <v>104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ea060a-a369-4c6f-9292-c6aeddfaa8ea">
      <Terms xmlns="http://schemas.microsoft.com/office/infopath/2007/PartnerControls"/>
    </lcf76f155ced4ddcb4097134ff3c332f>
    <TaxCatchAll xmlns="347009e0-5641-4410-ae44-32902318462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F1775DD65B2F4BAC893CC0F7FF5B82" ma:contentTypeVersion="14" ma:contentTypeDescription="Create a new document." ma:contentTypeScope="" ma:versionID="b43ee7729b5da48915107295a79d19e4">
  <xsd:schema xmlns:xsd="http://www.w3.org/2001/XMLSchema" xmlns:xs="http://www.w3.org/2001/XMLSchema" xmlns:p="http://schemas.microsoft.com/office/2006/metadata/properties" xmlns:ns2="85ea060a-a369-4c6f-9292-c6aeddfaa8ea" xmlns:ns3="347009e0-5641-4410-ae44-32902318462c" targetNamespace="http://schemas.microsoft.com/office/2006/metadata/properties" ma:root="true" ma:fieldsID="663e0491fa50ec0cf3ae208502c6ca13" ns2:_="" ns3:_="">
    <xsd:import namespace="85ea060a-a369-4c6f-9292-c6aeddfaa8ea"/>
    <xsd:import namespace="347009e0-5641-4410-ae44-3290231846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a060a-a369-4c6f-9292-c6aeddfaa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68784c8-5187-4d12-af89-ac967a8112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9e0-5641-4410-ae44-32902318462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a77f91e-3f5d-4c15-af3d-b524171bd419}" ma:internalName="TaxCatchAll" ma:showField="CatchAllData" ma:web="347009e0-5641-4410-ae44-3290231846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B1753D-050E-42AB-AA54-E5D713534D4D}">
  <ds:schemaRefs>
    <ds:schemaRef ds:uri="http://schemas.microsoft.com/office/2006/metadata/properties"/>
    <ds:schemaRef ds:uri="http://schemas.microsoft.com/office/infopath/2007/PartnerControls"/>
    <ds:schemaRef ds:uri="85ea060a-a369-4c6f-9292-c6aeddfaa8ea"/>
    <ds:schemaRef ds:uri="347009e0-5641-4410-ae44-32902318462c"/>
  </ds:schemaRefs>
</ds:datastoreItem>
</file>

<file path=customXml/itemProps2.xml><?xml version="1.0" encoding="utf-8"?>
<ds:datastoreItem xmlns:ds="http://schemas.openxmlformats.org/officeDocument/2006/customXml" ds:itemID="{0E7EFE0F-825C-4AB4-B294-EFA4A20D3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08C084-6BE2-44C3-B1ED-EE1C023893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ea060a-a369-4c6f-9292-c6aeddfaa8ea"/>
    <ds:schemaRef ds:uri="347009e0-5641-4410-ae44-3290231846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SongMi</dc:creator>
  <cp:lastModifiedBy>lee jh</cp:lastModifiedBy>
  <dcterms:created xsi:type="dcterms:W3CDTF">2025-10-29T07:13:11Z</dcterms:created>
  <dcterms:modified xsi:type="dcterms:W3CDTF">2026-03-05T10:14:04Z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0x01010010F1775DD65B2F4BAC893CC0F7FF5B82</vt:lpwstr>
  </property>
  <property fmtid="{D5CDD505-2E9C-101B-9397-08002B2CF9AE}" pid="3" name="MediaServiceImageTags">
    <vt:lpwstr/>
  </property>
</Properties>
</file>